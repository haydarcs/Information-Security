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UKH Lectures\UG4-Final Year\Information Security\Information Security\CSE402-Assignment\"/>
    </mc:Choice>
  </mc:AlternateContent>
  <xr:revisionPtr revIDLastSave="0" documentId="13_ncr:1_{FAACE89B-05CD-4974-8477-3A216178B00F}" xr6:coauthVersionLast="38" xr6:coauthVersionMax="38" xr10:uidLastSave="{00000000-0000-0000-0000-000000000000}"/>
  <bookViews>
    <workbookView xWindow="0" yWindow="0" windowWidth="15360" windowHeight="7680" xr2:uid="{00000000-000D-0000-FFFF-FFFF00000000}"/>
  </bookViews>
  <sheets>
    <sheet name="DES-Enc" sheetId="2" r:id="rId1"/>
    <sheet name="DES-Dec" sheetId="6" r:id="rId2"/>
    <sheet name="Key Generator" sheetId="1" r:id="rId3"/>
    <sheet name="S-Box" sheetId="4" r:id="rId4"/>
    <sheet name="Letter conv." sheetId="3" r:id="rId5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2" l="1"/>
  <c r="K4" i="2"/>
  <c r="J4" i="2"/>
  <c r="I4" i="2"/>
  <c r="H4" i="2"/>
  <c r="G4" i="2"/>
  <c r="F4" i="2"/>
  <c r="E4" i="2"/>
  <c r="A2" i="1"/>
  <c r="E2" i="1" s="1"/>
  <c r="B4" i="1" s="1"/>
  <c r="BF5" i="2"/>
  <c r="AX5" i="2"/>
  <c r="AP5" i="2"/>
  <c r="AH5" i="2"/>
  <c r="Z5" i="2"/>
  <c r="R5" i="2"/>
  <c r="J5" i="2"/>
  <c r="B5" i="2"/>
  <c r="L2" i="1" l="1"/>
  <c r="BF4" i="1" s="1"/>
  <c r="F2" i="1"/>
  <c r="J4" i="1" s="1"/>
  <c r="H2" i="1"/>
  <c r="Z4" i="1" s="1"/>
  <c r="K2" i="1"/>
  <c r="AX4" i="1" s="1"/>
  <c r="G2" i="1"/>
  <c r="R4" i="1" s="1"/>
  <c r="J2" i="1"/>
  <c r="AP4" i="1" s="1"/>
  <c r="I2" i="1"/>
  <c r="AH4" i="1" s="1"/>
  <c r="AI811" i="6"/>
  <c r="AJ811" i="6" s="1"/>
  <c r="AK811" i="6" s="1"/>
  <c r="AL811" i="6" s="1"/>
  <c r="AM811" i="6" s="1"/>
  <c r="AN811" i="6" s="1"/>
  <c r="AO811" i="6" s="1"/>
  <c r="AP811" i="6" s="1"/>
  <c r="AQ811" i="6" s="1"/>
  <c r="AR811" i="6" s="1"/>
  <c r="AS811" i="6" s="1"/>
  <c r="AT811" i="6" s="1"/>
  <c r="AU811" i="6" s="1"/>
  <c r="AV811" i="6" s="1"/>
  <c r="AW811" i="6" s="1"/>
  <c r="AX811" i="6" s="1"/>
  <c r="AY811" i="6" s="1"/>
  <c r="AZ811" i="6" s="1"/>
  <c r="BA811" i="6" s="1"/>
  <c r="BB811" i="6" s="1"/>
  <c r="BC811" i="6" s="1"/>
  <c r="BD811" i="6" s="1"/>
  <c r="BE811" i="6" s="1"/>
  <c r="BF811" i="6" s="1"/>
  <c r="BG811" i="6" s="1"/>
  <c r="BH811" i="6" s="1"/>
  <c r="BI811" i="6" s="1"/>
  <c r="BJ811" i="6" s="1"/>
  <c r="BK811" i="6" s="1"/>
  <c r="BL811" i="6" s="1"/>
  <c r="BM811" i="6" s="1"/>
  <c r="BN811" i="6" s="1"/>
  <c r="D811" i="6"/>
  <c r="E811" i="6"/>
  <c r="F811" i="6"/>
  <c r="G811" i="6"/>
  <c r="H811" i="6"/>
  <c r="I811" i="6"/>
  <c r="J811" i="6"/>
  <c r="K811" i="6"/>
  <c r="L811" i="6"/>
  <c r="M811" i="6"/>
  <c r="N811" i="6"/>
  <c r="O811" i="6"/>
  <c r="P811" i="6"/>
  <c r="Q811" i="6"/>
  <c r="R811" i="6"/>
  <c r="S811" i="6"/>
  <c r="T811" i="6"/>
  <c r="U811" i="6"/>
  <c r="V811" i="6"/>
  <c r="W811" i="6"/>
  <c r="X811" i="6"/>
  <c r="Y811" i="6"/>
  <c r="Z811" i="6"/>
  <c r="AA811" i="6"/>
  <c r="AB811" i="6"/>
  <c r="AC811" i="6"/>
  <c r="AD811" i="6"/>
  <c r="AE811" i="6"/>
  <c r="AF811" i="6"/>
  <c r="AG811" i="6"/>
  <c r="AH811" i="6"/>
  <c r="C811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D816" i="2" l="1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 s="1"/>
  <c r="AJ816" i="2" s="1"/>
  <c r="AK816" i="2" s="1"/>
  <c r="AL816" i="2" s="1"/>
  <c r="AM816" i="2" s="1"/>
  <c r="AN816" i="2" s="1"/>
  <c r="AO816" i="2" s="1"/>
  <c r="AP816" i="2" s="1"/>
  <c r="AQ816" i="2" s="1"/>
  <c r="AR816" i="2" s="1"/>
  <c r="AS816" i="2" s="1"/>
  <c r="AT816" i="2" s="1"/>
  <c r="AU816" i="2" s="1"/>
  <c r="AV816" i="2" s="1"/>
  <c r="AW816" i="2" s="1"/>
  <c r="AX816" i="2" s="1"/>
  <c r="AY816" i="2" s="1"/>
  <c r="AZ816" i="2" s="1"/>
  <c r="BA816" i="2" s="1"/>
  <c r="BB816" i="2" s="1"/>
  <c r="BC816" i="2" s="1"/>
  <c r="BD816" i="2" s="1"/>
  <c r="BE816" i="2" s="1"/>
  <c r="BF816" i="2" s="1"/>
  <c r="BG816" i="2" s="1"/>
  <c r="BH816" i="2" s="1"/>
  <c r="BI816" i="2" s="1"/>
  <c r="BJ816" i="2" s="1"/>
  <c r="BK816" i="2" s="1"/>
  <c r="BL816" i="2" s="1"/>
  <c r="BM816" i="2" s="1"/>
  <c r="BN816" i="2" s="1"/>
  <c r="C816" i="2"/>
  <c r="D780" i="6" l="1"/>
  <c r="E780" i="6"/>
  <c r="F780" i="6"/>
  <c r="G780" i="6"/>
  <c r="H780" i="6"/>
  <c r="I780" i="6"/>
  <c r="J780" i="6"/>
  <c r="K780" i="6"/>
  <c r="L780" i="6"/>
  <c r="M780" i="6"/>
  <c r="N780" i="6"/>
  <c r="O780" i="6"/>
  <c r="P780" i="6"/>
  <c r="Q780" i="6"/>
  <c r="R780" i="6"/>
  <c r="S780" i="6"/>
  <c r="T780" i="6"/>
  <c r="U780" i="6"/>
  <c r="V780" i="6"/>
  <c r="W780" i="6"/>
  <c r="X780" i="6"/>
  <c r="Y780" i="6"/>
  <c r="Z780" i="6"/>
  <c r="AA780" i="6"/>
  <c r="AB780" i="6"/>
  <c r="AC780" i="6"/>
  <c r="AD780" i="6"/>
  <c r="AE780" i="6"/>
  <c r="AF780" i="6"/>
  <c r="AG780" i="6"/>
  <c r="AH780" i="6"/>
  <c r="AI780" i="6"/>
  <c r="AJ780" i="6"/>
  <c r="AK780" i="6"/>
  <c r="AL780" i="6"/>
  <c r="AM780" i="6"/>
  <c r="AN780" i="6"/>
  <c r="AO780" i="6"/>
  <c r="AP780" i="6"/>
  <c r="AQ780" i="6"/>
  <c r="AR780" i="6"/>
  <c r="AS780" i="6"/>
  <c r="AT780" i="6"/>
  <c r="AU780" i="6"/>
  <c r="AV780" i="6"/>
  <c r="AW780" i="6"/>
  <c r="AX780" i="6"/>
  <c r="C780" i="6"/>
  <c r="D731" i="6"/>
  <c r="E731" i="6"/>
  <c r="F731" i="6"/>
  <c r="G731" i="6"/>
  <c r="H731" i="6"/>
  <c r="I731" i="6"/>
  <c r="J731" i="6"/>
  <c r="K731" i="6"/>
  <c r="L731" i="6"/>
  <c r="M731" i="6"/>
  <c r="N731" i="6"/>
  <c r="O731" i="6"/>
  <c r="P731" i="6"/>
  <c r="Q731" i="6"/>
  <c r="R731" i="6"/>
  <c r="S731" i="6"/>
  <c r="T731" i="6"/>
  <c r="U731" i="6"/>
  <c r="V731" i="6"/>
  <c r="W731" i="6"/>
  <c r="X731" i="6"/>
  <c r="Y731" i="6"/>
  <c r="Z731" i="6"/>
  <c r="AA731" i="6"/>
  <c r="AB731" i="6"/>
  <c r="AC731" i="6"/>
  <c r="AD731" i="6"/>
  <c r="AE731" i="6"/>
  <c r="AF731" i="6"/>
  <c r="AG731" i="6"/>
  <c r="AH731" i="6"/>
  <c r="AI731" i="6"/>
  <c r="AJ731" i="6"/>
  <c r="AK731" i="6"/>
  <c r="AL731" i="6"/>
  <c r="AM731" i="6"/>
  <c r="AN731" i="6"/>
  <c r="AO731" i="6"/>
  <c r="AP731" i="6"/>
  <c r="AQ731" i="6"/>
  <c r="AR731" i="6"/>
  <c r="AS731" i="6"/>
  <c r="AT731" i="6"/>
  <c r="AU731" i="6"/>
  <c r="AV731" i="6"/>
  <c r="AW731" i="6"/>
  <c r="AX731" i="6"/>
  <c r="C731" i="6"/>
  <c r="D682" i="6"/>
  <c r="E682" i="6"/>
  <c r="F682" i="6"/>
  <c r="G682" i="6"/>
  <c r="H682" i="6"/>
  <c r="I682" i="6"/>
  <c r="J682" i="6"/>
  <c r="K682" i="6"/>
  <c r="L682" i="6"/>
  <c r="M682" i="6"/>
  <c r="N682" i="6"/>
  <c r="O682" i="6"/>
  <c r="P682" i="6"/>
  <c r="Q682" i="6"/>
  <c r="R682" i="6"/>
  <c r="S682" i="6"/>
  <c r="T682" i="6"/>
  <c r="U682" i="6"/>
  <c r="V682" i="6"/>
  <c r="W682" i="6"/>
  <c r="X682" i="6"/>
  <c r="Y682" i="6"/>
  <c r="Z682" i="6"/>
  <c r="AA682" i="6"/>
  <c r="AB682" i="6"/>
  <c r="AC682" i="6"/>
  <c r="AD682" i="6"/>
  <c r="AE682" i="6"/>
  <c r="AF682" i="6"/>
  <c r="AG682" i="6"/>
  <c r="AH682" i="6"/>
  <c r="AI682" i="6"/>
  <c r="AJ682" i="6"/>
  <c r="AK682" i="6"/>
  <c r="AL682" i="6"/>
  <c r="AM682" i="6"/>
  <c r="AN682" i="6"/>
  <c r="AO682" i="6"/>
  <c r="AP682" i="6"/>
  <c r="AQ682" i="6"/>
  <c r="AR682" i="6"/>
  <c r="AS682" i="6"/>
  <c r="AT682" i="6"/>
  <c r="AU682" i="6"/>
  <c r="AV682" i="6"/>
  <c r="AW682" i="6"/>
  <c r="AX682" i="6"/>
  <c r="C682" i="6"/>
  <c r="D633" i="6"/>
  <c r="E633" i="6"/>
  <c r="F633" i="6"/>
  <c r="G633" i="6"/>
  <c r="H633" i="6"/>
  <c r="I633" i="6"/>
  <c r="J633" i="6"/>
  <c r="K633" i="6"/>
  <c r="L633" i="6"/>
  <c r="M633" i="6"/>
  <c r="N633" i="6"/>
  <c r="O633" i="6"/>
  <c r="P633" i="6"/>
  <c r="Q633" i="6"/>
  <c r="R633" i="6"/>
  <c r="S633" i="6"/>
  <c r="T633" i="6"/>
  <c r="U633" i="6"/>
  <c r="V633" i="6"/>
  <c r="W633" i="6"/>
  <c r="X633" i="6"/>
  <c r="Y633" i="6"/>
  <c r="Z633" i="6"/>
  <c r="AA633" i="6"/>
  <c r="AB633" i="6"/>
  <c r="AC633" i="6"/>
  <c r="AD633" i="6"/>
  <c r="AE633" i="6"/>
  <c r="AF633" i="6"/>
  <c r="AG633" i="6"/>
  <c r="AH633" i="6"/>
  <c r="AI633" i="6"/>
  <c r="AJ633" i="6"/>
  <c r="AK633" i="6"/>
  <c r="AL633" i="6"/>
  <c r="AM633" i="6"/>
  <c r="AN633" i="6"/>
  <c r="AO633" i="6"/>
  <c r="AP633" i="6"/>
  <c r="AQ633" i="6"/>
  <c r="AR633" i="6"/>
  <c r="AS633" i="6"/>
  <c r="AT633" i="6"/>
  <c r="AU633" i="6"/>
  <c r="AV633" i="6"/>
  <c r="AW633" i="6"/>
  <c r="AX633" i="6"/>
  <c r="C633" i="6"/>
  <c r="D584" i="6"/>
  <c r="E584" i="6"/>
  <c r="F584" i="6"/>
  <c r="G584" i="6"/>
  <c r="H584" i="6"/>
  <c r="I584" i="6"/>
  <c r="J584" i="6"/>
  <c r="K584" i="6"/>
  <c r="L584" i="6"/>
  <c r="M584" i="6"/>
  <c r="N584" i="6"/>
  <c r="O584" i="6"/>
  <c r="P584" i="6"/>
  <c r="Q584" i="6"/>
  <c r="R584" i="6"/>
  <c r="S584" i="6"/>
  <c r="T584" i="6"/>
  <c r="U584" i="6"/>
  <c r="V584" i="6"/>
  <c r="W584" i="6"/>
  <c r="X584" i="6"/>
  <c r="Y584" i="6"/>
  <c r="Z584" i="6"/>
  <c r="AA584" i="6"/>
  <c r="AB584" i="6"/>
  <c r="AC584" i="6"/>
  <c r="AD584" i="6"/>
  <c r="AE584" i="6"/>
  <c r="AF584" i="6"/>
  <c r="AG584" i="6"/>
  <c r="AH584" i="6"/>
  <c r="AI584" i="6"/>
  <c r="AJ584" i="6"/>
  <c r="AK584" i="6"/>
  <c r="AL584" i="6"/>
  <c r="AM584" i="6"/>
  <c r="AN584" i="6"/>
  <c r="AO584" i="6"/>
  <c r="AP584" i="6"/>
  <c r="AQ584" i="6"/>
  <c r="AR584" i="6"/>
  <c r="AS584" i="6"/>
  <c r="AT584" i="6"/>
  <c r="AU584" i="6"/>
  <c r="AV584" i="6"/>
  <c r="AW584" i="6"/>
  <c r="AX584" i="6"/>
  <c r="C584" i="6"/>
  <c r="D535" i="6"/>
  <c r="E535" i="6"/>
  <c r="F535" i="6"/>
  <c r="G535" i="6"/>
  <c r="H535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E535" i="6"/>
  <c r="AF535" i="6"/>
  <c r="AG535" i="6"/>
  <c r="AH535" i="6"/>
  <c r="AI535" i="6"/>
  <c r="AJ535" i="6"/>
  <c r="AK535" i="6"/>
  <c r="AL535" i="6"/>
  <c r="AM535" i="6"/>
  <c r="AN535" i="6"/>
  <c r="AO535" i="6"/>
  <c r="AP535" i="6"/>
  <c r="AQ535" i="6"/>
  <c r="AR535" i="6"/>
  <c r="AS535" i="6"/>
  <c r="AT535" i="6"/>
  <c r="AU535" i="6"/>
  <c r="AV535" i="6"/>
  <c r="AW535" i="6"/>
  <c r="AX535" i="6"/>
  <c r="C535" i="6"/>
  <c r="D486" i="6"/>
  <c r="E486" i="6"/>
  <c r="F486" i="6"/>
  <c r="G486" i="6"/>
  <c r="H486" i="6"/>
  <c r="I486" i="6"/>
  <c r="J486" i="6"/>
  <c r="K486" i="6"/>
  <c r="L486" i="6"/>
  <c r="M486" i="6"/>
  <c r="N486" i="6"/>
  <c r="O486" i="6"/>
  <c r="P486" i="6"/>
  <c r="Q486" i="6"/>
  <c r="R486" i="6"/>
  <c r="S486" i="6"/>
  <c r="T486" i="6"/>
  <c r="U486" i="6"/>
  <c r="V486" i="6"/>
  <c r="W486" i="6"/>
  <c r="X486" i="6"/>
  <c r="Y486" i="6"/>
  <c r="Z486" i="6"/>
  <c r="AA486" i="6"/>
  <c r="AB486" i="6"/>
  <c r="AC486" i="6"/>
  <c r="AD486" i="6"/>
  <c r="AE486" i="6"/>
  <c r="AF486" i="6"/>
  <c r="AG486" i="6"/>
  <c r="AH486" i="6"/>
  <c r="AI486" i="6"/>
  <c r="AJ486" i="6"/>
  <c r="AK486" i="6"/>
  <c r="AL486" i="6"/>
  <c r="AM486" i="6"/>
  <c r="AN486" i="6"/>
  <c r="AO486" i="6"/>
  <c r="AP486" i="6"/>
  <c r="AQ486" i="6"/>
  <c r="AR486" i="6"/>
  <c r="AS486" i="6"/>
  <c r="AT486" i="6"/>
  <c r="AU486" i="6"/>
  <c r="AV486" i="6"/>
  <c r="AW486" i="6"/>
  <c r="AX486" i="6"/>
  <c r="C486" i="6"/>
  <c r="D437" i="6"/>
  <c r="E437" i="6"/>
  <c r="F437" i="6"/>
  <c r="G437" i="6"/>
  <c r="H437" i="6"/>
  <c r="I437" i="6"/>
  <c r="J437" i="6"/>
  <c r="K437" i="6"/>
  <c r="L437" i="6"/>
  <c r="M437" i="6"/>
  <c r="N437" i="6"/>
  <c r="O437" i="6"/>
  <c r="P437" i="6"/>
  <c r="Q437" i="6"/>
  <c r="R437" i="6"/>
  <c r="S437" i="6"/>
  <c r="T437" i="6"/>
  <c r="U437" i="6"/>
  <c r="V437" i="6"/>
  <c r="W437" i="6"/>
  <c r="X437" i="6"/>
  <c r="Y437" i="6"/>
  <c r="Z437" i="6"/>
  <c r="AA437" i="6"/>
  <c r="AB437" i="6"/>
  <c r="AC437" i="6"/>
  <c r="AD437" i="6"/>
  <c r="AE437" i="6"/>
  <c r="AF437" i="6"/>
  <c r="AG437" i="6"/>
  <c r="AH437" i="6"/>
  <c r="AI437" i="6"/>
  <c r="AJ437" i="6"/>
  <c r="AK437" i="6"/>
  <c r="AL437" i="6"/>
  <c r="AM437" i="6"/>
  <c r="AN437" i="6"/>
  <c r="AO437" i="6"/>
  <c r="AP437" i="6"/>
  <c r="AQ437" i="6"/>
  <c r="AR437" i="6"/>
  <c r="AS437" i="6"/>
  <c r="AT437" i="6"/>
  <c r="AU437" i="6"/>
  <c r="AV437" i="6"/>
  <c r="AW437" i="6"/>
  <c r="AX437" i="6"/>
  <c r="C437" i="6"/>
  <c r="D388" i="6"/>
  <c r="E388" i="6"/>
  <c r="F388" i="6"/>
  <c r="G388" i="6"/>
  <c r="H388" i="6"/>
  <c r="I388" i="6"/>
  <c r="J388" i="6"/>
  <c r="K388" i="6"/>
  <c r="L388" i="6"/>
  <c r="M388" i="6"/>
  <c r="N388" i="6"/>
  <c r="O388" i="6"/>
  <c r="P388" i="6"/>
  <c r="Q388" i="6"/>
  <c r="R388" i="6"/>
  <c r="S388" i="6"/>
  <c r="T388" i="6"/>
  <c r="U388" i="6"/>
  <c r="V388" i="6"/>
  <c r="W388" i="6"/>
  <c r="X388" i="6"/>
  <c r="Y388" i="6"/>
  <c r="Z388" i="6"/>
  <c r="AA388" i="6"/>
  <c r="AB388" i="6"/>
  <c r="AC388" i="6"/>
  <c r="AD388" i="6"/>
  <c r="AE388" i="6"/>
  <c r="AF388" i="6"/>
  <c r="AG388" i="6"/>
  <c r="AH388" i="6"/>
  <c r="AI388" i="6"/>
  <c r="AJ388" i="6"/>
  <c r="AK388" i="6"/>
  <c r="AL388" i="6"/>
  <c r="AM388" i="6"/>
  <c r="AN388" i="6"/>
  <c r="AO388" i="6"/>
  <c r="AP388" i="6"/>
  <c r="AQ388" i="6"/>
  <c r="AR388" i="6"/>
  <c r="AS388" i="6"/>
  <c r="AT388" i="6"/>
  <c r="AU388" i="6"/>
  <c r="AV388" i="6"/>
  <c r="AW388" i="6"/>
  <c r="AX388" i="6"/>
  <c r="C388" i="6"/>
  <c r="D339" i="6"/>
  <c r="E339" i="6"/>
  <c r="F339" i="6"/>
  <c r="G339" i="6"/>
  <c r="H339" i="6"/>
  <c r="I339" i="6"/>
  <c r="J339" i="6"/>
  <c r="K339" i="6"/>
  <c r="L339" i="6"/>
  <c r="M339" i="6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F339" i="6"/>
  <c r="AG339" i="6"/>
  <c r="AH339" i="6"/>
  <c r="AI339" i="6"/>
  <c r="AJ339" i="6"/>
  <c r="AK339" i="6"/>
  <c r="AL339" i="6"/>
  <c r="AM339" i="6"/>
  <c r="AN339" i="6"/>
  <c r="AO339" i="6"/>
  <c r="AP339" i="6"/>
  <c r="AQ339" i="6"/>
  <c r="AR339" i="6"/>
  <c r="AS339" i="6"/>
  <c r="AT339" i="6"/>
  <c r="AU339" i="6"/>
  <c r="AV339" i="6"/>
  <c r="AW339" i="6"/>
  <c r="AX339" i="6"/>
  <c r="C339" i="6"/>
  <c r="D290" i="6"/>
  <c r="E290" i="6"/>
  <c r="F290" i="6"/>
  <c r="G290" i="6"/>
  <c r="H290" i="6"/>
  <c r="I290" i="6"/>
  <c r="J290" i="6"/>
  <c r="K290" i="6"/>
  <c r="L290" i="6"/>
  <c r="M290" i="6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F290" i="6"/>
  <c r="AG290" i="6"/>
  <c r="AH290" i="6"/>
  <c r="AI290" i="6"/>
  <c r="AJ290" i="6"/>
  <c r="AK290" i="6"/>
  <c r="AL290" i="6"/>
  <c r="AM290" i="6"/>
  <c r="AN290" i="6"/>
  <c r="AO290" i="6"/>
  <c r="AP290" i="6"/>
  <c r="AQ290" i="6"/>
  <c r="AR290" i="6"/>
  <c r="AS290" i="6"/>
  <c r="AT290" i="6"/>
  <c r="AU290" i="6"/>
  <c r="AV290" i="6"/>
  <c r="AW290" i="6"/>
  <c r="AX290" i="6"/>
  <c r="C290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F241" i="6"/>
  <c r="AG241" i="6"/>
  <c r="AH241" i="6"/>
  <c r="AI241" i="6"/>
  <c r="AJ241" i="6"/>
  <c r="AK241" i="6"/>
  <c r="AL241" i="6"/>
  <c r="AM241" i="6"/>
  <c r="AN241" i="6"/>
  <c r="AO241" i="6"/>
  <c r="AP241" i="6"/>
  <c r="AQ241" i="6"/>
  <c r="AR241" i="6"/>
  <c r="AS241" i="6"/>
  <c r="AT241" i="6"/>
  <c r="AU241" i="6"/>
  <c r="AV241" i="6"/>
  <c r="AW241" i="6"/>
  <c r="AX241" i="6"/>
  <c r="C241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M192" i="6"/>
  <c r="AN192" i="6"/>
  <c r="AO192" i="6"/>
  <c r="AP192" i="6"/>
  <c r="AQ192" i="6"/>
  <c r="AR192" i="6"/>
  <c r="AS192" i="6"/>
  <c r="AT192" i="6"/>
  <c r="AU192" i="6"/>
  <c r="AV192" i="6"/>
  <c r="AW192" i="6"/>
  <c r="AX192" i="6"/>
  <c r="C192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F143" i="6"/>
  <c r="AG143" i="6"/>
  <c r="AH143" i="6"/>
  <c r="AI143" i="6"/>
  <c r="AJ143" i="6"/>
  <c r="AK143" i="6"/>
  <c r="AL143" i="6"/>
  <c r="AM143" i="6"/>
  <c r="AN143" i="6"/>
  <c r="AO143" i="6"/>
  <c r="AP143" i="6"/>
  <c r="AQ143" i="6"/>
  <c r="AR143" i="6"/>
  <c r="AS143" i="6"/>
  <c r="AT143" i="6"/>
  <c r="AU143" i="6"/>
  <c r="AV143" i="6"/>
  <c r="AW143" i="6"/>
  <c r="AX143" i="6"/>
  <c r="C143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C94" i="6"/>
  <c r="D45" i="6" l="1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C45" i="6"/>
  <c r="C16" i="2"/>
  <c r="D16" i="2" s="1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O16" i="2" s="1"/>
  <c r="P16" i="2" s="1"/>
  <c r="Q16" i="2" s="1"/>
  <c r="R16" i="2" s="1"/>
  <c r="S16" i="2" s="1"/>
  <c r="BG11" i="2"/>
  <c r="AY11" i="2"/>
  <c r="AQ11" i="2"/>
  <c r="AI11" i="2"/>
  <c r="AA11" i="2"/>
  <c r="S11" i="2"/>
  <c r="K11" i="2"/>
  <c r="C11" i="2"/>
  <c r="BF12" i="1"/>
  <c r="AX12" i="1"/>
  <c r="AP12" i="1"/>
  <c r="AH12" i="1"/>
  <c r="Z12" i="1"/>
  <c r="R12" i="1"/>
  <c r="J12" i="1"/>
  <c r="B12" i="1"/>
  <c r="D787" i="2" l="1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AJ787" i="2"/>
  <c r="AK787" i="2"/>
  <c r="AL787" i="2"/>
  <c r="AM787" i="2"/>
  <c r="AN787" i="2"/>
  <c r="AO787" i="2"/>
  <c r="AP787" i="2"/>
  <c r="AQ787" i="2"/>
  <c r="AR787" i="2"/>
  <c r="AS787" i="2"/>
  <c r="AT787" i="2"/>
  <c r="AU787" i="2"/>
  <c r="AV787" i="2"/>
  <c r="AW787" i="2"/>
  <c r="AX787" i="2"/>
  <c r="C787" i="2"/>
  <c r="N258" i="3" l="1"/>
  <c r="D258" i="3"/>
  <c r="N257" i="3"/>
  <c r="D257" i="3"/>
  <c r="N256" i="3"/>
  <c r="D256" i="3"/>
  <c r="N255" i="3"/>
  <c r="D255" i="3"/>
  <c r="N254" i="3"/>
  <c r="D254" i="3"/>
  <c r="N253" i="3"/>
  <c r="D253" i="3"/>
  <c r="N252" i="3"/>
  <c r="D252" i="3"/>
  <c r="N251" i="3"/>
  <c r="D251" i="3"/>
  <c r="N250" i="3"/>
  <c r="D250" i="3"/>
  <c r="N249" i="3"/>
  <c r="D249" i="3"/>
  <c r="N248" i="3"/>
  <c r="D248" i="3"/>
  <c r="N247" i="3"/>
  <c r="D247" i="3"/>
  <c r="N246" i="3"/>
  <c r="D246" i="3"/>
  <c r="N245" i="3"/>
  <c r="D245" i="3"/>
  <c r="N244" i="3"/>
  <c r="D244" i="3"/>
  <c r="N243" i="3"/>
  <c r="D243" i="3"/>
  <c r="N242" i="3"/>
  <c r="D242" i="3"/>
  <c r="N241" i="3"/>
  <c r="D241" i="3"/>
  <c r="N240" i="3"/>
  <c r="D240" i="3"/>
  <c r="N239" i="3"/>
  <c r="D239" i="3"/>
  <c r="N238" i="3"/>
  <c r="D238" i="3"/>
  <c r="N237" i="3"/>
  <c r="D237" i="3"/>
  <c r="N236" i="3"/>
  <c r="D236" i="3"/>
  <c r="N235" i="3"/>
  <c r="D235" i="3"/>
  <c r="N234" i="3"/>
  <c r="D234" i="3"/>
  <c r="N233" i="3"/>
  <c r="D233" i="3"/>
  <c r="N232" i="3"/>
  <c r="D232" i="3"/>
  <c r="N231" i="3"/>
  <c r="D231" i="3"/>
  <c r="N230" i="3"/>
  <c r="D230" i="3"/>
  <c r="N229" i="3"/>
  <c r="D229" i="3"/>
  <c r="N228" i="3"/>
  <c r="D228" i="3"/>
  <c r="N227" i="3"/>
  <c r="D227" i="3"/>
  <c r="N226" i="3"/>
  <c r="D226" i="3"/>
  <c r="N225" i="3"/>
  <c r="D225" i="3"/>
  <c r="N224" i="3"/>
  <c r="D224" i="3"/>
  <c r="N223" i="3"/>
  <c r="D223" i="3"/>
  <c r="N222" i="3"/>
  <c r="D222" i="3"/>
  <c r="N221" i="3"/>
  <c r="D221" i="3"/>
  <c r="N220" i="3"/>
  <c r="D220" i="3"/>
  <c r="N219" i="3"/>
  <c r="D219" i="3"/>
  <c r="N218" i="3"/>
  <c r="D218" i="3"/>
  <c r="N217" i="3"/>
  <c r="D217" i="3"/>
  <c r="N216" i="3"/>
  <c r="D216" i="3"/>
  <c r="N215" i="3"/>
  <c r="D215" i="3"/>
  <c r="N214" i="3"/>
  <c r="D214" i="3"/>
  <c r="N213" i="3"/>
  <c r="D213" i="3"/>
  <c r="N212" i="3"/>
  <c r="D212" i="3"/>
  <c r="N211" i="3"/>
  <c r="D211" i="3"/>
  <c r="N210" i="3"/>
  <c r="D210" i="3"/>
  <c r="N209" i="3"/>
  <c r="D209" i="3"/>
  <c r="N208" i="3"/>
  <c r="D208" i="3"/>
  <c r="N207" i="3"/>
  <c r="D207" i="3"/>
  <c r="N206" i="3"/>
  <c r="D206" i="3"/>
  <c r="N205" i="3"/>
  <c r="D205" i="3"/>
  <c r="N204" i="3"/>
  <c r="D204" i="3"/>
  <c r="N203" i="3"/>
  <c r="D203" i="3"/>
  <c r="N202" i="3"/>
  <c r="D202" i="3"/>
  <c r="N201" i="3"/>
  <c r="D201" i="3"/>
  <c r="N200" i="3"/>
  <c r="D200" i="3"/>
  <c r="N199" i="3"/>
  <c r="D199" i="3"/>
  <c r="N198" i="3"/>
  <c r="D198" i="3"/>
  <c r="N197" i="3"/>
  <c r="D197" i="3"/>
  <c r="N196" i="3"/>
  <c r="D196" i="3"/>
  <c r="N195" i="3"/>
  <c r="D195" i="3"/>
  <c r="N194" i="3"/>
  <c r="D194" i="3"/>
  <c r="N193" i="3"/>
  <c r="D193" i="3"/>
  <c r="N192" i="3"/>
  <c r="D192" i="3"/>
  <c r="N191" i="3"/>
  <c r="D191" i="3"/>
  <c r="N190" i="3"/>
  <c r="D190" i="3"/>
  <c r="N189" i="3"/>
  <c r="D189" i="3"/>
  <c r="N188" i="3"/>
  <c r="D188" i="3"/>
  <c r="N187" i="3"/>
  <c r="D187" i="3"/>
  <c r="N186" i="3"/>
  <c r="D186" i="3"/>
  <c r="N185" i="3"/>
  <c r="D185" i="3"/>
  <c r="N184" i="3"/>
  <c r="D184" i="3"/>
  <c r="N183" i="3"/>
  <c r="D183" i="3"/>
  <c r="N182" i="3"/>
  <c r="D182" i="3"/>
  <c r="N181" i="3"/>
  <c r="D181" i="3"/>
  <c r="N180" i="3"/>
  <c r="D180" i="3"/>
  <c r="N179" i="3"/>
  <c r="D179" i="3"/>
  <c r="N178" i="3"/>
  <c r="D178" i="3"/>
  <c r="N177" i="3"/>
  <c r="D177" i="3"/>
  <c r="N176" i="3"/>
  <c r="D176" i="3"/>
  <c r="N175" i="3"/>
  <c r="D175" i="3"/>
  <c r="N174" i="3"/>
  <c r="D174" i="3"/>
  <c r="N173" i="3"/>
  <c r="D173" i="3"/>
  <c r="N172" i="3"/>
  <c r="D172" i="3"/>
  <c r="N171" i="3"/>
  <c r="D171" i="3"/>
  <c r="N170" i="3"/>
  <c r="D170" i="3"/>
  <c r="N169" i="3"/>
  <c r="D169" i="3"/>
  <c r="N168" i="3"/>
  <c r="D168" i="3"/>
  <c r="N167" i="3"/>
  <c r="D167" i="3"/>
  <c r="N166" i="3"/>
  <c r="D166" i="3"/>
  <c r="N165" i="3"/>
  <c r="D165" i="3"/>
  <c r="N164" i="3"/>
  <c r="D164" i="3"/>
  <c r="N163" i="3"/>
  <c r="D163" i="3"/>
  <c r="N162" i="3"/>
  <c r="D162" i="3"/>
  <c r="N161" i="3"/>
  <c r="D161" i="3"/>
  <c r="N160" i="3"/>
  <c r="D160" i="3"/>
  <c r="N159" i="3"/>
  <c r="D159" i="3"/>
  <c r="N158" i="3"/>
  <c r="D158" i="3"/>
  <c r="N157" i="3"/>
  <c r="D157" i="3"/>
  <c r="N156" i="3"/>
  <c r="D156" i="3"/>
  <c r="N155" i="3"/>
  <c r="D155" i="3"/>
  <c r="N154" i="3"/>
  <c r="D154" i="3"/>
  <c r="N153" i="3"/>
  <c r="D153" i="3"/>
  <c r="N152" i="3"/>
  <c r="D152" i="3"/>
  <c r="N151" i="3"/>
  <c r="D151" i="3"/>
  <c r="N150" i="3"/>
  <c r="D150" i="3"/>
  <c r="N149" i="3"/>
  <c r="D149" i="3"/>
  <c r="N148" i="3"/>
  <c r="D148" i="3"/>
  <c r="N147" i="3"/>
  <c r="D147" i="3"/>
  <c r="N146" i="3"/>
  <c r="D146" i="3"/>
  <c r="N145" i="3"/>
  <c r="D145" i="3"/>
  <c r="N144" i="3"/>
  <c r="D144" i="3"/>
  <c r="N143" i="3"/>
  <c r="D143" i="3"/>
  <c r="N142" i="3"/>
  <c r="D142" i="3"/>
  <c r="N141" i="3"/>
  <c r="D141" i="3"/>
  <c r="N140" i="3"/>
  <c r="D140" i="3"/>
  <c r="N139" i="3"/>
  <c r="D139" i="3"/>
  <c r="N138" i="3"/>
  <c r="D138" i="3"/>
  <c r="N137" i="3"/>
  <c r="D137" i="3"/>
  <c r="N136" i="3"/>
  <c r="D136" i="3"/>
  <c r="N135" i="3"/>
  <c r="D135" i="3"/>
  <c r="N134" i="3"/>
  <c r="D134" i="3"/>
  <c r="N133" i="3"/>
  <c r="D133" i="3"/>
  <c r="N132" i="3"/>
  <c r="D132" i="3"/>
  <c r="N131" i="3"/>
  <c r="D131" i="3"/>
  <c r="N130" i="3"/>
  <c r="D130" i="3"/>
  <c r="N129" i="3"/>
  <c r="D129" i="3"/>
  <c r="N128" i="3"/>
  <c r="D128" i="3"/>
  <c r="N127" i="3"/>
  <c r="D127" i="3"/>
  <c r="N126" i="3"/>
  <c r="D126" i="3"/>
  <c r="N125" i="3"/>
  <c r="D125" i="3"/>
  <c r="N124" i="3"/>
  <c r="D124" i="3"/>
  <c r="N123" i="3"/>
  <c r="D123" i="3"/>
  <c r="N122" i="3"/>
  <c r="D122" i="3"/>
  <c r="N121" i="3"/>
  <c r="D121" i="3"/>
  <c r="N120" i="3"/>
  <c r="D120" i="3"/>
  <c r="N119" i="3"/>
  <c r="D119" i="3"/>
  <c r="N118" i="3"/>
  <c r="D118" i="3"/>
  <c r="N117" i="3"/>
  <c r="D117" i="3"/>
  <c r="N116" i="3"/>
  <c r="D116" i="3"/>
  <c r="N115" i="3"/>
  <c r="D115" i="3"/>
  <c r="N114" i="3"/>
  <c r="D114" i="3"/>
  <c r="N113" i="3"/>
  <c r="D113" i="3"/>
  <c r="N112" i="3"/>
  <c r="D112" i="3"/>
  <c r="N111" i="3"/>
  <c r="D111" i="3"/>
  <c r="N110" i="3"/>
  <c r="D110" i="3"/>
  <c r="N109" i="3"/>
  <c r="D109" i="3"/>
  <c r="N108" i="3"/>
  <c r="D108" i="3"/>
  <c r="N107" i="3"/>
  <c r="D107" i="3"/>
  <c r="N106" i="3"/>
  <c r="D106" i="3"/>
  <c r="N105" i="3"/>
  <c r="D105" i="3"/>
  <c r="N104" i="3"/>
  <c r="D104" i="3"/>
  <c r="N103" i="3"/>
  <c r="D103" i="3"/>
  <c r="N102" i="3"/>
  <c r="D102" i="3"/>
  <c r="N101" i="3"/>
  <c r="D101" i="3"/>
  <c r="N100" i="3"/>
  <c r="D100" i="3"/>
  <c r="N99" i="3"/>
  <c r="D99" i="3"/>
  <c r="N98" i="3"/>
  <c r="D98" i="3"/>
  <c r="N97" i="3"/>
  <c r="D97" i="3"/>
  <c r="N96" i="3"/>
  <c r="D96" i="3"/>
  <c r="N95" i="3"/>
  <c r="D95" i="3"/>
  <c r="N94" i="3"/>
  <c r="D94" i="3"/>
  <c r="N93" i="3"/>
  <c r="D93" i="3"/>
  <c r="N92" i="3"/>
  <c r="D92" i="3"/>
  <c r="N91" i="3"/>
  <c r="D91" i="3"/>
  <c r="N90" i="3"/>
  <c r="D90" i="3"/>
  <c r="N89" i="3"/>
  <c r="D89" i="3"/>
  <c r="N88" i="3"/>
  <c r="D88" i="3"/>
  <c r="N87" i="3"/>
  <c r="D87" i="3"/>
  <c r="N86" i="3"/>
  <c r="D86" i="3"/>
  <c r="N85" i="3"/>
  <c r="D85" i="3"/>
  <c r="N84" i="3"/>
  <c r="D84" i="3"/>
  <c r="N83" i="3"/>
  <c r="D83" i="3"/>
  <c r="N82" i="3"/>
  <c r="D82" i="3"/>
  <c r="N81" i="3"/>
  <c r="D81" i="3"/>
  <c r="N80" i="3"/>
  <c r="D80" i="3"/>
  <c r="N79" i="3"/>
  <c r="D79" i="3"/>
  <c r="N78" i="3"/>
  <c r="D78" i="3"/>
  <c r="N77" i="3"/>
  <c r="D77" i="3"/>
  <c r="N76" i="3"/>
  <c r="D76" i="3"/>
  <c r="N75" i="3"/>
  <c r="D75" i="3"/>
  <c r="N74" i="3"/>
  <c r="D74" i="3"/>
  <c r="N73" i="3"/>
  <c r="D73" i="3"/>
  <c r="N72" i="3"/>
  <c r="D72" i="3"/>
  <c r="N71" i="3"/>
  <c r="D71" i="3"/>
  <c r="N70" i="3"/>
  <c r="D70" i="3"/>
  <c r="N69" i="3"/>
  <c r="D69" i="3"/>
  <c r="N68" i="3"/>
  <c r="D68" i="3"/>
  <c r="N67" i="3"/>
  <c r="D67" i="3"/>
  <c r="N66" i="3"/>
  <c r="D66" i="3"/>
  <c r="N65" i="3"/>
  <c r="D65" i="3"/>
  <c r="N64" i="3"/>
  <c r="D64" i="3"/>
  <c r="N63" i="3"/>
  <c r="D63" i="3"/>
  <c r="N62" i="3"/>
  <c r="D62" i="3"/>
  <c r="N61" i="3"/>
  <c r="D61" i="3"/>
  <c r="N60" i="3"/>
  <c r="D60" i="3"/>
  <c r="N59" i="3"/>
  <c r="D59" i="3"/>
  <c r="N58" i="3"/>
  <c r="D58" i="3"/>
  <c r="N57" i="3"/>
  <c r="D57" i="3"/>
  <c r="N56" i="3"/>
  <c r="D56" i="3"/>
  <c r="N55" i="3"/>
  <c r="D55" i="3"/>
  <c r="N54" i="3"/>
  <c r="D54" i="3"/>
  <c r="N53" i="3"/>
  <c r="D53" i="3"/>
  <c r="N52" i="3"/>
  <c r="D52" i="3"/>
  <c r="N51" i="3"/>
  <c r="D51" i="3"/>
  <c r="N50" i="3"/>
  <c r="D50" i="3"/>
  <c r="N49" i="3"/>
  <c r="D49" i="3"/>
  <c r="N48" i="3"/>
  <c r="D48" i="3"/>
  <c r="N47" i="3"/>
  <c r="D47" i="3"/>
  <c r="N46" i="3"/>
  <c r="D46" i="3"/>
  <c r="N45" i="3"/>
  <c r="D45" i="3"/>
  <c r="N44" i="3"/>
  <c r="D44" i="3"/>
  <c r="N43" i="3"/>
  <c r="D43" i="3"/>
  <c r="N42" i="3"/>
  <c r="D42" i="3"/>
  <c r="N41" i="3"/>
  <c r="D41" i="3"/>
  <c r="N40" i="3"/>
  <c r="D40" i="3"/>
  <c r="N39" i="3"/>
  <c r="D39" i="3"/>
  <c r="N38" i="3"/>
  <c r="D38" i="3"/>
  <c r="N37" i="3"/>
  <c r="D37" i="3"/>
  <c r="N36" i="3"/>
  <c r="D36" i="3"/>
  <c r="N35" i="3"/>
  <c r="D35" i="3"/>
  <c r="N34" i="3"/>
  <c r="D34" i="3"/>
  <c r="N33" i="3"/>
  <c r="D33" i="3"/>
  <c r="N32" i="3"/>
  <c r="D32" i="3"/>
  <c r="N31" i="3"/>
  <c r="D31" i="3"/>
  <c r="N30" i="3"/>
  <c r="D30" i="3"/>
  <c r="N29" i="3"/>
  <c r="D29" i="3"/>
  <c r="N28" i="3"/>
  <c r="D28" i="3"/>
  <c r="N27" i="3"/>
  <c r="D27" i="3"/>
  <c r="N26" i="3"/>
  <c r="D26" i="3"/>
  <c r="N25" i="3"/>
  <c r="D25" i="3"/>
  <c r="N24" i="3"/>
  <c r="D24" i="3"/>
  <c r="N23" i="3"/>
  <c r="D23" i="3"/>
  <c r="N22" i="3"/>
  <c r="D22" i="3"/>
  <c r="N21" i="3"/>
  <c r="D21" i="3"/>
  <c r="N20" i="3"/>
  <c r="D20" i="3"/>
  <c r="N19" i="3"/>
  <c r="D19" i="3"/>
  <c r="N18" i="3"/>
  <c r="D18" i="3"/>
  <c r="N17" i="3"/>
  <c r="D17" i="3"/>
  <c r="N16" i="3"/>
  <c r="D16" i="3"/>
  <c r="N15" i="3"/>
  <c r="D15" i="3"/>
  <c r="N14" i="3"/>
  <c r="D14" i="3"/>
  <c r="N13" i="3"/>
  <c r="D13" i="3"/>
  <c r="N12" i="3"/>
  <c r="D12" i="3"/>
  <c r="N11" i="3"/>
  <c r="D11" i="3"/>
  <c r="N10" i="3"/>
  <c r="D10" i="3"/>
  <c r="N9" i="3"/>
  <c r="D9" i="3"/>
  <c r="N8" i="3"/>
  <c r="D8" i="3"/>
  <c r="N7" i="3"/>
  <c r="D7" i="3"/>
  <c r="N6" i="3"/>
  <c r="D6" i="3"/>
  <c r="N5" i="3"/>
  <c r="D5" i="3"/>
  <c r="N4" i="3"/>
  <c r="D4" i="3"/>
  <c r="N3" i="3"/>
  <c r="D3" i="3"/>
  <c r="BF7" i="2" l="1" a="1"/>
  <c r="BF7" i="2" s="1"/>
  <c r="BG12" i="2" s="1"/>
  <c r="K22" i="2" s="1"/>
  <c r="AX7" i="2" a="1"/>
  <c r="AX7" i="2" s="1"/>
  <c r="AY12" i="2" s="1"/>
  <c r="L22" i="2" s="1"/>
  <c r="BM7" i="2" a="1"/>
  <c r="BM7" i="2" s="1"/>
  <c r="BN12" i="2" s="1"/>
  <c r="K21" i="2" s="1"/>
  <c r="BE7" i="2" a="1"/>
  <c r="BE7" i="2" s="1"/>
  <c r="BF12" i="2" s="1"/>
  <c r="L21" i="2" s="1"/>
  <c r="BL7" i="2" a="1"/>
  <c r="BL7" i="2" s="1"/>
  <c r="BM12" i="2" s="1"/>
  <c r="K25" i="2" s="1"/>
  <c r="BD7" i="2" a="1"/>
  <c r="BD7" i="2" s="1"/>
  <c r="BE12" i="2" s="1"/>
  <c r="L25" i="2" s="1"/>
  <c r="AV7" i="2" a="1"/>
  <c r="AV7" i="2" s="1"/>
  <c r="AW12" i="2" s="1"/>
  <c r="M25" i="2" s="1"/>
  <c r="AN7" i="2" a="1"/>
  <c r="AN7" i="2" s="1"/>
  <c r="AO12" i="2" s="1"/>
  <c r="N25" i="2" s="1"/>
  <c r="AF7" i="2" a="1"/>
  <c r="AF7" i="2" s="1"/>
  <c r="AG12" i="2" s="1"/>
  <c r="O25" i="2" s="1"/>
  <c r="X7" i="2" a="1"/>
  <c r="X7" i="2" s="1"/>
  <c r="Y12" i="2" s="1"/>
  <c r="P25" i="2" s="1"/>
  <c r="P7" i="2" a="1"/>
  <c r="P7" i="2" s="1"/>
  <c r="Q12" i="2" s="1"/>
  <c r="Q25" i="2" s="1"/>
  <c r="H7" i="2" a="1"/>
  <c r="H7" i="2" s="1"/>
  <c r="I12" i="2" s="1"/>
  <c r="R25" i="2" s="1"/>
  <c r="BL6" i="1" a="1"/>
  <c r="BL6" i="1" s="1"/>
  <c r="BL13" i="1" s="1"/>
  <c r="BD6" i="1" a="1"/>
  <c r="BD6" i="1" s="1"/>
  <c r="BD13" i="1" s="1"/>
  <c r="AV6" i="1" a="1"/>
  <c r="AV6" i="1" s="1"/>
  <c r="AV13" i="1" s="1"/>
  <c r="AN6" i="1" a="1"/>
  <c r="AN6" i="1" s="1"/>
  <c r="AN13" i="1" s="1"/>
  <c r="AF6" i="1" a="1"/>
  <c r="AF6" i="1" s="1"/>
  <c r="AF13" i="1" s="1"/>
  <c r="X6" i="1" a="1"/>
  <c r="X6" i="1" s="1"/>
  <c r="X13" i="1" s="1"/>
  <c r="P6" i="1" a="1"/>
  <c r="P6" i="1" s="1"/>
  <c r="P13" i="1" s="1"/>
  <c r="H6" i="1" a="1"/>
  <c r="H6" i="1" s="1"/>
  <c r="H13" i="1" s="1"/>
  <c r="BF6" i="1" a="1"/>
  <c r="BF6" i="1" s="1"/>
  <c r="BF13" i="1" s="1"/>
  <c r="J6" i="1" a="1"/>
  <c r="J6" i="1" s="1"/>
  <c r="J13" i="1" s="1"/>
  <c r="Q7" i="2" a="1"/>
  <c r="Q7" i="2" s="1"/>
  <c r="R12" i="2" s="1"/>
  <c r="Q21" i="2" s="1"/>
  <c r="AG6" i="1" a="1"/>
  <c r="AG6" i="1" s="1"/>
  <c r="AG13" i="1" s="1"/>
  <c r="BK7" i="2" a="1"/>
  <c r="BK7" i="2" s="1"/>
  <c r="BL12" i="2" s="1"/>
  <c r="K20" i="2" s="1"/>
  <c r="BC7" i="2" a="1"/>
  <c r="BC7" i="2" s="1"/>
  <c r="BD12" i="2" s="1"/>
  <c r="L20" i="2" s="1"/>
  <c r="AU7" i="2" a="1"/>
  <c r="AU7" i="2" s="1"/>
  <c r="AV12" i="2" s="1"/>
  <c r="M20" i="2" s="1"/>
  <c r="AM7" i="2" a="1"/>
  <c r="AM7" i="2" s="1"/>
  <c r="AN12" i="2" s="1"/>
  <c r="N20" i="2" s="1"/>
  <c r="AE7" i="2" a="1"/>
  <c r="AE7" i="2" s="1"/>
  <c r="AF12" i="2" s="1"/>
  <c r="O20" i="2" s="1"/>
  <c r="W7" i="2" a="1"/>
  <c r="W7" i="2" s="1"/>
  <c r="X12" i="2" s="1"/>
  <c r="P20" i="2" s="1"/>
  <c r="O7" i="2" a="1"/>
  <c r="O7" i="2" s="1"/>
  <c r="P12" i="2" s="1"/>
  <c r="Q20" i="2" s="1"/>
  <c r="G7" i="2" a="1"/>
  <c r="G7" i="2" s="1"/>
  <c r="H12" i="2" s="1"/>
  <c r="R20" i="2" s="1"/>
  <c r="BK6" i="1" a="1"/>
  <c r="BK6" i="1" s="1"/>
  <c r="BK13" i="1" s="1"/>
  <c r="BC6" i="1" a="1"/>
  <c r="BC6" i="1" s="1"/>
  <c r="BC13" i="1" s="1"/>
  <c r="AU6" i="1" a="1"/>
  <c r="AU6" i="1" s="1"/>
  <c r="AU13" i="1" s="1"/>
  <c r="AM6" i="1" a="1"/>
  <c r="AM6" i="1" s="1"/>
  <c r="AM13" i="1" s="1"/>
  <c r="AE6" i="1" a="1"/>
  <c r="AE6" i="1" s="1"/>
  <c r="AE13" i="1" s="1"/>
  <c r="W6" i="1" a="1"/>
  <c r="W6" i="1" s="1"/>
  <c r="W13" i="1" s="1"/>
  <c r="O6" i="1" a="1"/>
  <c r="O6" i="1" s="1"/>
  <c r="O13" i="1" s="1"/>
  <c r="G6" i="1" a="1"/>
  <c r="G6" i="1" s="1"/>
  <c r="G13" i="1" s="1"/>
  <c r="AP7" i="2" a="1"/>
  <c r="AP7" i="2" s="1"/>
  <c r="AQ12" i="2" s="1"/>
  <c r="M22" i="2" s="1"/>
  <c r="J7" i="2" a="1"/>
  <c r="J7" i="2" s="1"/>
  <c r="K12" i="2" s="1"/>
  <c r="Q22" i="2" s="1"/>
  <c r="Z6" i="1" a="1"/>
  <c r="Z6" i="1" s="1"/>
  <c r="Z13" i="1" s="1"/>
  <c r="AO7" i="2" a="1"/>
  <c r="AO7" i="2" s="1"/>
  <c r="AP12" i="2" s="1"/>
  <c r="N21" i="2" s="1"/>
  <c r="BM6" i="1" a="1"/>
  <c r="BM6" i="1" s="1"/>
  <c r="BM13" i="1" s="1"/>
  <c r="Q6" i="1" a="1"/>
  <c r="Q6" i="1" s="1"/>
  <c r="Q13" i="1" s="1"/>
  <c r="BJ7" i="2" a="1"/>
  <c r="BJ7" i="2" s="1"/>
  <c r="BK12" i="2" s="1"/>
  <c r="K24" i="2" s="1"/>
  <c r="BB7" i="2" a="1"/>
  <c r="BB7" i="2" s="1"/>
  <c r="BC12" i="2" s="1"/>
  <c r="L24" i="2" s="1"/>
  <c r="AT7" i="2" a="1"/>
  <c r="AT7" i="2" s="1"/>
  <c r="AU12" i="2" s="1"/>
  <c r="M24" i="2" s="1"/>
  <c r="AL7" i="2" a="1"/>
  <c r="AL7" i="2" s="1"/>
  <c r="AM12" i="2" s="1"/>
  <c r="N24" i="2" s="1"/>
  <c r="AD7" i="2" a="1"/>
  <c r="AD7" i="2" s="1"/>
  <c r="AE12" i="2" s="1"/>
  <c r="O24" i="2" s="1"/>
  <c r="V7" i="2" a="1"/>
  <c r="V7" i="2" s="1"/>
  <c r="W12" i="2" s="1"/>
  <c r="P24" i="2" s="1"/>
  <c r="N7" i="2" a="1"/>
  <c r="N7" i="2" s="1"/>
  <c r="O12" i="2" s="1"/>
  <c r="Q24" i="2" s="1"/>
  <c r="F7" i="2" a="1"/>
  <c r="F7" i="2" s="1"/>
  <c r="G12" i="2" s="1"/>
  <c r="R24" i="2" s="1"/>
  <c r="BJ6" i="1" a="1"/>
  <c r="BJ6" i="1" s="1"/>
  <c r="BJ13" i="1" s="1"/>
  <c r="BB6" i="1" a="1"/>
  <c r="BB6" i="1" s="1"/>
  <c r="BB13" i="1" s="1"/>
  <c r="AT6" i="1" a="1"/>
  <c r="AT6" i="1" s="1"/>
  <c r="AT13" i="1" s="1"/>
  <c r="AL6" i="1" a="1"/>
  <c r="AL6" i="1" s="1"/>
  <c r="AL13" i="1" s="1"/>
  <c r="AD6" i="1" a="1"/>
  <c r="AD6" i="1" s="1"/>
  <c r="AD13" i="1" s="1"/>
  <c r="V6" i="1" a="1"/>
  <c r="V6" i="1" s="1"/>
  <c r="V13" i="1" s="1"/>
  <c r="N6" i="1" a="1"/>
  <c r="N6" i="1" s="1"/>
  <c r="N13" i="1" s="1"/>
  <c r="F6" i="1" a="1"/>
  <c r="F6" i="1" s="1"/>
  <c r="F13" i="1" s="1"/>
  <c r="K6" i="1" a="1"/>
  <c r="K6" i="1" s="1"/>
  <c r="K13" i="1" s="1"/>
  <c r="R7" i="2" a="1"/>
  <c r="R7" i="2" s="1"/>
  <c r="S12" i="2" s="1"/>
  <c r="P22" i="2" s="1"/>
  <c r="AX6" i="1" a="1"/>
  <c r="AX6" i="1" s="1"/>
  <c r="AX13" i="1" s="1"/>
  <c r="C6" i="1" a="1"/>
  <c r="C6" i="1" s="1"/>
  <c r="C13" i="1" s="1"/>
  <c r="I7" i="2" a="1"/>
  <c r="I7" i="2" s="1"/>
  <c r="J12" i="2" s="1"/>
  <c r="R21" i="2" s="1"/>
  <c r="Y6" i="1" a="1"/>
  <c r="Y6" i="1" s="1"/>
  <c r="Y13" i="1" s="1"/>
  <c r="BI7" i="2" a="1"/>
  <c r="BI7" i="2" s="1"/>
  <c r="BJ12" i="2" s="1"/>
  <c r="K19" i="2" s="1"/>
  <c r="BA7" i="2" a="1"/>
  <c r="BA7" i="2" s="1"/>
  <c r="BB12" i="2" s="1"/>
  <c r="L19" i="2" s="1"/>
  <c r="AS7" i="2" a="1"/>
  <c r="AS7" i="2" s="1"/>
  <c r="AT12" i="2" s="1"/>
  <c r="M19" i="2" s="1"/>
  <c r="AK7" i="2" a="1"/>
  <c r="AK7" i="2" s="1"/>
  <c r="AL12" i="2" s="1"/>
  <c r="N19" i="2" s="1"/>
  <c r="AC7" i="2" a="1"/>
  <c r="AC7" i="2" s="1"/>
  <c r="AD12" i="2" s="1"/>
  <c r="O19" i="2" s="1"/>
  <c r="U7" i="2" a="1"/>
  <c r="U7" i="2" s="1"/>
  <c r="V12" i="2" s="1"/>
  <c r="P19" i="2" s="1"/>
  <c r="M7" i="2" a="1"/>
  <c r="M7" i="2" s="1"/>
  <c r="N12" i="2" s="1"/>
  <c r="Q19" i="2" s="1"/>
  <c r="E7" i="2" a="1"/>
  <c r="E7" i="2" s="1"/>
  <c r="F12" i="2" s="1"/>
  <c r="R19" i="2" s="1"/>
  <c r="BI6" i="1" a="1"/>
  <c r="BI6" i="1" s="1"/>
  <c r="BI13" i="1" s="1"/>
  <c r="BA6" i="1" a="1"/>
  <c r="BA6" i="1" s="1"/>
  <c r="BA13" i="1" s="1"/>
  <c r="AS6" i="1" a="1"/>
  <c r="AS6" i="1" s="1"/>
  <c r="AS13" i="1" s="1"/>
  <c r="AK6" i="1" a="1"/>
  <c r="AK6" i="1" s="1"/>
  <c r="AK13" i="1" s="1"/>
  <c r="AC6" i="1" a="1"/>
  <c r="AC6" i="1" s="1"/>
  <c r="AC13" i="1" s="1"/>
  <c r="U6" i="1" a="1"/>
  <c r="U6" i="1" s="1"/>
  <c r="U13" i="1" s="1"/>
  <c r="M6" i="1" a="1"/>
  <c r="M6" i="1" s="1"/>
  <c r="M13" i="1" s="1"/>
  <c r="E6" i="1" a="1"/>
  <c r="E6" i="1" s="1"/>
  <c r="E13" i="1" s="1"/>
  <c r="Z7" i="2" a="1"/>
  <c r="Z7" i="2" s="1"/>
  <c r="AA12" i="2" s="1"/>
  <c r="O22" i="2" s="1"/>
  <c r="AP6" i="1" a="1"/>
  <c r="AP6" i="1" s="1"/>
  <c r="AP13" i="1" s="1"/>
  <c r="AW7" i="2" a="1"/>
  <c r="AW7" i="2" s="1"/>
  <c r="AX12" i="2" s="1"/>
  <c r="M21" i="2" s="1"/>
  <c r="AW6" i="1" a="1"/>
  <c r="AW6" i="1" s="1"/>
  <c r="AW13" i="1" s="1"/>
  <c r="BH7" i="2" a="1"/>
  <c r="BH7" i="2" s="1"/>
  <c r="BI12" i="2" s="1"/>
  <c r="K23" i="2" s="1"/>
  <c r="AZ7" i="2" a="1"/>
  <c r="AZ7" i="2" s="1"/>
  <c r="BA12" i="2" s="1"/>
  <c r="L23" i="2" s="1"/>
  <c r="AR7" i="2" a="1"/>
  <c r="AR7" i="2" s="1"/>
  <c r="AS12" i="2" s="1"/>
  <c r="M23" i="2" s="1"/>
  <c r="AJ7" i="2" a="1"/>
  <c r="AJ7" i="2" s="1"/>
  <c r="AK12" i="2" s="1"/>
  <c r="N23" i="2" s="1"/>
  <c r="AB7" i="2" a="1"/>
  <c r="AB7" i="2" s="1"/>
  <c r="AC12" i="2" s="1"/>
  <c r="O23" i="2" s="1"/>
  <c r="T7" i="2" a="1"/>
  <c r="T7" i="2" s="1"/>
  <c r="U12" i="2" s="1"/>
  <c r="P23" i="2" s="1"/>
  <c r="L7" i="2" a="1"/>
  <c r="L7" i="2" s="1"/>
  <c r="M12" i="2" s="1"/>
  <c r="Q23" i="2" s="1"/>
  <c r="D7" i="2" a="1"/>
  <c r="D7" i="2" s="1"/>
  <c r="E12" i="2" s="1"/>
  <c r="R23" i="2" s="1"/>
  <c r="BH6" i="1" a="1"/>
  <c r="BH6" i="1" s="1"/>
  <c r="BH13" i="1" s="1"/>
  <c r="AZ6" i="1" a="1"/>
  <c r="AZ6" i="1" s="1"/>
  <c r="AZ13" i="1" s="1"/>
  <c r="AR6" i="1" a="1"/>
  <c r="AR6" i="1" s="1"/>
  <c r="AR13" i="1" s="1"/>
  <c r="AJ6" i="1" a="1"/>
  <c r="AJ6" i="1" s="1"/>
  <c r="AJ13" i="1" s="1"/>
  <c r="AB6" i="1" a="1"/>
  <c r="AB6" i="1" s="1"/>
  <c r="AB13" i="1" s="1"/>
  <c r="T6" i="1" a="1"/>
  <c r="T6" i="1" s="1"/>
  <c r="T13" i="1" s="1"/>
  <c r="L6" i="1" a="1"/>
  <c r="L6" i="1" s="1"/>
  <c r="L13" i="1" s="1"/>
  <c r="D6" i="1" a="1"/>
  <c r="D6" i="1" s="1"/>
  <c r="D13" i="1" s="1"/>
  <c r="B6" i="1" a="1"/>
  <c r="B6" i="1" s="1"/>
  <c r="B13" i="1" s="1"/>
  <c r="B7" i="2" a="1"/>
  <c r="B7" i="2" s="1"/>
  <c r="C12" i="2" s="1"/>
  <c r="R22" i="2" s="1"/>
  <c r="AH6" i="1" a="1"/>
  <c r="AH6" i="1" s="1"/>
  <c r="AH13" i="1" s="1"/>
  <c r="AG7" i="2" a="1"/>
  <c r="AG7" i="2" s="1"/>
  <c r="AH12" i="2" s="1"/>
  <c r="O21" i="2" s="1"/>
  <c r="BE6" i="1" a="1"/>
  <c r="BE6" i="1" s="1"/>
  <c r="BE13" i="1" s="1"/>
  <c r="I6" i="1" a="1"/>
  <c r="I6" i="1" s="1"/>
  <c r="I13" i="1" s="1"/>
  <c r="BG7" i="2" a="1"/>
  <c r="BG7" i="2" s="1"/>
  <c r="BH12" i="2" s="1"/>
  <c r="K18" i="2" s="1"/>
  <c r="AY7" i="2" a="1"/>
  <c r="AY7" i="2" s="1"/>
  <c r="AZ12" i="2" s="1"/>
  <c r="L18" i="2" s="1"/>
  <c r="AQ7" i="2" a="1"/>
  <c r="AQ7" i="2" s="1"/>
  <c r="AR12" i="2" s="1"/>
  <c r="M18" i="2" s="1"/>
  <c r="AI7" i="2" a="1"/>
  <c r="AI7" i="2" s="1"/>
  <c r="AJ12" i="2" s="1"/>
  <c r="N18" i="2" s="1"/>
  <c r="AA7" i="2" a="1"/>
  <c r="AA7" i="2" s="1"/>
  <c r="AB12" i="2" s="1"/>
  <c r="O18" i="2" s="1"/>
  <c r="S7" i="2" a="1"/>
  <c r="S7" i="2" s="1"/>
  <c r="T12" i="2" s="1"/>
  <c r="P18" i="2" s="1"/>
  <c r="K7" i="2" a="1"/>
  <c r="K7" i="2" s="1"/>
  <c r="L12" i="2" s="1"/>
  <c r="Q18" i="2" s="1"/>
  <c r="C7" i="2" a="1"/>
  <c r="C7" i="2" s="1"/>
  <c r="D12" i="2" s="1"/>
  <c r="R18" i="2" s="1"/>
  <c r="BG6" i="1" a="1"/>
  <c r="BG6" i="1" s="1"/>
  <c r="BG13" i="1" s="1"/>
  <c r="AY6" i="1" a="1"/>
  <c r="AY6" i="1" s="1"/>
  <c r="AY13" i="1" s="1"/>
  <c r="AQ6" i="1" a="1"/>
  <c r="AQ6" i="1" s="1"/>
  <c r="AQ13" i="1" s="1"/>
  <c r="AI6" i="1" a="1"/>
  <c r="AI6" i="1" s="1"/>
  <c r="AI13" i="1" s="1"/>
  <c r="AA6" i="1" a="1"/>
  <c r="AA6" i="1" s="1"/>
  <c r="AA13" i="1" s="1"/>
  <c r="S6" i="1" a="1"/>
  <c r="S6" i="1" s="1"/>
  <c r="S13" i="1" s="1"/>
  <c r="AH7" i="2" a="1"/>
  <c r="AH7" i="2" s="1"/>
  <c r="AI12" i="2" s="1"/>
  <c r="N22" i="2" s="1"/>
  <c r="R6" i="1" a="1"/>
  <c r="R6" i="1" s="1"/>
  <c r="R13" i="1" s="1"/>
  <c r="Y7" i="2" a="1"/>
  <c r="Y7" i="2" s="1"/>
  <c r="Z12" i="2" s="1"/>
  <c r="P21" i="2" s="1"/>
  <c r="AO6" i="1" a="1"/>
  <c r="AO6" i="1" s="1"/>
  <c r="AO13" i="1" s="1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C738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C689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C64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C59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C54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C49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C44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C395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C346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C297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C248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C199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C150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C101" i="2"/>
  <c r="C52" i="2" l="1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E30" i="2" l="1"/>
  <c r="E34" i="2"/>
  <c r="M30" i="2"/>
  <c r="M34" i="2"/>
  <c r="U30" i="2"/>
  <c r="U34" i="2"/>
  <c r="AC30" i="2"/>
  <c r="AC34" i="2"/>
  <c r="C30" i="2"/>
  <c r="C34" i="2"/>
  <c r="D76" i="2" s="1"/>
  <c r="K30" i="2"/>
  <c r="K34" i="2"/>
  <c r="L76" i="2" s="1"/>
  <c r="S30" i="2"/>
  <c r="S34" i="2"/>
  <c r="T76" i="2" s="1"/>
  <c r="AA30" i="2"/>
  <c r="AA34" i="2"/>
  <c r="AB76" i="2" s="1"/>
  <c r="H30" i="2"/>
  <c r="H34" i="2"/>
  <c r="P30" i="2"/>
  <c r="P34" i="2"/>
  <c r="X30" i="2"/>
  <c r="X34" i="2"/>
  <c r="AF30" i="2"/>
  <c r="AF34" i="2"/>
  <c r="G30" i="2"/>
  <c r="G34" i="2"/>
  <c r="H76" i="2" s="1"/>
  <c r="O30" i="2"/>
  <c r="O34" i="2"/>
  <c r="P76" i="2" s="1"/>
  <c r="W30" i="2"/>
  <c r="W34" i="2"/>
  <c r="X76" i="2" s="1"/>
  <c r="AE30" i="2"/>
  <c r="AE34" i="2"/>
  <c r="AF76" i="2" s="1"/>
  <c r="D34" i="2"/>
  <c r="L30" i="2"/>
  <c r="L34" i="2"/>
  <c r="T30" i="2"/>
  <c r="T34" i="2"/>
  <c r="AB30" i="2"/>
  <c r="AB34" i="2"/>
  <c r="F30" i="2"/>
  <c r="F34" i="2"/>
  <c r="G76" i="2" s="1"/>
  <c r="N30" i="2"/>
  <c r="N34" i="2"/>
  <c r="O76" i="2" s="1"/>
  <c r="V30" i="2"/>
  <c r="V34" i="2"/>
  <c r="W76" i="2" s="1"/>
  <c r="AD30" i="2"/>
  <c r="J30" i="2"/>
  <c r="J34" i="2"/>
  <c r="K76" i="2" s="1"/>
  <c r="R30" i="2"/>
  <c r="R34" i="2"/>
  <c r="S76" i="2" s="1"/>
  <c r="Z30" i="2"/>
  <c r="Z34" i="2"/>
  <c r="AA76" i="2" s="1"/>
  <c r="AH30" i="2"/>
  <c r="AH34" i="2"/>
  <c r="AI76" i="2" s="1"/>
  <c r="I30" i="2"/>
  <c r="I34" i="2"/>
  <c r="Q30" i="2"/>
  <c r="Q34" i="2"/>
  <c r="Y30" i="2"/>
  <c r="Y34" i="2"/>
  <c r="AG30" i="2"/>
  <c r="AG34" i="2"/>
  <c r="N23" i="1"/>
  <c r="L33" i="1" s="1"/>
  <c r="K43" i="1" s="1"/>
  <c r="R19" i="1"/>
  <c r="Q29" i="1" s="1"/>
  <c r="P39" i="1" s="1"/>
  <c r="N24" i="1"/>
  <c r="L34" i="1" s="1"/>
  <c r="K44" i="1" s="1"/>
  <c r="R18" i="1"/>
  <c r="Q28" i="1" s="1"/>
  <c r="P38" i="1" s="1"/>
  <c r="R24" i="1"/>
  <c r="Q34" i="1" s="1"/>
  <c r="P44" i="1" s="1"/>
  <c r="N22" i="1"/>
  <c r="L32" i="1" s="1"/>
  <c r="K42" i="1" s="1"/>
  <c r="R20" i="1"/>
  <c r="Q30" i="1" s="1"/>
  <c r="P40" i="1" s="1"/>
  <c r="R22" i="1"/>
  <c r="Q32" i="1" s="1"/>
  <c r="P42" i="1" s="1"/>
  <c r="N19" i="1"/>
  <c r="L29" i="1" s="1"/>
  <c r="K39" i="1" s="1"/>
  <c r="R23" i="1"/>
  <c r="Q33" i="1" s="1"/>
  <c r="P43" i="1" s="1"/>
  <c r="N18" i="1"/>
  <c r="L28" i="1" s="1"/>
  <c r="K38" i="1" s="1"/>
  <c r="N21" i="1"/>
  <c r="L31" i="1" s="1"/>
  <c r="K41" i="1" s="1"/>
  <c r="R21" i="1"/>
  <c r="Q31" i="1" s="1"/>
  <c r="P41" i="1" s="1"/>
  <c r="N20" i="1"/>
  <c r="L30" i="1" s="1"/>
  <c r="K40" i="1" s="1"/>
  <c r="Q22" i="1"/>
  <c r="P32" i="1" s="1"/>
  <c r="O42" i="1" s="1"/>
  <c r="M19" i="1"/>
  <c r="K29" i="1" s="1"/>
  <c r="J39" i="1" s="1"/>
  <c r="Q23" i="1"/>
  <c r="P33" i="1" s="1"/>
  <c r="O43" i="1" s="1"/>
  <c r="M18" i="1"/>
  <c r="K28" i="1" s="1"/>
  <c r="J38" i="1" s="1"/>
  <c r="M21" i="1"/>
  <c r="K31" i="1" s="1"/>
  <c r="J41" i="1" s="1"/>
  <c r="Q21" i="1"/>
  <c r="P31" i="1" s="1"/>
  <c r="O41" i="1" s="1"/>
  <c r="M20" i="1"/>
  <c r="K30" i="1" s="1"/>
  <c r="J40" i="1" s="1"/>
  <c r="L23" i="1"/>
  <c r="J33" i="1" s="1"/>
  <c r="I43" i="1" s="1"/>
  <c r="P19" i="1"/>
  <c r="O29" i="1" s="1"/>
  <c r="N39" i="1" s="1"/>
  <c r="L24" i="1"/>
  <c r="J34" i="1" s="1"/>
  <c r="I44" i="1" s="1"/>
  <c r="P18" i="1"/>
  <c r="O28" i="1" s="1"/>
  <c r="N38" i="1" s="1"/>
  <c r="P24" i="1"/>
  <c r="O34" i="1" s="1"/>
  <c r="N44" i="1" s="1"/>
  <c r="L22" i="1"/>
  <c r="J32" i="1" s="1"/>
  <c r="I42" i="1" s="1"/>
  <c r="P20" i="1"/>
  <c r="O30" i="1" s="1"/>
  <c r="N40" i="1" s="1"/>
  <c r="P22" i="1"/>
  <c r="O32" i="1" s="1"/>
  <c r="N42" i="1" s="1"/>
  <c r="L19" i="1"/>
  <c r="J29" i="1" s="1"/>
  <c r="I39" i="1" s="1"/>
  <c r="P23" i="1"/>
  <c r="O33" i="1" s="1"/>
  <c r="N43" i="1" s="1"/>
  <c r="L18" i="1"/>
  <c r="J28" i="1" s="1"/>
  <c r="I38" i="1" s="1"/>
  <c r="L21" i="1"/>
  <c r="J31" i="1" s="1"/>
  <c r="I41" i="1" s="1"/>
  <c r="P21" i="1"/>
  <c r="O31" i="1" s="1"/>
  <c r="N41" i="1" s="1"/>
  <c r="L20" i="1"/>
  <c r="J30" i="1" s="1"/>
  <c r="I40" i="1" s="1"/>
  <c r="M23" i="1"/>
  <c r="K33" i="1" s="1"/>
  <c r="J43" i="1" s="1"/>
  <c r="Q19" i="1"/>
  <c r="P29" i="1" s="1"/>
  <c r="O39" i="1" s="1"/>
  <c r="M24" i="1"/>
  <c r="K34" i="1" s="1"/>
  <c r="J44" i="1" s="1"/>
  <c r="Q18" i="1"/>
  <c r="P28" i="1" s="1"/>
  <c r="O38" i="1" s="1"/>
  <c r="Q24" i="1"/>
  <c r="P34" i="1" s="1"/>
  <c r="O44" i="1" s="1"/>
  <c r="M22" i="1"/>
  <c r="K32" i="1" s="1"/>
  <c r="J42" i="1" s="1"/>
  <c r="Q20" i="1"/>
  <c r="P30" i="1" s="1"/>
  <c r="O40" i="1" s="1"/>
  <c r="K23" i="1"/>
  <c r="I33" i="1" s="1"/>
  <c r="L43" i="1" s="1"/>
  <c r="O19" i="1"/>
  <c r="N29" i="1" s="1"/>
  <c r="Q39" i="1" s="1"/>
  <c r="K24" i="1"/>
  <c r="I34" i="1" s="1"/>
  <c r="L44" i="1" s="1"/>
  <c r="O18" i="1"/>
  <c r="N28" i="1" s="1"/>
  <c r="Q38" i="1" s="1"/>
  <c r="O24" i="1"/>
  <c r="N34" i="1" s="1"/>
  <c r="Q44" i="1" s="1"/>
  <c r="K22" i="1"/>
  <c r="I32" i="1" s="1"/>
  <c r="L42" i="1" s="1"/>
  <c r="O20" i="1"/>
  <c r="N30" i="1" s="1"/>
  <c r="Q40" i="1" s="1"/>
  <c r="O22" i="1"/>
  <c r="N32" i="1" s="1"/>
  <c r="Q42" i="1" s="1"/>
  <c r="K19" i="1"/>
  <c r="I29" i="1" s="1"/>
  <c r="L39" i="1" s="1"/>
  <c r="O23" i="1"/>
  <c r="N33" i="1" s="1"/>
  <c r="Q43" i="1" s="1"/>
  <c r="K18" i="1"/>
  <c r="I28" i="1" s="1"/>
  <c r="L38" i="1" s="1"/>
  <c r="K21" i="1"/>
  <c r="I31" i="1" s="1"/>
  <c r="L41" i="1" s="1"/>
  <c r="O21" i="1"/>
  <c r="N31" i="1" s="1"/>
  <c r="Q41" i="1" s="1"/>
  <c r="K20" i="1"/>
  <c r="I30" i="1" s="1"/>
  <c r="L40" i="1" s="1"/>
  <c r="M41" i="2" l="1"/>
  <c r="X49" i="2" s="1"/>
  <c r="R76" i="2"/>
  <c r="L44" i="2"/>
  <c r="AO49" i="2" s="1"/>
  <c r="AC76" i="2"/>
  <c r="L41" i="2"/>
  <c r="W49" i="2" s="1"/>
  <c r="Q76" i="2"/>
  <c r="M44" i="2"/>
  <c r="AP49" i="2" s="1"/>
  <c r="AD76" i="2"/>
  <c r="M40" i="2"/>
  <c r="R49" i="2" s="1"/>
  <c r="N76" i="2"/>
  <c r="M45" i="2"/>
  <c r="AV49" i="2" s="1"/>
  <c r="AH76" i="2"/>
  <c r="L40" i="2"/>
  <c r="Q49" i="2" s="1"/>
  <c r="M76" i="2"/>
  <c r="L45" i="2"/>
  <c r="AU49" i="2" s="1"/>
  <c r="AG76" i="2"/>
  <c r="M43" i="2"/>
  <c r="AJ49" i="2" s="1"/>
  <c r="Z76" i="2"/>
  <c r="M39" i="2"/>
  <c r="L49" i="2" s="1"/>
  <c r="J76" i="2"/>
  <c r="L42" i="2"/>
  <c r="AC49" i="2" s="1"/>
  <c r="U76" i="2"/>
  <c r="L38" i="2"/>
  <c r="E49" i="2" s="1"/>
  <c r="E76" i="2"/>
  <c r="L43" i="2"/>
  <c r="AI49" i="2" s="1"/>
  <c r="Y76" i="2"/>
  <c r="L39" i="2"/>
  <c r="K49" i="2" s="1"/>
  <c r="I76" i="2"/>
  <c r="M42" i="2"/>
  <c r="AD49" i="2" s="1"/>
  <c r="V76" i="2"/>
  <c r="M38" i="2"/>
  <c r="F49" i="2" s="1"/>
  <c r="F76" i="2"/>
  <c r="K45" i="2"/>
  <c r="AT49" i="2" s="1"/>
  <c r="O44" i="2"/>
  <c r="AR49" i="2" s="1"/>
  <c r="O40" i="2"/>
  <c r="T49" i="2" s="1"/>
  <c r="K41" i="2"/>
  <c r="V49" i="2" s="1"/>
  <c r="K43" i="2"/>
  <c r="AH49" i="2" s="1"/>
  <c r="O42" i="2"/>
  <c r="AF49" i="2" s="1"/>
  <c r="O38" i="2"/>
  <c r="H49" i="2" s="1"/>
  <c r="K39" i="2"/>
  <c r="J49" i="2" s="1"/>
  <c r="K40" i="2"/>
  <c r="P49" i="2" s="1"/>
  <c r="O39" i="2"/>
  <c r="N49" i="2" s="1"/>
  <c r="O41" i="2"/>
  <c r="Z49" i="2" s="1"/>
  <c r="K42" i="2"/>
  <c r="AB49" i="2" s="1"/>
  <c r="O45" i="2"/>
  <c r="AX49" i="2" s="1"/>
  <c r="K38" i="2"/>
  <c r="D49" i="2" s="1"/>
  <c r="K44" i="2"/>
  <c r="AN49" i="2" s="1"/>
  <c r="O43" i="2"/>
  <c r="AL49" i="2" s="1"/>
  <c r="N45" i="2"/>
  <c r="AW49" i="2" s="1"/>
  <c r="J38" i="2"/>
  <c r="C49" i="2" s="1"/>
  <c r="N41" i="2"/>
  <c r="Y49" i="2" s="1"/>
  <c r="J42" i="2"/>
  <c r="AA49" i="2" s="1"/>
  <c r="N43" i="2"/>
  <c r="AK49" i="2" s="1"/>
  <c r="J44" i="2"/>
  <c r="AM49" i="2" s="1"/>
  <c r="J40" i="2"/>
  <c r="O49" i="2" s="1"/>
  <c r="N39" i="2"/>
  <c r="M49" i="2" s="1"/>
  <c r="N40" i="2"/>
  <c r="S49" i="2" s="1"/>
  <c r="J41" i="2"/>
  <c r="U49" i="2" s="1"/>
  <c r="J43" i="2"/>
  <c r="AG49" i="2" s="1"/>
  <c r="N42" i="2"/>
  <c r="AE49" i="2" s="1"/>
  <c r="N38" i="2"/>
  <c r="G49" i="2" s="1"/>
  <c r="J39" i="2"/>
  <c r="I49" i="2" s="1"/>
  <c r="D30" i="2"/>
  <c r="AD34" i="2"/>
  <c r="AE76" i="2" s="1"/>
  <c r="M76" i="1"/>
  <c r="M48" i="1"/>
  <c r="M58" i="1" s="1"/>
  <c r="Y67" i="1" s="1"/>
  <c r="M46" i="1"/>
  <c r="M57" i="1" s="1"/>
  <c r="S67" i="1" s="1"/>
  <c r="M74" i="1"/>
  <c r="R76" i="1"/>
  <c r="Q48" i="1"/>
  <c r="M55" i="1" s="1"/>
  <c r="G67" i="1" s="1"/>
  <c r="R74" i="1"/>
  <c r="Q46" i="1"/>
  <c r="O57" i="1" s="1"/>
  <c r="U67" i="1" s="1"/>
  <c r="P76" i="1"/>
  <c r="O48" i="1"/>
  <c r="P74" i="1"/>
  <c r="O46" i="1"/>
  <c r="M56" i="1" s="1"/>
  <c r="M67" i="1" s="1"/>
  <c r="N76" i="1"/>
  <c r="J48" i="1"/>
  <c r="K55" i="1" s="1"/>
  <c r="E67" i="1" s="1"/>
  <c r="N74" i="1"/>
  <c r="J46" i="1"/>
  <c r="N55" i="1" s="1"/>
  <c r="H67" i="1" s="1"/>
  <c r="S76" i="1"/>
  <c r="N48" i="1"/>
  <c r="N56" i="1" s="1"/>
  <c r="N67" i="1" s="1"/>
  <c r="S74" i="1"/>
  <c r="N46" i="1"/>
  <c r="O55" i="1" s="1"/>
  <c r="I67" i="1" s="1"/>
  <c r="K76" i="1"/>
  <c r="K48" i="1"/>
  <c r="K74" i="1"/>
  <c r="K46" i="1"/>
  <c r="O58" i="1" s="1"/>
  <c r="AA67" i="1" s="1"/>
  <c r="L76" i="1"/>
  <c r="L48" i="1"/>
  <c r="K57" i="1" s="1"/>
  <c r="Q67" i="1" s="1"/>
  <c r="L74" i="1"/>
  <c r="L46" i="1"/>
  <c r="J56" i="1" s="1"/>
  <c r="J67" i="1" s="1"/>
  <c r="Q76" i="1"/>
  <c r="P48" i="1"/>
  <c r="J57" i="1" s="1"/>
  <c r="P67" i="1" s="1"/>
  <c r="Q74" i="1"/>
  <c r="P46" i="1"/>
  <c r="K58" i="1" s="1"/>
  <c r="W67" i="1" s="1"/>
  <c r="R77" i="1"/>
  <c r="Q49" i="1"/>
  <c r="O62" i="1" s="1"/>
  <c r="AY67" i="1" s="1"/>
  <c r="R79" i="1"/>
  <c r="Q51" i="1"/>
  <c r="O60" i="1" s="1"/>
  <c r="AM67" i="1" s="1"/>
  <c r="M50" i="1"/>
  <c r="M62" i="1" s="1"/>
  <c r="AW67" i="1" s="1"/>
  <c r="M78" i="1"/>
  <c r="M80" i="1"/>
  <c r="M52" i="1"/>
  <c r="K59" i="1" s="1"/>
  <c r="AC67" i="1" s="1"/>
  <c r="K78" i="1"/>
  <c r="K50" i="1"/>
  <c r="N61" i="1" s="1"/>
  <c r="AR67" i="1" s="1"/>
  <c r="K80" i="1"/>
  <c r="K52" i="1"/>
  <c r="L62" i="1" s="1"/>
  <c r="AV67" i="1" s="1"/>
  <c r="S77" i="1"/>
  <c r="N49" i="1"/>
  <c r="N62" i="1" s="1"/>
  <c r="AX67" i="1" s="1"/>
  <c r="S79" i="1"/>
  <c r="N51" i="1"/>
  <c r="M60" i="1" s="1"/>
  <c r="AK67" i="1" s="1"/>
  <c r="N78" i="1"/>
  <c r="J50" i="1"/>
  <c r="N60" i="1" s="1"/>
  <c r="AL67" i="1" s="1"/>
  <c r="N80" i="1"/>
  <c r="J52" i="1"/>
  <c r="K61" i="1" s="1"/>
  <c r="AO67" i="1" s="1"/>
  <c r="P77" i="1"/>
  <c r="O49" i="1"/>
  <c r="J60" i="1" s="1"/>
  <c r="AH67" i="1" s="1"/>
  <c r="P79" i="1"/>
  <c r="O51" i="1"/>
  <c r="J62" i="1" s="1"/>
  <c r="AT67" i="1" s="1"/>
  <c r="Q77" i="1"/>
  <c r="P49" i="1"/>
  <c r="L59" i="1" s="1"/>
  <c r="AD67" i="1" s="1"/>
  <c r="Q79" i="1"/>
  <c r="P51" i="1"/>
  <c r="N59" i="1" s="1"/>
  <c r="AF67" i="1" s="1"/>
  <c r="L78" i="1"/>
  <c r="L50" i="1"/>
  <c r="L80" i="1"/>
  <c r="L52" i="1"/>
  <c r="L60" i="1" s="1"/>
  <c r="AJ67" i="1" s="1"/>
  <c r="M75" i="1"/>
  <c r="M47" i="1"/>
  <c r="L57" i="1" s="1"/>
  <c r="R67" i="1" s="1"/>
  <c r="R75" i="1"/>
  <c r="Q47" i="1"/>
  <c r="J58" i="1" s="1"/>
  <c r="V67" i="1" s="1"/>
  <c r="P75" i="1"/>
  <c r="O47" i="1"/>
  <c r="J55" i="1" s="1"/>
  <c r="D67" i="1" s="1"/>
  <c r="N77" i="1"/>
  <c r="J49" i="1"/>
  <c r="N75" i="1"/>
  <c r="J47" i="1"/>
  <c r="N52" i="1"/>
  <c r="O61" i="1" s="1"/>
  <c r="AS67" i="1" s="1"/>
  <c r="S80" i="1"/>
  <c r="S75" i="1"/>
  <c r="N47" i="1"/>
  <c r="N58" i="1" s="1"/>
  <c r="Z67" i="1" s="1"/>
  <c r="K77" i="1"/>
  <c r="K49" i="1"/>
  <c r="N57" i="1" s="1"/>
  <c r="T67" i="1" s="1"/>
  <c r="K75" i="1"/>
  <c r="K47" i="1"/>
  <c r="O56" i="1" s="1"/>
  <c r="O67" i="1" s="1"/>
  <c r="L77" i="1"/>
  <c r="L49" i="1"/>
  <c r="L58" i="1" s="1"/>
  <c r="X67" i="1" s="1"/>
  <c r="L75" i="1"/>
  <c r="L47" i="1"/>
  <c r="L55" i="1" s="1"/>
  <c r="F67" i="1" s="1"/>
  <c r="Q80" i="1"/>
  <c r="P52" i="1"/>
  <c r="O59" i="1" s="1"/>
  <c r="AG67" i="1" s="1"/>
  <c r="Q75" i="1"/>
  <c r="P47" i="1"/>
  <c r="L56" i="1" s="1"/>
  <c r="L67" i="1" s="1"/>
  <c r="M77" i="1"/>
  <c r="M49" i="1"/>
  <c r="K56" i="1" s="1"/>
  <c r="K67" i="1" s="1"/>
  <c r="Q52" i="1"/>
  <c r="M61" i="1" s="1"/>
  <c r="AQ67" i="1" s="1"/>
  <c r="R80" i="1"/>
  <c r="P80" i="1"/>
  <c r="O52" i="1"/>
  <c r="R78" i="1"/>
  <c r="Q50" i="1"/>
  <c r="K60" i="1" s="1"/>
  <c r="AI67" i="1" s="1"/>
  <c r="M79" i="1"/>
  <c r="M51" i="1"/>
  <c r="J61" i="1" s="1"/>
  <c r="AN67" i="1" s="1"/>
  <c r="K79" i="1"/>
  <c r="K51" i="1"/>
  <c r="K62" i="1" s="1"/>
  <c r="AU67" i="1" s="1"/>
  <c r="S78" i="1"/>
  <c r="N50" i="1"/>
  <c r="M59" i="1" s="1"/>
  <c r="AE67" i="1" s="1"/>
  <c r="N79" i="1"/>
  <c r="J51" i="1"/>
  <c r="J59" i="1" s="1"/>
  <c r="AB67" i="1" s="1"/>
  <c r="P78" i="1"/>
  <c r="O50" i="1"/>
  <c r="Q78" i="1"/>
  <c r="P50" i="1"/>
  <c r="L61" i="1" s="1"/>
  <c r="AP67" i="1" s="1"/>
  <c r="L79" i="1"/>
  <c r="L51" i="1"/>
  <c r="M57" i="2" l="1"/>
  <c r="AA57" i="2"/>
  <c r="AG57" i="2"/>
  <c r="O57" i="2"/>
  <c r="Y57" i="2"/>
  <c r="F57" i="2"/>
  <c r="K57" i="2"/>
  <c r="E57" i="2"/>
  <c r="AV57" i="2"/>
  <c r="AP57" i="2"/>
  <c r="AO57" i="2"/>
  <c r="AE57" i="2"/>
  <c r="AL57" i="2"/>
  <c r="AB57" i="2"/>
  <c r="J57" i="2"/>
  <c r="V57" i="2"/>
  <c r="AN57" i="2"/>
  <c r="Z57" i="2"/>
  <c r="H57" i="2"/>
  <c r="T57" i="2"/>
  <c r="L57" i="2"/>
  <c r="AU57" i="2"/>
  <c r="I57" i="2"/>
  <c r="U57" i="2"/>
  <c r="AM57" i="2"/>
  <c r="C57" i="2"/>
  <c r="D57" i="2"/>
  <c r="N57" i="2"/>
  <c r="AF57" i="2"/>
  <c r="AR57" i="2"/>
  <c r="G57" i="2"/>
  <c r="S57" i="2"/>
  <c r="AK57" i="2"/>
  <c r="AW57" i="2"/>
  <c r="AX57" i="2"/>
  <c r="P57" i="2"/>
  <c r="AH57" i="2"/>
  <c r="AT57" i="2"/>
  <c r="AD57" i="2"/>
  <c r="AI57" i="2"/>
  <c r="AC57" i="2"/>
  <c r="AJ57" i="2"/>
  <c r="Q57" i="2"/>
  <c r="R57" i="2"/>
  <c r="W57" i="2"/>
  <c r="X57" i="2"/>
  <c r="AD53" i="2"/>
  <c r="AD781" i="6"/>
  <c r="AF53" i="2"/>
  <c r="AF781" i="6"/>
  <c r="U53" i="2"/>
  <c r="U781" i="6"/>
  <c r="AS53" i="2"/>
  <c r="AS781" i="6"/>
  <c r="AU53" i="2"/>
  <c r="AU781" i="6"/>
  <c r="AL53" i="2"/>
  <c r="AL781" i="6"/>
  <c r="I53" i="2"/>
  <c r="I781" i="6"/>
  <c r="Z53" i="2"/>
  <c r="Z781" i="6"/>
  <c r="H53" i="2"/>
  <c r="H781" i="6"/>
  <c r="G53" i="2"/>
  <c r="G781" i="6"/>
  <c r="L53" i="2"/>
  <c r="L781" i="6"/>
  <c r="T53" i="2"/>
  <c r="T781" i="6"/>
  <c r="AR53" i="2"/>
  <c r="AR781" i="6"/>
  <c r="R53" i="2"/>
  <c r="R781" i="6"/>
  <c r="AM53" i="2"/>
  <c r="AM781" i="6"/>
  <c r="W53" i="2"/>
  <c r="W781" i="6"/>
  <c r="AI53" i="2"/>
  <c r="AI781" i="6"/>
  <c r="AN53" i="2"/>
  <c r="AN781" i="6"/>
  <c r="AB53" i="2"/>
  <c r="AB781" i="6"/>
  <c r="AO53" i="2"/>
  <c r="AO781" i="6"/>
  <c r="AT53" i="2"/>
  <c r="AT781" i="6"/>
  <c r="K53" i="2"/>
  <c r="K781" i="6"/>
  <c r="N53" i="2"/>
  <c r="N781" i="6"/>
  <c r="Q53" i="2"/>
  <c r="Q781" i="6"/>
  <c r="AC53" i="2"/>
  <c r="AC781" i="6"/>
  <c r="AG53" i="2"/>
  <c r="AG781" i="6"/>
  <c r="AK53" i="2"/>
  <c r="AK781" i="6"/>
  <c r="AW53" i="2"/>
  <c r="AW781" i="6"/>
  <c r="AQ53" i="2"/>
  <c r="AQ781" i="6"/>
  <c r="AX53" i="2"/>
  <c r="AX781" i="6"/>
  <c r="O53" i="2"/>
  <c r="O781" i="6"/>
  <c r="P53" i="2"/>
  <c r="P781" i="6"/>
  <c r="M53" i="2"/>
  <c r="M781" i="6"/>
  <c r="D53" i="2"/>
  <c r="D781" i="6"/>
  <c r="F53" i="2"/>
  <c r="F781" i="6"/>
  <c r="X53" i="2"/>
  <c r="X781" i="6"/>
  <c r="J53" i="2"/>
  <c r="J781" i="6"/>
  <c r="S53" i="2"/>
  <c r="S781" i="6"/>
  <c r="AE53" i="2"/>
  <c r="AE781" i="6"/>
  <c r="AJ53" i="2"/>
  <c r="AJ781" i="6"/>
  <c r="V53" i="2"/>
  <c r="V781" i="6"/>
  <c r="AA53" i="2"/>
  <c r="AA781" i="6"/>
  <c r="AH53" i="2"/>
  <c r="AH781" i="6"/>
  <c r="E53" i="2"/>
  <c r="E781" i="6"/>
  <c r="Y53" i="2"/>
  <c r="Y781" i="6"/>
  <c r="C53" i="2"/>
  <c r="C781" i="6"/>
  <c r="AP53" i="2"/>
  <c r="AP781" i="6"/>
  <c r="AV53" i="2"/>
  <c r="AV781" i="6"/>
  <c r="N44" i="2"/>
  <c r="AQ49" i="2" s="1"/>
  <c r="AQ57" i="2" s="1"/>
  <c r="J45" i="2"/>
  <c r="AS49" i="2" s="1"/>
  <c r="AS57" i="2" s="1"/>
  <c r="Q114" i="1"/>
  <c r="S89" i="1"/>
  <c r="O98" i="1" s="1"/>
  <c r="AQ102" i="1" s="1"/>
  <c r="K108" i="1"/>
  <c r="N83" i="1"/>
  <c r="L93" i="1" s="1"/>
  <c r="J102" i="1" s="1"/>
  <c r="M88" i="1"/>
  <c r="M99" i="1" s="1"/>
  <c r="AU102" i="1" s="1"/>
  <c r="N113" i="1"/>
  <c r="P87" i="1"/>
  <c r="O96" i="1" s="1"/>
  <c r="AE102" i="1" s="1"/>
  <c r="R112" i="1"/>
  <c r="Q112" i="1"/>
  <c r="S87" i="1"/>
  <c r="M97" i="1" s="1"/>
  <c r="AI102" i="1" s="1"/>
  <c r="K113" i="1"/>
  <c r="N88" i="1"/>
  <c r="P89" i="1"/>
  <c r="Q98" i="1" s="1"/>
  <c r="AS102" i="1" s="1"/>
  <c r="R114" i="1"/>
  <c r="K111" i="1"/>
  <c r="N86" i="1"/>
  <c r="N95" i="1" s="1"/>
  <c r="X102" i="1" s="1"/>
  <c r="Q89" i="1"/>
  <c r="S114" i="1"/>
  <c r="M86" i="1"/>
  <c r="P94" i="1" s="1"/>
  <c r="T102" i="1" s="1"/>
  <c r="N111" i="1"/>
  <c r="L86" i="1"/>
  <c r="M111" i="1"/>
  <c r="L111" i="1"/>
  <c r="O86" i="1"/>
  <c r="M93" i="1" s="1"/>
  <c r="K102" i="1" s="1"/>
  <c r="P109" i="1"/>
  <c r="R84" i="1"/>
  <c r="N93" i="1" s="1"/>
  <c r="L102" i="1" s="1"/>
  <c r="M89" i="1"/>
  <c r="N99" i="1" s="1"/>
  <c r="AV102" i="1" s="1"/>
  <c r="N114" i="1"/>
  <c r="Q88" i="1"/>
  <c r="L99" i="1" s="1"/>
  <c r="AT102" i="1" s="1"/>
  <c r="S113" i="1"/>
  <c r="P88" i="1"/>
  <c r="O97" i="1" s="1"/>
  <c r="AK102" i="1" s="1"/>
  <c r="R113" i="1"/>
  <c r="L114" i="1"/>
  <c r="O89" i="1"/>
  <c r="M96" i="1" s="1"/>
  <c r="AC102" i="1" s="1"/>
  <c r="Q113" i="1"/>
  <c r="S88" i="1"/>
  <c r="Q97" i="1" s="1"/>
  <c r="AM102" i="1" s="1"/>
  <c r="L89" i="1"/>
  <c r="M98" i="1" s="1"/>
  <c r="AO102" i="1" s="1"/>
  <c r="M114" i="1"/>
  <c r="K114" i="1"/>
  <c r="N89" i="1"/>
  <c r="N97" i="1" s="1"/>
  <c r="AJ102" i="1" s="1"/>
  <c r="P113" i="1"/>
  <c r="R88" i="1"/>
  <c r="P96" i="1" s="1"/>
  <c r="AF102" i="1" s="1"/>
  <c r="Q83" i="1"/>
  <c r="O93" i="1" s="1"/>
  <c r="M102" i="1" s="1"/>
  <c r="S108" i="1"/>
  <c r="M83" i="1"/>
  <c r="Q95" i="1" s="1"/>
  <c r="AA102" i="1" s="1"/>
  <c r="N108" i="1"/>
  <c r="L83" i="1"/>
  <c r="P92" i="1" s="1"/>
  <c r="H102" i="1" s="1"/>
  <c r="M108" i="1"/>
  <c r="Q108" i="1"/>
  <c r="S83" i="1"/>
  <c r="Q94" i="1" s="1"/>
  <c r="U102" i="1" s="1"/>
  <c r="L108" i="1"/>
  <c r="O83" i="1"/>
  <c r="O94" i="1" s="1"/>
  <c r="S102" i="1" s="1"/>
  <c r="P83" i="1"/>
  <c r="Q92" i="1" s="1"/>
  <c r="I102" i="1" s="1"/>
  <c r="R108" i="1"/>
  <c r="P108" i="1"/>
  <c r="R83" i="1"/>
  <c r="M95" i="1" s="1"/>
  <c r="W102" i="1" s="1"/>
  <c r="P114" i="1"/>
  <c r="R89" i="1"/>
  <c r="Q96" i="1" s="1"/>
  <c r="AG102" i="1" s="1"/>
  <c r="K112" i="1"/>
  <c r="N87" i="1"/>
  <c r="Q87" i="1"/>
  <c r="S112" i="1"/>
  <c r="L113" i="1"/>
  <c r="O88" i="1"/>
  <c r="L98" i="1" s="1"/>
  <c r="AN102" i="1" s="1"/>
  <c r="L88" i="1"/>
  <c r="L96" i="1" s="1"/>
  <c r="AB102" i="1" s="1"/>
  <c r="M113" i="1"/>
  <c r="P112" i="1"/>
  <c r="R87" i="1"/>
  <c r="N98" i="1" s="1"/>
  <c r="AP102" i="1" s="1"/>
  <c r="Q84" i="1"/>
  <c r="L92" i="1" s="1"/>
  <c r="D102" i="1" s="1"/>
  <c r="S109" i="1"/>
  <c r="M84" i="1"/>
  <c r="Q93" i="1" s="1"/>
  <c r="O102" i="1" s="1"/>
  <c r="N109" i="1"/>
  <c r="L84" i="1"/>
  <c r="M109" i="1"/>
  <c r="Q109" i="1"/>
  <c r="S84" i="1"/>
  <c r="L95" i="1" s="1"/>
  <c r="V102" i="1" s="1"/>
  <c r="L109" i="1"/>
  <c r="O84" i="1"/>
  <c r="N94" i="1" s="1"/>
  <c r="R102" i="1" s="1"/>
  <c r="P84" i="1"/>
  <c r="P95" i="1" s="1"/>
  <c r="Z102" i="1" s="1"/>
  <c r="R109" i="1"/>
  <c r="K109" i="1"/>
  <c r="N84" i="1"/>
  <c r="N92" i="1" s="1"/>
  <c r="F102" i="1" s="1"/>
  <c r="M87" i="1"/>
  <c r="P98" i="1" s="1"/>
  <c r="AR102" i="1" s="1"/>
  <c r="N112" i="1"/>
  <c r="Q86" i="1"/>
  <c r="L97" i="1" s="1"/>
  <c r="AH102" i="1" s="1"/>
  <c r="S111" i="1"/>
  <c r="P86" i="1"/>
  <c r="P99" i="1" s="1"/>
  <c r="AX102" i="1" s="1"/>
  <c r="R111" i="1"/>
  <c r="L112" i="1"/>
  <c r="O87" i="1"/>
  <c r="O99" i="1" s="1"/>
  <c r="AW102" i="1" s="1"/>
  <c r="Q111" i="1"/>
  <c r="S86" i="1"/>
  <c r="Q99" i="1" s="1"/>
  <c r="AY102" i="1" s="1"/>
  <c r="L87" i="1"/>
  <c r="P97" i="1" s="1"/>
  <c r="AL102" i="1" s="1"/>
  <c r="M112" i="1"/>
  <c r="P111" i="1"/>
  <c r="R86" i="1"/>
  <c r="N96" i="1" s="1"/>
  <c r="AD102" i="1" s="1"/>
  <c r="Q85" i="1"/>
  <c r="S110" i="1"/>
  <c r="M85" i="1"/>
  <c r="N110" i="1"/>
  <c r="L85" i="1"/>
  <c r="M92" i="1" s="1"/>
  <c r="E102" i="1" s="1"/>
  <c r="M110" i="1"/>
  <c r="Q110" i="1"/>
  <c r="S85" i="1"/>
  <c r="O92" i="1" s="1"/>
  <c r="G102" i="1" s="1"/>
  <c r="L110" i="1"/>
  <c r="O85" i="1"/>
  <c r="O95" i="1" s="1"/>
  <c r="Y102" i="1" s="1"/>
  <c r="P85" i="1"/>
  <c r="P93" i="1" s="1"/>
  <c r="N102" i="1" s="1"/>
  <c r="R110" i="1"/>
  <c r="P110" i="1"/>
  <c r="R85" i="1"/>
  <c r="L94" i="1" s="1"/>
  <c r="P102" i="1" s="1"/>
  <c r="K110" i="1"/>
  <c r="N85" i="1"/>
  <c r="M94" i="1" s="1"/>
  <c r="Q102" i="1" s="1"/>
  <c r="C60" i="2" l="1"/>
  <c r="AA60" i="2"/>
  <c r="O59" i="2"/>
  <c r="AG60" i="2"/>
  <c r="C59" i="2"/>
  <c r="AG59" i="2"/>
  <c r="U59" i="2"/>
  <c r="I59" i="2"/>
  <c r="O60" i="2"/>
  <c r="AS59" i="2"/>
  <c r="AA59" i="2"/>
  <c r="AM60" i="2"/>
  <c r="I60" i="2"/>
  <c r="U60" i="2"/>
  <c r="F102" i="2"/>
  <c r="F732" i="6"/>
  <c r="AX102" i="2"/>
  <c r="AX732" i="6"/>
  <c r="AO102" i="2"/>
  <c r="AO732" i="6"/>
  <c r="R102" i="2"/>
  <c r="R732" i="6"/>
  <c r="AL102" i="2"/>
  <c r="AL732" i="6"/>
  <c r="W102" i="2"/>
  <c r="W732" i="6"/>
  <c r="M102" i="2"/>
  <c r="M732" i="6"/>
  <c r="AQ102" i="2"/>
  <c r="AQ732" i="6"/>
  <c r="N102" i="2"/>
  <c r="N732" i="6"/>
  <c r="L102" i="2"/>
  <c r="L732" i="6"/>
  <c r="AU102" i="2"/>
  <c r="AU732" i="6"/>
  <c r="AD102" i="2"/>
  <c r="AD732" i="6"/>
  <c r="O102" i="2"/>
  <c r="O732" i="6"/>
  <c r="AV102" i="2"/>
  <c r="AV732" i="6"/>
  <c r="E102" i="2"/>
  <c r="E732" i="6"/>
  <c r="Q102" i="2"/>
  <c r="Q732" i="6"/>
  <c r="AF102" i="2"/>
  <c r="AF732" i="6"/>
  <c r="T102" i="2"/>
  <c r="T732" i="6"/>
  <c r="AE102" i="2"/>
  <c r="AE732" i="6"/>
  <c r="AB102" i="2"/>
  <c r="AB732" i="6"/>
  <c r="K102" i="2"/>
  <c r="K732" i="6"/>
  <c r="AH102" i="2"/>
  <c r="AH732" i="6"/>
  <c r="AP102" i="2"/>
  <c r="AP732" i="6"/>
  <c r="P102" i="2"/>
  <c r="P732" i="6"/>
  <c r="AC102" i="2"/>
  <c r="AC732" i="6"/>
  <c r="U102" i="2"/>
  <c r="U732" i="6"/>
  <c r="AM102" i="2"/>
  <c r="AM732" i="6"/>
  <c r="V102" i="2"/>
  <c r="V732" i="6"/>
  <c r="AI102" i="2"/>
  <c r="AI732" i="6"/>
  <c r="J102" i="2"/>
  <c r="J732" i="6"/>
  <c r="I102" i="2"/>
  <c r="I732" i="6"/>
  <c r="AW102" i="2"/>
  <c r="AW732" i="6"/>
  <c r="Y102" i="2"/>
  <c r="Y732" i="6"/>
  <c r="G102" i="2"/>
  <c r="G732" i="6"/>
  <c r="AJ102" i="2"/>
  <c r="AJ732" i="6"/>
  <c r="S102" i="2"/>
  <c r="S732" i="6"/>
  <c r="X102" i="2"/>
  <c r="X732" i="6"/>
  <c r="D102" i="2"/>
  <c r="D732" i="6"/>
  <c r="AK102" i="2"/>
  <c r="AK732" i="6"/>
  <c r="AG102" i="2"/>
  <c r="AG732" i="6"/>
  <c r="C102" i="2"/>
  <c r="C732" i="6"/>
  <c r="AA102" i="2"/>
  <c r="AA732" i="6"/>
  <c r="H102" i="2"/>
  <c r="H732" i="6"/>
  <c r="Z102" i="2"/>
  <c r="Z732" i="6"/>
  <c r="AN102" i="2"/>
  <c r="AN732" i="6"/>
  <c r="AS102" i="2"/>
  <c r="AS732" i="6"/>
  <c r="AR102" i="2"/>
  <c r="AR732" i="6"/>
  <c r="AT102" i="2"/>
  <c r="AT732" i="6"/>
  <c r="AM59" i="2"/>
  <c r="AS60" i="2"/>
  <c r="P144" i="1"/>
  <c r="R119" i="1"/>
  <c r="L128" i="1" s="1"/>
  <c r="P136" i="1" s="1"/>
  <c r="L146" i="1"/>
  <c r="O121" i="1"/>
  <c r="O133" i="1" s="1"/>
  <c r="AW136" i="1" s="1"/>
  <c r="L148" i="1"/>
  <c r="O123" i="1"/>
  <c r="M130" i="1" s="1"/>
  <c r="AC136" i="1" s="1"/>
  <c r="L145" i="1"/>
  <c r="O120" i="1"/>
  <c r="M127" i="1" s="1"/>
  <c r="K136" i="1" s="1"/>
  <c r="M144" i="1"/>
  <c r="L119" i="1"/>
  <c r="M126" i="1" s="1"/>
  <c r="E136" i="1" s="1"/>
  <c r="Q119" i="1"/>
  <c r="S144" i="1"/>
  <c r="R145" i="1"/>
  <c r="P120" i="1"/>
  <c r="P133" i="1" s="1"/>
  <c r="AX136" i="1" s="1"/>
  <c r="Q120" i="1"/>
  <c r="L131" i="1" s="1"/>
  <c r="AH136" i="1" s="1"/>
  <c r="S145" i="1"/>
  <c r="Q118" i="1"/>
  <c r="L126" i="1" s="1"/>
  <c r="D136" i="1" s="1"/>
  <c r="S143" i="1"/>
  <c r="R146" i="1"/>
  <c r="P121" i="1"/>
  <c r="O130" i="1" s="1"/>
  <c r="AE136" i="1" s="1"/>
  <c r="M122" i="1"/>
  <c r="M133" i="1" s="1"/>
  <c r="AU136" i="1" s="1"/>
  <c r="N147" i="1"/>
  <c r="M146" i="1"/>
  <c r="L121" i="1"/>
  <c r="P131" i="1" s="1"/>
  <c r="AL136" i="1" s="1"/>
  <c r="R142" i="1"/>
  <c r="P117" i="1"/>
  <c r="Q126" i="1" s="1"/>
  <c r="I136" i="1" s="1"/>
  <c r="M117" i="1"/>
  <c r="Q129" i="1" s="1"/>
  <c r="AA136" i="1" s="1"/>
  <c r="N142" i="1"/>
  <c r="M148" i="1"/>
  <c r="L123" i="1"/>
  <c r="M132" i="1" s="1"/>
  <c r="AO136" i="1" s="1"/>
  <c r="Q122" i="1"/>
  <c r="L133" i="1" s="1"/>
  <c r="AT136" i="1" s="1"/>
  <c r="S147" i="1"/>
  <c r="M120" i="1"/>
  <c r="P128" i="1" s="1"/>
  <c r="T136" i="1" s="1"/>
  <c r="N145" i="1"/>
  <c r="M145" i="1"/>
  <c r="L120" i="1"/>
  <c r="M147" i="1"/>
  <c r="L122" i="1"/>
  <c r="L130" i="1" s="1"/>
  <c r="AB136" i="1" s="1"/>
  <c r="M142" i="1"/>
  <c r="L117" i="1"/>
  <c r="P126" i="1" s="1"/>
  <c r="H136" i="1" s="1"/>
  <c r="L144" i="1"/>
  <c r="O119" i="1"/>
  <c r="O129" i="1" s="1"/>
  <c r="Y136" i="1" s="1"/>
  <c r="R120" i="1"/>
  <c r="N130" i="1" s="1"/>
  <c r="AD136" i="1" s="1"/>
  <c r="P145" i="1"/>
  <c r="R118" i="1"/>
  <c r="N127" i="1" s="1"/>
  <c r="L136" i="1" s="1"/>
  <c r="P143" i="1"/>
  <c r="R122" i="1"/>
  <c r="P130" i="1" s="1"/>
  <c r="AF136" i="1" s="1"/>
  <c r="P147" i="1"/>
  <c r="K144" i="1"/>
  <c r="N119" i="1"/>
  <c r="M128" i="1" s="1"/>
  <c r="Q136" i="1" s="1"/>
  <c r="Q144" i="1"/>
  <c r="S119" i="1"/>
  <c r="O126" i="1" s="1"/>
  <c r="G136" i="1" s="1"/>
  <c r="K146" i="1"/>
  <c r="N121" i="1"/>
  <c r="Q145" i="1"/>
  <c r="S120" i="1"/>
  <c r="Q133" i="1" s="1"/>
  <c r="AY136" i="1" s="1"/>
  <c r="K143" i="1"/>
  <c r="N118" i="1"/>
  <c r="N126" i="1" s="1"/>
  <c r="F136" i="1" s="1"/>
  <c r="Q143" i="1"/>
  <c r="S118" i="1"/>
  <c r="L129" i="1" s="1"/>
  <c r="V136" i="1" s="1"/>
  <c r="K147" i="1"/>
  <c r="N122" i="1"/>
  <c r="Q146" i="1"/>
  <c r="S121" i="1"/>
  <c r="M131" i="1" s="1"/>
  <c r="AI136" i="1" s="1"/>
  <c r="P142" i="1"/>
  <c r="R117" i="1"/>
  <c r="M129" i="1" s="1"/>
  <c r="W136" i="1" s="1"/>
  <c r="L142" i="1"/>
  <c r="O117" i="1"/>
  <c r="O128" i="1" s="1"/>
  <c r="S136" i="1" s="1"/>
  <c r="K148" i="1"/>
  <c r="N123" i="1"/>
  <c r="N131" i="1" s="1"/>
  <c r="AJ136" i="1" s="1"/>
  <c r="Q147" i="1"/>
  <c r="S122" i="1"/>
  <c r="Q131" i="1" s="1"/>
  <c r="AM136" i="1" s="1"/>
  <c r="K145" i="1"/>
  <c r="N120" i="1"/>
  <c r="N129" i="1" s="1"/>
  <c r="X136" i="1" s="1"/>
  <c r="Q148" i="1"/>
  <c r="S123" i="1"/>
  <c r="O132" i="1" s="1"/>
  <c r="AQ136" i="1" s="1"/>
  <c r="P148" i="1"/>
  <c r="R123" i="1"/>
  <c r="Q130" i="1" s="1"/>
  <c r="AG136" i="1" s="1"/>
  <c r="L147" i="1"/>
  <c r="O122" i="1"/>
  <c r="L132" i="1" s="1"/>
  <c r="AN136" i="1" s="1"/>
  <c r="L143" i="1"/>
  <c r="O118" i="1"/>
  <c r="N128" i="1" s="1"/>
  <c r="R136" i="1" s="1"/>
  <c r="K142" i="1"/>
  <c r="N117" i="1"/>
  <c r="L127" i="1" s="1"/>
  <c r="J136" i="1" s="1"/>
  <c r="Q142" i="1"/>
  <c r="S117" i="1"/>
  <c r="Q128" i="1" s="1"/>
  <c r="U136" i="1" s="1"/>
  <c r="P146" i="1"/>
  <c r="R121" i="1"/>
  <c r="N132" i="1" s="1"/>
  <c r="AP136" i="1" s="1"/>
  <c r="R144" i="1"/>
  <c r="P119" i="1"/>
  <c r="P127" i="1" s="1"/>
  <c r="N136" i="1" s="1"/>
  <c r="M119" i="1"/>
  <c r="N144" i="1"/>
  <c r="M121" i="1"/>
  <c r="P132" i="1" s="1"/>
  <c r="AR136" i="1" s="1"/>
  <c r="N146" i="1"/>
  <c r="M143" i="1"/>
  <c r="L118" i="1"/>
  <c r="M118" i="1"/>
  <c r="Q127" i="1" s="1"/>
  <c r="O136" i="1" s="1"/>
  <c r="N143" i="1"/>
  <c r="R148" i="1"/>
  <c r="P123" i="1"/>
  <c r="Q132" i="1" s="1"/>
  <c r="AS136" i="1" s="1"/>
  <c r="Q117" i="1"/>
  <c r="O127" i="1" s="1"/>
  <c r="M136" i="1" s="1"/>
  <c r="S142" i="1"/>
  <c r="R147" i="1"/>
  <c r="P122" i="1"/>
  <c r="O131" i="1" s="1"/>
  <c r="AK136" i="1" s="1"/>
  <c r="M123" i="1"/>
  <c r="N133" i="1" s="1"/>
  <c r="AV136" i="1" s="1"/>
  <c r="N148" i="1"/>
  <c r="R143" i="1"/>
  <c r="P118" i="1"/>
  <c r="P129" i="1" s="1"/>
  <c r="Z136" i="1" s="1"/>
  <c r="Q121" i="1"/>
  <c r="S146" i="1"/>
  <c r="Q123" i="1"/>
  <c r="S148" i="1"/>
  <c r="AA62" i="2" l="1"/>
  <c r="AA64" i="2" s="1"/>
  <c r="O62" i="2"/>
  <c r="R64" i="2" s="1"/>
  <c r="AS62" i="2"/>
  <c r="AU64" i="2" s="1"/>
  <c r="I62" i="2"/>
  <c r="J64" i="2" s="1"/>
  <c r="AG62" i="2"/>
  <c r="AH64" i="2" s="1"/>
  <c r="C62" i="2"/>
  <c r="F64" i="2" s="1"/>
  <c r="U62" i="2"/>
  <c r="V64" i="2" s="1"/>
  <c r="T151" i="2"/>
  <c r="T683" i="6"/>
  <c r="AI151" i="2"/>
  <c r="AI683" i="6"/>
  <c r="P151" i="2"/>
  <c r="P683" i="6"/>
  <c r="AN151" i="2"/>
  <c r="AN683" i="6"/>
  <c r="AW151" i="2"/>
  <c r="AW683" i="6"/>
  <c r="AB151" i="2"/>
  <c r="AB683" i="6"/>
  <c r="AU151" i="2"/>
  <c r="AU683" i="6"/>
  <c r="L151" i="2"/>
  <c r="L683" i="6"/>
  <c r="N151" i="2"/>
  <c r="N683" i="6"/>
  <c r="AQ151" i="2"/>
  <c r="AQ683" i="6"/>
  <c r="K151" i="2"/>
  <c r="K683" i="6"/>
  <c r="S151" i="2"/>
  <c r="S683" i="6"/>
  <c r="AT151" i="2"/>
  <c r="AT683" i="6"/>
  <c r="C151" i="2"/>
  <c r="C683" i="6"/>
  <c r="AF151" i="2"/>
  <c r="AF683" i="6"/>
  <c r="AA151" i="2"/>
  <c r="AA683" i="6"/>
  <c r="Y151" i="2"/>
  <c r="Y683" i="6"/>
  <c r="AH151" i="2"/>
  <c r="AH683" i="6"/>
  <c r="M151" i="2"/>
  <c r="M683" i="6"/>
  <c r="Q151" i="2"/>
  <c r="Q683" i="6"/>
  <c r="W151" i="2"/>
  <c r="W683" i="6"/>
  <c r="V151" i="2"/>
  <c r="V683" i="6"/>
  <c r="E151" i="2"/>
  <c r="E683" i="6"/>
  <c r="X151" i="2"/>
  <c r="X683" i="6"/>
  <c r="H151" i="2"/>
  <c r="H683" i="6"/>
  <c r="D151" i="2"/>
  <c r="D683" i="6"/>
  <c r="O151" i="2"/>
  <c r="O683" i="6"/>
  <c r="AJ151" i="2"/>
  <c r="AJ683" i="6"/>
  <c r="AR151" i="2"/>
  <c r="AR683" i="6"/>
  <c r="AO151" i="2"/>
  <c r="AO683" i="6"/>
  <c r="I151" i="2"/>
  <c r="I683" i="6"/>
  <c r="AM151" i="2"/>
  <c r="AM683" i="6"/>
  <c r="AP151" i="2"/>
  <c r="AP683" i="6"/>
  <c r="AL151" i="2"/>
  <c r="AL683" i="6"/>
  <c r="R151" i="2"/>
  <c r="R683" i="6"/>
  <c r="U151" i="2"/>
  <c r="U683" i="6"/>
  <c r="AX151" i="2"/>
  <c r="AX683" i="6"/>
  <c r="F151" i="2"/>
  <c r="F683" i="6"/>
  <c r="G151" i="2"/>
  <c r="G683" i="6"/>
  <c r="AK151" i="2"/>
  <c r="AK683" i="6"/>
  <c r="AD151" i="2"/>
  <c r="AD683" i="6"/>
  <c r="J151" i="2"/>
  <c r="J683" i="6"/>
  <c r="AV151" i="2"/>
  <c r="AV683" i="6"/>
  <c r="AE151" i="2"/>
  <c r="AE683" i="6"/>
  <c r="AC151" i="2"/>
  <c r="AC683" i="6"/>
  <c r="AS151" i="2"/>
  <c r="AS683" i="6"/>
  <c r="Z151" i="2"/>
  <c r="Z683" i="6"/>
  <c r="AG151" i="2"/>
  <c r="AG683" i="6"/>
  <c r="AM62" i="2"/>
  <c r="AN64" i="2" s="1"/>
  <c r="R178" i="1"/>
  <c r="P154" i="1"/>
  <c r="P167" i="1" s="1"/>
  <c r="AX170" i="1" s="1"/>
  <c r="S154" i="1"/>
  <c r="Q167" i="1" s="1"/>
  <c r="AY170" i="1" s="1"/>
  <c r="Q178" i="1"/>
  <c r="S153" i="1"/>
  <c r="O160" i="1" s="1"/>
  <c r="G170" i="1" s="1"/>
  <c r="Q177" i="1"/>
  <c r="R152" i="1"/>
  <c r="N161" i="1" s="1"/>
  <c r="L170" i="1" s="1"/>
  <c r="P176" i="1"/>
  <c r="P180" i="1"/>
  <c r="R156" i="1"/>
  <c r="P164" i="1" s="1"/>
  <c r="AF170" i="1" s="1"/>
  <c r="P181" i="1"/>
  <c r="R157" i="1"/>
  <c r="Q164" i="1" s="1"/>
  <c r="AG170" i="1" s="1"/>
  <c r="N152" i="1"/>
  <c r="N160" i="1" s="1"/>
  <c r="F170" i="1" s="1"/>
  <c r="K176" i="1"/>
  <c r="P155" i="1"/>
  <c r="O164" i="1" s="1"/>
  <c r="AE170" i="1" s="1"/>
  <c r="R179" i="1"/>
  <c r="M175" i="1"/>
  <c r="L151" i="1"/>
  <c r="P160" i="1" s="1"/>
  <c r="H170" i="1" s="1"/>
  <c r="N180" i="1"/>
  <c r="M156" i="1"/>
  <c r="M167" i="1" s="1"/>
  <c r="AU170" i="1" s="1"/>
  <c r="S181" i="1"/>
  <c r="Q157" i="1"/>
  <c r="S180" i="1"/>
  <c r="Q156" i="1"/>
  <c r="L167" i="1" s="1"/>
  <c r="AT170" i="1" s="1"/>
  <c r="N175" i="1"/>
  <c r="M151" i="1"/>
  <c r="Q163" i="1" s="1"/>
  <c r="AA170" i="1" s="1"/>
  <c r="S179" i="1"/>
  <c r="Q155" i="1"/>
  <c r="S176" i="1"/>
  <c r="Q152" i="1"/>
  <c r="L160" i="1" s="1"/>
  <c r="D170" i="1" s="1"/>
  <c r="S178" i="1"/>
  <c r="Q154" i="1"/>
  <c r="L165" i="1" s="1"/>
  <c r="AH170" i="1" s="1"/>
  <c r="S177" i="1"/>
  <c r="Q153" i="1"/>
  <c r="N151" i="1"/>
  <c r="L161" i="1" s="1"/>
  <c r="J170" i="1" s="1"/>
  <c r="K175" i="1"/>
  <c r="K178" i="1"/>
  <c r="N154" i="1"/>
  <c r="N163" i="1" s="1"/>
  <c r="X170" i="1" s="1"/>
  <c r="K179" i="1"/>
  <c r="N155" i="1"/>
  <c r="P179" i="1"/>
  <c r="R155" i="1"/>
  <c r="N166" i="1" s="1"/>
  <c r="AP170" i="1" s="1"/>
  <c r="N178" i="1"/>
  <c r="M154" i="1"/>
  <c r="P162" i="1" s="1"/>
  <c r="T170" i="1" s="1"/>
  <c r="N179" i="1"/>
  <c r="M155" i="1"/>
  <c r="P166" i="1" s="1"/>
  <c r="AR170" i="1" s="1"/>
  <c r="S157" i="1"/>
  <c r="O166" i="1" s="1"/>
  <c r="AQ170" i="1" s="1"/>
  <c r="Q181" i="1"/>
  <c r="L177" i="1"/>
  <c r="O153" i="1"/>
  <c r="O163" i="1" s="1"/>
  <c r="Y170" i="1" s="1"/>
  <c r="S156" i="1"/>
  <c r="Q165" i="1" s="1"/>
  <c r="AM170" i="1" s="1"/>
  <c r="Q180" i="1"/>
  <c r="O157" i="1"/>
  <c r="M164" i="1" s="1"/>
  <c r="AC170" i="1" s="1"/>
  <c r="L181" i="1"/>
  <c r="S151" i="1"/>
  <c r="Q162" i="1" s="1"/>
  <c r="U170" i="1" s="1"/>
  <c r="Q175" i="1"/>
  <c r="L176" i="1"/>
  <c r="O152" i="1"/>
  <c r="N162" i="1" s="1"/>
  <c r="R170" i="1" s="1"/>
  <c r="O155" i="1"/>
  <c r="O167" i="1" s="1"/>
  <c r="AW170" i="1" s="1"/>
  <c r="L179" i="1"/>
  <c r="R176" i="1"/>
  <c r="P152" i="1"/>
  <c r="P163" i="1" s="1"/>
  <c r="Z170" i="1" s="1"/>
  <c r="O154" i="1"/>
  <c r="M161" i="1" s="1"/>
  <c r="K170" i="1" s="1"/>
  <c r="L178" i="1"/>
  <c r="O156" i="1"/>
  <c r="L166" i="1" s="1"/>
  <c r="AN170" i="1" s="1"/>
  <c r="L180" i="1"/>
  <c r="Q176" i="1"/>
  <c r="S152" i="1"/>
  <c r="L163" i="1" s="1"/>
  <c r="V170" i="1" s="1"/>
  <c r="R180" i="1"/>
  <c r="P156" i="1"/>
  <c r="O165" i="1" s="1"/>
  <c r="AK170" i="1" s="1"/>
  <c r="L175" i="1"/>
  <c r="O151" i="1"/>
  <c r="O162" i="1" s="1"/>
  <c r="S170" i="1" s="1"/>
  <c r="S155" i="1"/>
  <c r="M165" i="1" s="1"/>
  <c r="AI170" i="1" s="1"/>
  <c r="Q179" i="1"/>
  <c r="P177" i="1"/>
  <c r="R153" i="1"/>
  <c r="L162" i="1" s="1"/>
  <c r="P170" i="1" s="1"/>
  <c r="S175" i="1"/>
  <c r="Q151" i="1"/>
  <c r="O161" i="1" s="1"/>
  <c r="M170" i="1" s="1"/>
  <c r="N176" i="1"/>
  <c r="M152" i="1"/>
  <c r="Q161" i="1" s="1"/>
  <c r="O170" i="1" s="1"/>
  <c r="R181" i="1"/>
  <c r="P157" i="1"/>
  <c r="Q166" i="1" s="1"/>
  <c r="AS170" i="1" s="1"/>
  <c r="L154" i="1"/>
  <c r="M178" i="1"/>
  <c r="M181" i="1"/>
  <c r="L157" i="1"/>
  <c r="M166" i="1" s="1"/>
  <c r="AO170" i="1" s="1"/>
  <c r="R175" i="1"/>
  <c r="P151" i="1"/>
  <c r="Q160" i="1" s="1"/>
  <c r="I170" i="1" s="1"/>
  <c r="M180" i="1"/>
  <c r="L156" i="1"/>
  <c r="L164" i="1" s="1"/>
  <c r="AB170" i="1" s="1"/>
  <c r="L152" i="1"/>
  <c r="M176" i="1"/>
  <c r="M179" i="1"/>
  <c r="L155" i="1"/>
  <c r="P165" i="1" s="1"/>
  <c r="AL170" i="1" s="1"/>
  <c r="M177" i="1"/>
  <c r="L153" i="1"/>
  <c r="M160" i="1" s="1"/>
  <c r="E170" i="1" s="1"/>
  <c r="N177" i="1"/>
  <c r="M153" i="1"/>
  <c r="K180" i="1"/>
  <c r="N156" i="1"/>
  <c r="K181" i="1"/>
  <c r="N157" i="1"/>
  <c r="N165" i="1" s="1"/>
  <c r="AJ170" i="1" s="1"/>
  <c r="P175" i="1"/>
  <c r="R151" i="1"/>
  <c r="M163" i="1" s="1"/>
  <c r="W170" i="1" s="1"/>
  <c r="P178" i="1"/>
  <c r="R154" i="1"/>
  <c r="N164" i="1" s="1"/>
  <c r="AD170" i="1" s="1"/>
  <c r="N153" i="1"/>
  <c r="M162" i="1" s="1"/>
  <c r="Q170" i="1" s="1"/>
  <c r="K177" i="1"/>
  <c r="N181" i="1"/>
  <c r="M157" i="1"/>
  <c r="N167" i="1" s="1"/>
  <c r="AV170" i="1" s="1"/>
  <c r="R177" i="1"/>
  <c r="P153" i="1"/>
  <c r="P161" i="1" s="1"/>
  <c r="N170" i="1" s="1"/>
  <c r="AJ64" i="2" l="1"/>
  <c r="AJ65" i="2" s="1"/>
  <c r="Z67" i="2" s="1"/>
  <c r="K70" i="2" s="1"/>
  <c r="L79" i="2" s="1"/>
  <c r="K83" i="2" s="1"/>
  <c r="O88" i="2" s="1"/>
  <c r="N98" i="2" s="1"/>
  <c r="N106" i="2" s="1"/>
  <c r="D64" i="2"/>
  <c r="D65" i="2" s="1"/>
  <c r="D67" i="2" s="1"/>
  <c r="I70" i="2" s="1"/>
  <c r="J79" i="2" s="1"/>
  <c r="I83" i="2" s="1"/>
  <c r="J65" i="2"/>
  <c r="H67" i="2" s="1"/>
  <c r="N70" i="2" s="1"/>
  <c r="O79" i="2" s="1"/>
  <c r="N83" i="2" s="1"/>
  <c r="AN65" i="2"/>
  <c r="AB67" i="2" s="1"/>
  <c r="O70" i="2" s="1"/>
  <c r="P79" i="2" s="1"/>
  <c r="O83" i="2" s="1"/>
  <c r="V65" i="2"/>
  <c r="P67" i="2" s="1"/>
  <c r="T70" i="2" s="1"/>
  <c r="U79" i="2" s="1"/>
  <c r="T83" i="2" s="1"/>
  <c r="AU65" i="2"/>
  <c r="AG67" i="2" s="1"/>
  <c r="F70" i="2" s="1"/>
  <c r="G79" i="2" s="1"/>
  <c r="F83" i="2" s="1"/>
  <c r="F65" i="2"/>
  <c r="F67" i="2" s="1"/>
  <c r="W70" i="2" s="1"/>
  <c r="X79" i="2" s="1"/>
  <c r="W83" i="2" s="1"/>
  <c r="R65" i="2"/>
  <c r="N67" i="2" s="1"/>
  <c r="AB70" i="2" s="1"/>
  <c r="AC79" i="2" s="1"/>
  <c r="AB83" i="2" s="1"/>
  <c r="AH65" i="2"/>
  <c r="X67" i="2" s="1"/>
  <c r="AC70" i="2" s="1"/>
  <c r="AD79" i="2" s="1"/>
  <c r="AC83" i="2" s="1"/>
  <c r="AD125" i="2" s="1"/>
  <c r="AA65" i="2"/>
  <c r="S67" i="2" s="1"/>
  <c r="D70" i="2" s="1"/>
  <c r="E79" i="2" s="1"/>
  <c r="D83" i="2" s="1"/>
  <c r="AC64" i="2"/>
  <c r="AD64" i="2"/>
  <c r="E64" i="2"/>
  <c r="AB64" i="2"/>
  <c r="C64" i="2"/>
  <c r="Q64" i="2"/>
  <c r="O64" i="2"/>
  <c r="P64" i="2"/>
  <c r="AV64" i="2"/>
  <c r="K64" i="2"/>
  <c r="AS64" i="2"/>
  <c r="AM64" i="2"/>
  <c r="L64" i="2"/>
  <c r="AT64" i="2"/>
  <c r="X64" i="2"/>
  <c r="AG64" i="2"/>
  <c r="I64" i="2"/>
  <c r="AI64" i="2"/>
  <c r="U64" i="2"/>
  <c r="AP64" i="2"/>
  <c r="W64" i="2"/>
  <c r="AO64" i="2"/>
  <c r="P200" i="2"/>
  <c r="P634" i="6"/>
  <c r="AV200" i="2"/>
  <c r="AV634" i="6"/>
  <c r="AP200" i="2"/>
  <c r="AP634" i="6"/>
  <c r="AD200" i="2"/>
  <c r="AD634" i="6"/>
  <c r="K200" i="2"/>
  <c r="K634" i="6"/>
  <c r="AX200" i="2"/>
  <c r="AX634" i="6"/>
  <c r="AU200" i="2"/>
  <c r="AU634" i="6"/>
  <c r="AC200" i="2"/>
  <c r="AC634" i="6"/>
  <c r="AI200" i="2"/>
  <c r="AI634" i="6"/>
  <c r="AK200" i="2"/>
  <c r="AK634" i="6"/>
  <c r="AA200" i="2"/>
  <c r="AA634" i="6"/>
  <c r="AN200" i="2"/>
  <c r="AN634" i="6"/>
  <c r="AR200" i="2"/>
  <c r="AR634" i="6"/>
  <c r="L200" i="2"/>
  <c r="L634" i="6"/>
  <c r="AJ200" i="2"/>
  <c r="AJ634" i="6"/>
  <c r="Y200" i="2"/>
  <c r="Y634" i="6"/>
  <c r="Q200" i="2"/>
  <c r="Q634" i="6"/>
  <c r="X200" i="2"/>
  <c r="X634" i="6"/>
  <c r="AQ200" i="2"/>
  <c r="AQ634" i="6"/>
  <c r="AO200" i="2"/>
  <c r="AO634" i="6"/>
  <c r="W200" i="2"/>
  <c r="W634" i="6"/>
  <c r="C200" i="2"/>
  <c r="C634" i="6"/>
  <c r="Z200" i="2"/>
  <c r="Z634" i="6"/>
  <c r="G200" i="2"/>
  <c r="G634" i="6"/>
  <c r="AE200" i="2"/>
  <c r="AE634" i="6"/>
  <c r="AW200" i="2"/>
  <c r="AW634" i="6"/>
  <c r="AL200" i="2"/>
  <c r="AL634" i="6"/>
  <c r="E200" i="2"/>
  <c r="E634" i="6"/>
  <c r="F200" i="2"/>
  <c r="F634" i="6"/>
  <c r="J200" i="2"/>
  <c r="J634" i="6"/>
  <c r="T200" i="2"/>
  <c r="T634" i="6"/>
  <c r="I200" i="2"/>
  <c r="I634" i="6"/>
  <c r="AH200" i="2"/>
  <c r="AH634" i="6"/>
  <c r="AM200" i="2"/>
  <c r="AM634" i="6"/>
  <c r="AB200" i="2"/>
  <c r="AB634" i="6"/>
  <c r="M200" i="2"/>
  <c r="M634" i="6"/>
  <c r="V200" i="2"/>
  <c r="V634" i="6"/>
  <c r="D200" i="2"/>
  <c r="D634" i="6"/>
  <c r="H200" i="2"/>
  <c r="H634" i="6"/>
  <c r="N200" i="2"/>
  <c r="N634" i="6"/>
  <c r="O200" i="2"/>
  <c r="O634" i="6"/>
  <c r="R200" i="2"/>
  <c r="R634" i="6"/>
  <c r="U200" i="2"/>
  <c r="U634" i="6"/>
  <c r="S200" i="2"/>
  <c r="S634" i="6"/>
  <c r="AG200" i="2"/>
  <c r="AG634" i="6"/>
  <c r="AS200" i="2"/>
  <c r="AS634" i="6"/>
  <c r="AT200" i="2"/>
  <c r="AT634" i="6"/>
  <c r="AF200" i="2"/>
  <c r="AF634" i="6"/>
  <c r="L186" i="1"/>
  <c r="M193" i="1" s="1"/>
  <c r="E203" i="1" s="1"/>
  <c r="M210" i="1"/>
  <c r="N185" i="1"/>
  <c r="N193" i="1" s="1"/>
  <c r="F203" i="1" s="1"/>
  <c r="K209" i="1"/>
  <c r="N187" i="1"/>
  <c r="N196" i="1" s="1"/>
  <c r="X203" i="1" s="1"/>
  <c r="K211" i="1"/>
  <c r="Q184" i="1"/>
  <c r="O194" i="1" s="1"/>
  <c r="M203" i="1" s="1"/>
  <c r="S208" i="1"/>
  <c r="Q189" i="1"/>
  <c r="L200" i="1" s="1"/>
  <c r="AT203" i="1" s="1"/>
  <c r="S213" i="1"/>
  <c r="Q190" i="1"/>
  <c r="S214" i="1"/>
  <c r="P185" i="1"/>
  <c r="P196" i="1" s="1"/>
  <c r="Z203" i="1" s="1"/>
  <c r="R209" i="1"/>
  <c r="Q187" i="1"/>
  <c r="L198" i="1" s="1"/>
  <c r="AH203" i="1" s="1"/>
  <c r="S211" i="1"/>
  <c r="L189" i="1"/>
  <c r="L197" i="1" s="1"/>
  <c r="AB203" i="1" s="1"/>
  <c r="M213" i="1"/>
  <c r="O185" i="1"/>
  <c r="N195" i="1" s="1"/>
  <c r="R203" i="1" s="1"/>
  <c r="L209" i="1"/>
  <c r="Q185" i="1"/>
  <c r="L193" i="1" s="1"/>
  <c r="D203" i="1" s="1"/>
  <c r="S209" i="1"/>
  <c r="P190" i="1"/>
  <c r="Q199" i="1" s="1"/>
  <c r="AS203" i="1" s="1"/>
  <c r="R214" i="1"/>
  <c r="Q188" i="1"/>
  <c r="S212" i="1"/>
  <c r="M187" i="1"/>
  <c r="P195" i="1" s="1"/>
  <c r="T203" i="1" s="1"/>
  <c r="N211" i="1"/>
  <c r="M188" i="1"/>
  <c r="P199" i="1" s="1"/>
  <c r="AR203" i="1" s="1"/>
  <c r="N212" i="1"/>
  <c r="L184" i="1"/>
  <c r="P193" i="1" s="1"/>
  <c r="H203" i="1" s="1"/>
  <c r="M208" i="1"/>
  <c r="R188" i="1"/>
  <c r="N199" i="1" s="1"/>
  <c r="AP203" i="1" s="1"/>
  <c r="P212" i="1"/>
  <c r="R186" i="1"/>
  <c r="L195" i="1" s="1"/>
  <c r="P203" i="1" s="1"/>
  <c r="P210" i="1"/>
  <c r="P184" i="1"/>
  <c r="Q193" i="1" s="1"/>
  <c r="I203" i="1" s="1"/>
  <c r="R208" i="1"/>
  <c r="N186" i="1"/>
  <c r="M195" i="1" s="1"/>
  <c r="Q203" i="1" s="1"/>
  <c r="K210" i="1"/>
  <c r="R184" i="1"/>
  <c r="M196" i="1" s="1"/>
  <c r="W203" i="1" s="1"/>
  <c r="P208" i="1"/>
  <c r="P186" i="1"/>
  <c r="P194" i="1" s="1"/>
  <c r="N203" i="1" s="1"/>
  <c r="R210" i="1"/>
  <c r="M184" i="1"/>
  <c r="Q196" i="1" s="1"/>
  <c r="AA203" i="1" s="1"/>
  <c r="N208" i="1"/>
  <c r="O187" i="1"/>
  <c r="M194" i="1" s="1"/>
  <c r="K203" i="1" s="1"/>
  <c r="L211" i="1"/>
  <c r="L188" i="1"/>
  <c r="P198" i="1" s="1"/>
  <c r="AL203" i="1" s="1"/>
  <c r="M212" i="1"/>
  <c r="S187" i="1"/>
  <c r="Q200" i="1" s="1"/>
  <c r="AY203" i="1" s="1"/>
  <c r="Q211" i="1"/>
  <c r="S188" i="1"/>
  <c r="M198" i="1" s="1"/>
  <c r="AI203" i="1" s="1"/>
  <c r="Q212" i="1"/>
  <c r="S189" i="1"/>
  <c r="Q198" i="1" s="1"/>
  <c r="AM203" i="1" s="1"/>
  <c r="Q213" i="1"/>
  <c r="O189" i="1"/>
  <c r="L199" i="1" s="1"/>
  <c r="AN203" i="1" s="1"/>
  <c r="L213" i="1"/>
  <c r="M189" i="1"/>
  <c r="M200" i="1" s="1"/>
  <c r="AU203" i="1" s="1"/>
  <c r="N213" i="1"/>
  <c r="M190" i="1"/>
  <c r="N200" i="1" s="1"/>
  <c r="AV203" i="1" s="1"/>
  <c r="N214" i="1"/>
  <c r="L185" i="1"/>
  <c r="M209" i="1"/>
  <c r="Q186" i="1"/>
  <c r="S210" i="1"/>
  <c r="O190" i="1"/>
  <c r="M197" i="1" s="1"/>
  <c r="AC203" i="1" s="1"/>
  <c r="L214" i="1"/>
  <c r="P187" i="1"/>
  <c r="P200" i="1" s="1"/>
  <c r="AX203" i="1" s="1"/>
  <c r="R211" i="1"/>
  <c r="L190" i="1"/>
  <c r="M199" i="1" s="1"/>
  <c r="AO203" i="1" s="1"/>
  <c r="M214" i="1"/>
  <c r="O186" i="1"/>
  <c r="O196" i="1" s="1"/>
  <c r="Y203" i="1" s="1"/>
  <c r="L210" i="1"/>
  <c r="N188" i="1"/>
  <c r="K212" i="1"/>
  <c r="N189" i="1"/>
  <c r="K213" i="1"/>
  <c r="N190" i="1"/>
  <c r="N198" i="1" s="1"/>
  <c r="AJ203" i="1" s="1"/>
  <c r="K214" i="1"/>
  <c r="R190" i="1"/>
  <c r="Q197" i="1" s="1"/>
  <c r="AG203" i="1" s="1"/>
  <c r="P214" i="1"/>
  <c r="S184" i="1"/>
  <c r="Q195" i="1" s="1"/>
  <c r="U203" i="1" s="1"/>
  <c r="Q208" i="1"/>
  <c r="R189" i="1"/>
  <c r="P197" i="1" s="1"/>
  <c r="AF203" i="1" s="1"/>
  <c r="P213" i="1"/>
  <c r="R185" i="1"/>
  <c r="N194" i="1" s="1"/>
  <c r="L203" i="1" s="1"/>
  <c r="P209" i="1"/>
  <c r="M185" i="1"/>
  <c r="Q194" i="1" s="1"/>
  <c r="O203" i="1" s="1"/>
  <c r="N209" i="1"/>
  <c r="M186" i="1"/>
  <c r="N210" i="1"/>
  <c r="O188" i="1"/>
  <c r="O200" i="1" s="1"/>
  <c r="AW203" i="1" s="1"/>
  <c r="L212" i="1"/>
  <c r="P188" i="1"/>
  <c r="O197" i="1" s="1"/>
  <c r="AE203" i="1" s="1"/>
  <c r="R212" i="1"/>
  <c r="L187" i="1"/>
  <c r="M211" i="1"/>
  <c r="S186" i="1"/>
  <c r="O193" i="1" s="1"/>
  <c r="G203" i="1" s="1"/>
  <c r="Q210" i="1"/>
  <c r="S185" i="1"/>
  <c r="L196" i="1" s="1"/>
  <c r="V203" i="1" s="1"/>
  <c r="Q209" i="1"/>
  <c r="O184" i="1"/>
  <c r="O195" i="1" s="1"/>
  <c r="S203" i="1" s="1"/>
  <c r="L208" i="1"/>
  <c r="S190" i="1"/>
  <c r="O199" i="1" s="1"/>
  <c r="AQ203" i="1" s="1"/>
  <c r="Q214" i="1"/>
  <c r="N184" i="1"/>
  <c r="L194" i="1" s="1"/>
  <c r="J203" i="1" s="1"/>
  <c r="K208" i="1"/>
  <c r="P189" i="1"/>
  <c r="O198" i="1" s="1"/>
  <c r="AK203" i="1" s="1"/>
  <c r="R213" i="1"/>
  <c r="R187" i="1"/>
  <c r="N197" i="1" s="1"/>
  <c r="AD203" i="1" s="1"/>
  <c r="P211" i="1"/>
  <c r="AO65" i="2" l="1"/>
  <c r="AC67" i="2" s="1"/>
  <c r="AF70" i="2" s="1"/>
  <c r="AG79" i="2" s="1"/>
  <c r="AF83" i="2" s="1"/>
  <c r="L94" i="2" s="1"/>
  <c r="AU98" i="2" s="1"/>
  <c r="AU106" i="2" s="1"/>
  <c r="AI65" i="2"/>
  <c r="Y67" i="2" s="1"/>
  <c r="E70" i="2" s="1"/>
  <c r="F79" i="2" s="1"/>
  <c r="E83" i="2" s="1"/>
  <c r="F125" i="2" s="1"/>
  <c r="X65" i="2"/>
  <c r="R67" i="2" s="1"/>
  <c r="L70" i="2" s="1"/>
  <c r="M79" i="2" s="1"/>
  <c r="L83" i="2" s="1"/>
  <c r="L89" i="2" s="1"/>
  <c r="Q98" i="2" s="1"/>
  <c r="Q106" i="2" s="1"/>
  <c r="AS65" i="2"/>
  <c r="AE67" i="2" s="1"/>
  <c r="X70" i="2" s="1"/>
  <c r="Y79" i="2" s="1"/>
  <c r="X83" i="2" s="1"/>
  <c r="Y125" i="2" s="1"/>
  <c r="O65" i="2"/>
  <c r="K67" i="2" s="1"/>
  <c r="C70" i="2" s="1"/>
  <c r="D79" i="2" s="1"/>
  <c r="C83" i="2" s="1"/>
  <c r="O94" i="2" s="1"/>
  <c r="AX98" i="2" s="1"/>
  <c r="AX106" i="2" s="1"/>
  <c r="E65" i="2"/>
  <c r="E67" i="2" s="1"/>
  <c r="V70" i="2" s="1"/>
  <c r="W79" i="2" s="1"/>
  <c r="V83" i="2" s="1"/>
  <c r="N91" i="2" s="1"/>
  <c r="AE98" i="2" s="1"/>
  <c r="AE106" i="2" s="1"/>
  <c r="AM65" i="2"/>
  <c r="AA67" i="2" s="1"/>
  <c r="U70" i="2" s="1"/>
  <c r="V79" i="2" s="1"/>
  <c r="U83" i="2" s="1"/>
  <c r="V125" i="2" s="1"/>
  <c r="AB65" i="2"/>
  <c r="T67" i="2" s="1"/>
  <c r="J70" i="2" s="1"/>
  <c r="K79" i="2" s="1"/>
  <c r="J83" i="2" s="1"/>
  <c r="K125" i="2" s="1"/>
  <c r="W65" i="2"/>
  <c r="Q67" i="2" s="1"/>
  <c r="AG70" i="2" s="1"/>
  <c r="AH79" i="2" s="1"/>
  <c r="AG83" i="2" s="1"/>
  <c r="M94" i="2" s="1"/>
  <c r="AV98" i="2" s="1"/>
  <c r="AV106" i="2" s="1"/>
  <c r="I65" i="2"/>
  <c r="G67" i="2" s="1"/>
  <c r="AE70" i="2" s="1"/>
  <c r="AF79" i="2" s="1"/>
  <c r="AE83" i="2" s="1"/>
  <c r="K94" i="2" s="1"/>
  <c r="AT98" i="2" s="1"/>
  <c r="AT106" i="2" s="1"/>
  <c r="AT65" i="2"/>
  <c r="AF67" i="2" s="1"/>
  <c r="M70" i="2" s="1"/>
  <c r="N79" i="2" s="1"/>
  <c r="M83" i="2" s="1"/>
  <c r="M89" i="2" s="1"/>
  <c r="R98" i="2" s="1"/>
  <c r="R106" i="2" s="1"/>
  <c r="K65" i="2"/>
  <c r="I67" i="2" s="1"/>
  <c r="AD70" i="2" s="1"/>
  <c r="AE79" i="2" s="1"/>
  <c r="AD83" i="2" s="1"/>
  <c r="J94" i="2" s="1"/>
  <c r="AS98" i="2" s="1"/>
  <c r="AS106" i="2" s="1"/>
  <c r="Q65" i="2"/>
  <c r="M67" i="2" s="1"/>
  <c r="Y70" i="2" s="1"/>
  <c r="Z79" i="2" s="1"/>
  <c r="Y83" i="2" s="1"/>
  <c r="Z125" i="2" s="1"/>
  <c r="AD65" i="2"/>
  <c r="V67" i="2" s="1"/>
  <c r="P70" i="2" s="1"/>
  <c r="Q79" i="2" s="1"/>
  <c r="P83" i="2" s="1"/>
  <c r="U65" i="2"/>
  <c r="O67" i="2" s="1"/>
  <c r="G70" i="2" s="1"/>
  <c r="H79" i="2" s="1"/>
  <c r="G83" i="2" s="1"/>
  <c r="H125" i="2" s="1"/>
  <c r="P65" i="2"/>
  <c r="L67" i="2" s="1"/>
  <c r="Q70" i="2" s="1"/>
  <c r="R79" i="2" s="1"/>
  <c r="Q83" i="2" s="1"/>
  <c r="M90" i="2" s="1"/>
  <c r="X98" i="2" s="1"/>
  <c r="X106" i="2" s="1"/>
  <c r="AP65" i="2"/>
  <c r="AD67" i="2" s="1"/>
  <c r="H70" i="2" s="1"/>
  <c r="I79" i="2" s="1"/>
  <c r="H83" i="2" s="1"/>
  <c r="L88" i="2" s="1"/>
  <c r="K98" i="2" s="1"/>
  <c r="K106" i="2" s="1"/>
  <c r="AG65" i="2"/>
  <c r="W67" i="2" s="1"/>
  <c r="AH70" i="2" s="1"/>
  <c r="AI79" i="2" s="1"/>
  <c r="AH83" i="2" s="1"/>
  <c r="AI125" i="2" s="1"/>
  <c r="L65" i="2"/>
  <c r="J67" i="2" s="1"/>
  <c r="S70" i="2" s="1"/>
  <c r="T79" i="2" s="1"/>
  <c r="S83" i="2" s="1"/>
  <c r="K91" i="2" s="1"/>
  <c r="AB98" i="2" s="1"/>
  <c r="AB106" i="2" s="1"/>
  <c r="AV65" i="2"/>
  <c r="AH67" i="2" s="1"/>
  <c r="AA70" i="2" s="1"/>
  <c r="AB79" i="2" s="1"/>
  <c r="AA83" i="2" s="1"/>
  <c r="K93" i="2" s="1"/>
  <c r="AN98" i="2" s="1"/>
  <c r="AN106" i="2" s="1"/>
  <c r="C65" i="2"/>
  <c r="C67" i="2" s="1"/>
  <c r="R70" i="2" s="1"/>
  <c r="S79" i="2" s="1"/>
  <c r="R83" i="2" s="1"/>
  <c r="J91" i="2" s="1"/>
  <c r="AA98" i="2" s="1"/>
  <c r="AA106" i="2" s="1"/>
  <c r="AC65" i="2"/>
  <c r="U67" i="2" s="1"/>
  <c r="Z70" i="2" s="1"/>
  <c r="AA79" i="2" s="1"/>
  <c r="Z83" i="2" s="1"/>
  <c r="J93" i="2" s="1"/>
  <c r="AM98" i="2" s="1"/>
  <c r="AM106" i="2" s="1"/>
  <c r="M93" i="2"/>
  <c r="AP98" i="2" s="1"/>
  <c r="AP106" i="2" s="1"/>
  <c r="AC249" i="2"/>
  <c r="AC585" i="6"/>
  <c r="F249" i="2"/>
  <c r="F585" i="6"/>
  <c r="T249" i="2"/>
  <c r="T585" i="6"/>
  <c r="AL249" i="2"/>
  <c r="AL585" i="6"/>
  <c r="P249" i="2"/>
  <c r="P585" i="6"/>
  <c r="S249" i="2"/>
  <c r="S585" i="6"/>
  <c r="E249" i="2"/>
  <c r="E585" i="6"/>
  <c r="R249" i="2"/>
  <c r="R585" i="6"/>
  <c r="AD249" i="2"/>
  <c r="AD585" i="6"/>
  <c r="AI249" i="2"/>
  <c r="AI585" i="6"/>
  <c r="AB249" i="2"/>
  <c r="AB585" i="6"/>
  <c r="AX249" i="2"/>
  <c r="AX585" i="6"/>
  <c r="M249" i="2"/>
  <c r="M585" i="6"/>
  <c r="G249" i="2"/>
  <c r="G585" i="6"/>
  <c r="AR249" i="2"/>
  <c r="AR585" i="6"/>
  <c r="AG249" i="2"/>
  <c r="AG585" i="6"/>
  <c r="AP249" i="2"/>
  <c r="AP585" i="6"/>
  <c r="N249" i="2"/>
  <c r="N585" i="6"/>
  <c r="AF249" i="2"/>
  <c r="AF585" i="6"/>
  <c r="AW249" i="2"/>
  <c r="AW585" i="6"/>
  <c r="AU249" i="2"/>
  <c r="AU585" i="6"/>
  <c r="AM249" i="2"/>
  <c r="AM585" i="6"/>
  <c r="AH249" i="2"/>
  <c r="AH585" i="6"/>
  <c r="AK249" i="2"/>
  <c r="AK585" i="6"/>
  <c r="Z249" i="2"/>
  <c r="Z585" i="6"/>
  <c r="V249" i="2"/>
  <c r="V585" i="6"/>
  <c r="H249" i="2"/>
  <c r="H585" i="6"/>
  <c r="AO249" i="2"/>
  <c r="AO585" i="6"/>
  <c r="AQ249" i="2"/>
  <c r="AQ585" i="6"/>
  <c r="C249" i="2"/>
  <c r="C585" i="6"/>
  <c r="AA249" i="2"/>
  <c r="AA585" i="6"/>
  <c r="Y249" i="2"/>
  <c r="Y585" i="6"/>
  <c r="AS249" i="2"/>
  <c r="AS585" i="6"/>
  <c r="W249" i="2"/>
  <c r="W585" i="6"/>
  <c r="D249" i="2"/>
  <c r="D585" i="6"/>
  <c r="I249" i="2"/>
  <c r="I585" i="6"/>
  <c r="K249" i="2"/>
  <c r="K585" i="6"/>
  <c r="AN249" i="2"/>
  <c r="AN585" i="6"/>
  <c r="AT249" i="2"/>
  <c r="AT585" i="6"/>
  <c r="J249" i="2"/>
  <c r="J585" i="6"/>
  <c r="O249" i="2"/>
  <c r="O585" i="6"/>
  <c r="Q249" i="2"/>
  <c r="Q585" i="6"/>
  <c r="L249" i="2"/>
  <c r="L585" i="6"/>
  <c r="AJ249" i="2"/>
  <c r="AJ585" i="6"/>
  <c r="U249" i="2"/>
  <c r="U585" i="6"/>
  <c r="AV249" i="2"/>
  <c r="AV585" i="6"/>
  <c r="AE249" i="2"/>
  <c r="AE585" i="6"/>
  <c r="X249" i="2"/>
  <c r="X585" i="6"/>
  <c r="K89" i="2"/>
  <c r="P98" i="2" s="1"/>
  <c r="P106" i="2" s="1"/>
  <c r="L125" i="2"/>
  <c r="J88" i="2"/>
  <c r="I98" i="2" s="1"/>
  <c r="I106" i="2" s="1"/>
  <c r="N87" i="2"/>
  <c r="G98" i="2" s="1"/>
  <c r="G106" i="2" s="1"/>
  <c r="G125" i="2"/>
  <c r="L93" i="2"/>
  <c r="AO98" i="2" s="1"/>
  <c r="AO106" i="2" s="1"/>
  <c r="AC125" i="2"/>
  <c r="J125" i="2"/>
  <c r="M88" i="2"/>
  <c r="L98" i="2" s="1"/>
  <c r="L106" i="2" s="1"/>
  <c r="L91" i="2"/>
  <c r="AC98" i="2" s="1"/>
  <c r="AC106" i="2" s="1"/>
  <c r="U125" i="2"/>
  <c r="K90" i="2"/>
  <c r="V98" i="2" s="1"/>
  <c r="V106" i="2" s="1"/>
  <c r="O89" i="2"/>
  <c r="T98" i="2" s="1"/>
  <c r="T106" i="2" s="1"/>
  <c r="P125" i="2"/>
  <c r="L87" i="2"/>
  <c r="E98" i="2" s="1"/>
  <c r="E106" i="2" s="1"/>
  <c r="E125" i="2"/>
  <c r="J90" i="2"/>
  <c r="U98" i="2" s="1"/>
  <c r="U106" i="2" s="1"/>
  <c r="O125" i="2"/>
  <c r="N89" i="2"/>
  <c r="S98" i="2" s="1"/>
  <c r="S106" i="2" s="1"/>
  <c r="K92" i="2"/>
  <c r="AH98" i="2" s="1"/>
  <c r="AH106" i="2" s="1"/>
  <c r="O91" i="2"/>
  <c r="AF98" i="2" s="1"/>
  <c r="AF106" i="2" s="1"/>
  <c r="X125" i="2"/>
  <c r="R244" i="1"/>
  <c r="P220" i="1"/>
  <c r="P233" i="1" s="1"/>
  <c r="AX236" i="1" s="1"/>
  <c r="M241" i="1"/>
  <c r="L217" i="1"/>
  <c r="P226" i="1" s="1"/>
  <c r="H236" i="1" s="1"/>
  <c r="N241" i="1"/>
  <c r="M217" i="1"/>
  <c r="Q229" i="1" s="1"/>
  <c r="AA236" i="1" s="1"/>
  <c r="S243" i="1"/>
  <c r="Q219" i="1"/>
  <c r="P245" i="1"/>
  <c r="R221" i="1"/>
  <c r="N232" i="1" s="1"/>
  <c r="AP236" i="1" s="1"/>
  <c r="L243" i="1"/>
  <c r="O219" i="1"/>
  <c r="O229" i="1" s="1"/>
  <c r="Y236" i="1" s="1"/>
  <c r="R242" i="1"/>
  <c r="P218" i="1"/>
  <c r="P229" i="1" s="1"/>
  <c r="Z236" i="1" s="1"/>
  <c r="S241" i="1"/>
  <c r="Q217" i="1"/>
  <c r="O227" i="1" s="1"/>
  <c r="M236" i="1" s="1"/>
  <c r="M247" i="1"/>
  <c r="L223" i="1"/>
  <c r="M232" i="1" s="1"/>
  <c r="AO236" i="1" s="1"/>
  <c r="M245" i="1"/>
  <c r="L221" i="1"/>
  <c r="P231" i="1" s="1"/>
  <c r="AL236" i="1" s="1"/>
  <c r="K247" i="1"/>
  <c r="N223" i="1"/>
  <c r="N231" i="1" s="1"/>
  <c r="AJ236" i="1" s="1"/>
  <c r="N247" i="1"/>
  <c r="M223" i="1"/>
  <c r="N233" i="1" s="1"/>
  <c r="AV236" i="1" s="1"/>
  <c r="K242" i="1"/>
  <c r="N218" i="1"/>
  <c r="N226" i="1" s="1"/>
  <c r="F236" i="1" s="1"/>
  <c r="L246" i="1"/>
  <c r="O222" i="1"/>
  <c r="L232" i="1" s="1"/>
  <c r="AN236" i="1" s="1"/>
  <c r="S246" i="1"/>
  <c r="Q222" i="1"/>
  <c r="L233" i="1" s="1"/>
  <c r="AT236" i="1" s="1"/>
  <c r="S244" i="1"/>
  <c r="Q220" i="1"/>
  <c r="L231" i="1" s="1"/>
  <c r="AH236" i="1" s="1"/>
  <c r="N244" i="1"/>
  <c r="M220" i="1"/>
  <c r="P228" i="1" s="1"/>
  <c r="T236" i="1" s="1"/>
  <c r="P243" i="1"/>
  <c r="R219" i="1"/>
  <c r="L228" i="1" s="1"/>
  <c r="P236" i="1" s="1"/>
  <c r="M243" i="1"/>
  <c r="L219" i="1"/>
  <c r="M226" i="1" s="1"/>
  <c r="E236" i="1" s="1"/>
  <c r="R243" i="1"/>
  <c r="P219" i="1"/>
  <c r="P227" i="1" s="1"/>
  <c r="N236" i="1" s="1"/>
  <c r="K241" i="1"/>
  <c r="N217" i="1"/>
  <c r="L227" i="1" s="1"/>
  <c r="J236" i="1" s="1"/>
  <c r="L244" i="1"/>
  <c r="O220" i="1"/>
  <c r="M227" i="1" s="1"/>
  <c r="K236" i="1" s="1"/>
  <c r="P247" i="1"/>
  <c r="R223" i="1"/>
  <c r="Q230" i="1" s="1"/>
  <c r="AG236" i="1" s="1"/>
  <c r="N242" i="1"/>
  <c r="M218" i="1"/>
  <c r="Q227" i="1" s="1"/>
  <c r="O236" i="1" s="1"/>
  <c r="Q244" i="1"/>
  <c r="S220" i="1"/>
  <c r="Q233" i="1" s="1"/>
  <c r="AY236" i="1" s="1"/>
  <c r="Q247" i="1"/>
  <c r="S223" i="1"/>
  <c r="O232" i="1" s="1"/>
  <c r="AQ236" i="1" s="1"/>
  <c r="Q241" i="1"/>
  <c r="S217" i="1"/>
  <c r="Q228" i="1" s="1"/>
  <c r="U236" i="1" s="1"/>
  <c r="M242" i="1"/>
  <c r="L218" i="1"/>
  <c r="P246" i="1"/>
  <c r="R222" i="1"/>
  <c r="P230" i="1" s="1"/>
  <c r="AF236" i="1" s="1"/>
  <c r="S247" i="1"/>
  <c r="Q223" i="1"/>
  <c r="S242" i="1"/>
  <c r="Q218" i="1"/>
  <c r="L226" i="1" s="1"/>
  <c r="D236" i="1" s="1"/>
  <c r="K244" i="1"/>
  <c r="N220" i="1"/>
  <c r="N229" i="1" s="1"/>
  <c r="X236" i="1" s="1"/>
  <c r="N245" i="1"/>
  <c r="M221" i="1"/>
  <c r="P232" i="1" s="1"/>
  <c r="AR236" i="1" s="1"/>
  <c r="L242" i="1"/>
  <c r="O218" i="1"/>
  <c r="N228" i="1" s="1"/>
  <c r="R236" i="1" s="1"/>
  <c r="R246" i="1"/>
  <c r="P222" i="1"/>
  <c r="O231" i="1" s="1"/>
  <c r="AK236" i="1" s="1"/>
  <c r="R247" i="1"/>
  <c r="P223" i="1"/>
  <c r="Q232" i="1" s="1"/>
  <c r="AS236" i="1" s="1"/>
  <c r="M246" i="1"/>
  <c r="L222" i="1"/>
  <c r="L230" i="1" s="1"/>
  <c r="AB236" i="1" s="1"/>
  <c r="N243" i="1"/>
  <c r="M219" i="1"/>
  <c r="P244" i="1"/>
  <c r="R220" i="1"/>
  <c r="N230" i="1" s="1"/>
  <c r="AD236" i="1" s="1"/>
  <c r="Q243" i="1"/>
  <c r="S219" i="1"/>
  <c r="O226" i="1" s="1"/>
  <c r="G236" i="1" s="1"/>
  <c r="L247" i="1"/>
  <c r="O223" i="1"/>
  <c r="M230" i="1" s="1"/>
  <c r="AC236" i="1" s="1"/>
  <c r="N246" i="1"/>
  <c r="M222" i="1"/>
  <c r="M233" i="1" s="1"/>
  <c r="AU236" i="1" s="1"/>
  <c r="S245" i="1"/>
  <c r="Q221" i="1"/>
  <c r="K245" i="1"/>
  <c r="N221" i="1"/>
  <c r="L241" i="1"/>
  <c r="O217" i="1"/>
  <c r="O228" i="1" s="1"/>
  <c r="S236" i="1" s="1"/>
  <c r="R241" i="1"/>
  <c r="P217" i="1"/>
  <c r="Q226" i="1" s="1"/>
  <c r="I236" i="1" s="1"/>
  <c r="P241" i="1"/>
  <c r="R217" i="1"/>
  <c r="M229" i="1" s="1"/>
  <c r="W236" i="1" s="1"/>
  <c r="R245" i="1"/>
  <c r="P221" i="1"/>
  <c r="O230" i="1" s="1"/>
  <c r="AE236" i="1" s="1"/>
  <c r="L245" i="1"/>
  <c r="O221" i="1"/>
  <c r="O233" i="1" s="1"/>
  <c r="AW236" i="1" s="1"/>
  <c r="Q245" i="1"/>
  <c r="S221" i="1"/>
  <c r="M231" i="1" s="1"/>
  <c r="AI236" i="1" s="1"/>
  <c r="Q242" i="1"/>
  <c r="S218" i="1"/>
  <c r="L229" i="1" s="1"/>
  <c r="V236" i="1" s="1"/>
  <c r="K246" i="1"/>
  <c r="N222" i="1"/>
  <c r="P242" i="1"/>
  <c r="R218" i="1"/>
  <c r="N227" i="1" s="1"/>
  <c r="L236" i="1" s="1"/>
  <c r="Q246" i="1"/>
  <c r="S222" i="1"/>
  <c r="Q231" i="1" s="1"/>
  <c r="AM236" i="1" s="1"/>
  <c r="M244" i="1"/>
  <c r="L220" i="1"/>
  <c r="K243" i="1"/>
  <c r="N219" i="1"/>
  <c r="M228" i="1" s="1"/>
  <c r="Q236" i="1" s="1"/>
  <c r="L90" i="2" l="1"/>
  <c r="W98" i="2" s="1"/>
  <c r="W106" i="2" s="1"/>
  <c r="Q125" i="2"/>
  <c r="AA125" i="2"/>
  <c r="W125" i="2"/>
  <c r="N92" i="2"/>
  <c r="AK98" i="2" s="1"/>
  <c r="AK106" i="2" s="1"/>
  <c r="J92" i="2"/>
  <c r="AG98" i="2" s="1"/>
  <c r="AG106" i="2" s="1"/>
  <c r="N88" i="2"/>
  <c r="M98" i="2" s="1"/>
  <c r="M106" i="2" s="1"/>
  <c r="N90" i="2"/>
  <c r="Y98" i="2" s="1"/>
  <c r="Y106" i="2" s="1"/>
  <c r="J89" i="2"/>
  <c r="O98" i="2" s="1"/>
  <c r="O106" i="2" s="1"/>
  <c r="M92" i="2"/>
  <c r="AJ98" i="2" s="1"/>
  <c r="AJ106" i="2" s="1"/>
  <c r="N94" i="2"/>
  <c r="AW98" i="2" s="1"/>
  <c r="AW106" i="2" s="1"/>
  <c r="AB125" i="2"/>
  <c r="O90" i="2"/>
  <c r="Z98" i="2" s="1"/>
  <c r="Z106" i="2" s="1"/>
  <c r="I125" i="2"/>
  <c r="S125" i="2"/>
  <c r="O92" i="2"/>
  <c r="AL98" i="2" s="1"/>
  <c r="AL106" i="2" s="1"/>
  <c r="D125" i="2"/>
  <c r="N93" i="2"/>
  <c r="AQ98" i="2" s="1"/>
  <c r="AQ106" i="2" s="1"/>
  <c r="R125" i="2"/>
  <c r="K87" i="2"/>
  <c r="D98" i="2" s="1"/>
  <c r="D106" i="2" s="1"/>
  <c r="T125" i="2"/>
  <c r="J87" i="2"/>
  <c r="C98" i="2" s="1"/>
  <c r="C106" i="2" s="1"/>
  <c r="AE125" i="2"/>
  <c r="AH125" i="2"/>
  <c r="L92" i="2"/>
  <c r="AI98" i="2" s="1"/>
  <c r="AI106" i="2" s="1"/>
  <c r="N125" i="2"/>
  <c r="AG125" i="2"/>
  <c r="O87" i="2"/>
  <c r="H98" i="2" s="1"/>
  <c r="H106" i="2" s="1"/>
  <c r="K88" i="2"/>
  <c r="J98" i="2" s="1"/>
  <c r="J106" i="2" s="1"/>
  <c r="M125" i="2"/>
  <c r="M91" i="2"/>
  <c r="AD98" i="2" s="1"/>
  <c r="AD106" i="2" s="1"/>
  <c r="AF125" i="2"/>
  <c r="O93" i="2"/>
  <c r="AR98" i="2" s="1"/>
  <c r="AR106" i="2" s="1"/>
  <c r="M87" i="2"/>
  <c r="F98" i="2" s="1"/>
  <c r="F106" i="2" s="1"/>
  <c r="U298" i="2"/>
  <c r="U536" i="6"/>
  <c r="R298" i="2"/>
  <c r="R536" i="6"/>
  <c r="AA298" i="2"/>
  <c r="AA536" i="6"/>
  <c r="AQ298" i="2"/>
  <c r="AQ536" i="6"/>
  <c r="AE298" i="2"/>
  <c r="AE536" i="6"/>
  <c r="AX298" i="2"/>
  <c r="AX536" i="6"/>
  <c r="I298" i="2"/>
  <c r="I536" i="6"/>
  <c r="S298" i="2"/>
  <c r="S536" i="6"/>
  <c r="AS298" i="2"/>
  <c r="AS536" i="6"/>
  <c r="E298" i="2"/>
  <c r="E536" i="6"/>
  <c r="AI298" i="2"/>
  <c r="AI536" i="6"/>
  <c r="AN298" i="2"/>
  <c r="AN536" i="6"/>
  <c r="Y298" i="2"/>
  <c r="Y536" i="6"/>
  <c r="AO298" i="2"/>
  <c r="AO536" i="6"/>
  <c r="Z298" i="2"/>
  <c r="Z536" i="6"/>
  <c r="AW298" i="2"/>
  <c r="AW536" i="6"/>
  <c r="K298" i="2"/>
  <c r="K536" i="6"/>
  <c r="AV298" i="2"/>
  <c r="AV536" i="6"/>
  <c r="V298" i="2"/>
  <c r="V536" i="6"/>
  <c r="AB298" i="2"/>
  <c r="AB536" i="6"/>
  <c r="AC298" i="2"/>
  <c r="AC536" i="6"/>
  <c r="AJ298" i="2"/>
  <c r="AJ536" i="6"/>
  <c r="C298" i="2"/>
  <c r="C536" i="6"/>
  <c r="T298" i="2"/>
  <c r="T536" i="6"/>
  <c r="AF298" i="2"/>
  <c r="AF536" i="6"/>
  <c r="D298" i="2"/>
  <c r="D536" i="6"/>
  <c r="P298" i="2"/>
  <c r="P536" i="6"/>
  <c r="AL298" i="2"/>
  <c r="AL536" i="6"/>
  <c r="AH298" i="2"/>
  <c r="AH536" i="6"/>
  <c r="AD298" i="2"/>
  <c r="AD536" i="6"/>
  <c r="H298" i="2"/>
  <c r="H536" i="6"/>
  <c r="AT298" i="2"/>
  <c r="AT536" i="6"/>
  <c r="F298" i="2"/>
  <c r="F536" i="6"/>
  <c r="AR298" i="2"/>
  <c r="AR536" i="6"/>
  <c r="Q298" i="2"/>
  <c r="Q536" i="6"/>
  <c r="W298" i="2"/>
  <c r="W536" i="6"/>
  <c r="AP298" i="2"/>
  <c r="AP536" i="6"/>
  <c r="N298" i="2"/>
  <c r="N536" i="6"/>
  <c r="J298" i="2"/>
  <c r="J536" i="6"/>
  <c r="M298" i="2"/>
  <c r="M536" i="6"/>
  <c r="O298" i="2"/>
  <c r="O536" i="6"/>
  <c r="AG298" i="2"/>
  <c r="AG536" i="6"/>
  <c r="AM298" i="2"/>
  <c r="AM536" i="6"/>
  <c r="AU298" i="2"/>
  <c r="AU536" i="6"/>
  <c r="AK298" i="2"/>
  <c r="AK536" i="6"/>
  <c r="L298" i="2"/>
  <c r="L536" i="6"/>
  <c r="X298" i="2"/>
  <c r="X536" i="6"/>
  <c r="G298" i="2"/>
  <c r="G536" i="6"/>
  <c r="O108" i="2"/>
  <c r="AA109" i="2"/>
  <c r="I109" i="2"/>
  <c r="AS109" i="2"/>
  <c r="S280" i="1"/>
  <c r="R317" i="1" s="1"/>
  <c r="Q255" i="1"/>
  <c r="L266" i="1" s="1"/>
  <c r="AT269" i="1" s="1"/>
  <c r="P279" i="1"/>
  <c r="S316" i="1" s="1"/>
  <c r="R254" i="1"/>
  <c r="N265" i="1" s="1"/>
  <c r="AP269" i="1" s="1"/>
  <c r="S277" i="1"/>
  <c r="R314" i="1" s="1"/>
  <c r="Q252" i="1"/>
  <c r="L253" i="1"/>
  <c r="M278" i="1"/>
  <c r="L315" i="1" s="1"/>
  <c r="N251" i="1"/>
  <c r="N259" i="1" s="1"/>
  <c r="F269" i="1" s="1"/>
  <c r="K276" i="1"/>
  <c r="N313" i="1" s="1"/>
  <c r="P277" i="1"/>
  <c r="S314" i="1" s="1"/>
  <c r="R252" i="1"/>
  <c r="L261" i="1" s="1"/>
  <c r="P269" i="1" s="1"/>
  <c r="L281" i="1"/>
  <c r="K318" i="1" s="1"/>
  <c r="O256" i="1"/>
  <c r="M263" i="1" s="1"/>
  <c r="AC269" i="1" s="1"/>
  <c r="N277" i="1"/>
  <c r="M314" i="1" s="1"/>
  <c r="M252" i="1"/>
  <c r="K275" i="1"/>
  <c r="N312" i="1" s="1"/>
  <c r="N250" i="1"/>
  <c r="L260" i="1" s="1"/>
  <c r="J269" i="1" s="1"/>
  <c r="P278" i="1"/>
  <c r="S315" i="1" s="1"/>
  <c r="R253" i="1"/>
  <c r="N263" i="1" s="1"/>
  <c r="AD269" i="1" s="1"/>
  <c r="M279" i="1"/>
  <c r="L316" i="1" s="1"/>
  <c r="L254" i="1"/>
  <c r="P264" i="1" s="1"/>
  <c r="AL269" i="1" s="1"/>
  <c r="P281" i="1"/>
  <c r="S318" i="1" s="1"/>
  <c r="R256" i="1"/>
  <c r="Q263" i="1" s="1"/>
  <c r="AG269" i="1" s="1"/>
  <c r="L276" i="1"/>
  <c r="K313" i="1" s="1"/>
  <c r="O251" i="1"/>
  <c r="N261" i="1" s="1"/>
  <c r="R269" i="1" s="1"/>
  <c r="N254" i="1"/>
  <c r="K279" i="1"/>
  <c r="N316" i="1" s="1"/>
  <c r="M277" i="1"/>
  <c r="L314" i="1" s="1"/>
  <c r="L252" i="1"/>
  <c r="M259" i="1" s="1"/>
  <c r="E269" i="1" s="1"/>
  <c r="M280" i="1"/>
  <c r="L317" i="1" s="1"/>
  <c r="L255" i="1"/>
  <c r="L263" i="1" s="1"/>
  <c r="AB269" i="1" s="1"/>
  <c r="S279" i="1"/>
  <c r="R316" i="1" s="1"/>
  <c r="Q254" i="1"/>
  <c r="P275" i="1"/>
  <c r="S312" i="1" s="1"/>
  <c r="R250" i="1"/>
  <c r="M262" i="1" s="1"/>
  <c r="W269" i="1" s="1"/>
  <c r="O255" i="1"/>
  <c r="L265" i="1" s="1"/>
  <c r="AN269" i="1" s="1"/>
  <c r="L280" i="1"/>
  <c r="K317" i="1" s="1"/>
  <c r="L277" i="1"/>
  <c r="K314" i="1" s="1"/>
  <c r="O252" i="1"/>
  <c r="O262" i="1" s="1"/>
  <c r="Y269" i="1" s="1"/>
  <c r="N276" i="1"/>
  <c r="M313" i="1" s="1"/>
  <c r="M251" i="1"/>
  <c r="Q260" i="1" s="1"/>
  <c r="O269" i="1" s="1"/>
  <c r="Q281" i="1"/>
  <c r="P318" i="1" s="1"/>
  <c r="S256" i="1"/>
  <c r="O265" i="1" s="1"/>
  <c r="AQ269" i="1" s="1"/>
  <c r="S281" i="1"/>
  <c r="R318" i="1" s="1"/>
  <c r="Q256" i="1"/>
  <c r="M253" i="1"/>
  <c r="P261" i="1" s="1"/>
  <c r="T269" i="1" s="1"/>
  <c r="N278" i="1"/>
  <c r="M315" i="1" s="1"/>
  <c r="R277" i="1"/>
  <c r="Q314" i="1" s="1"/>
  <c r="P252" i="1"/>
  <c r="P260" i="1" s="1"/>
  <c r="N269" i="1" s="1"/>
  <c r="Q278" i="1"/>
  <c r="P315" i="1" s="1"/>
  <c r="S253" i="1"/>
  <c r="Q266" i="1" s="1"/>
  <c r="AY269" i="1" s="1"/>
  <c r="N280" i="1"/>
  <c r="M317" i="1" s="1"/>
  <c r="M255" i="1"/>
  <c r="M266" i="1" s="1"/>
  <c r="AU269" i="1" s="1"/>
  <c r="Q275" i="1"/>
  <c r="P312" i="1" s="1"/>
  <c r="S250" i="1"/>
  <c r="Q261" i="1" s="1"/>
  <c r="U269" i="1" s="1"/>
  <c r="Q277" i="1"/>
  <c r="P314" i="1" s="1"/>
  <c r="S252" i="1"/>
  <c r="O259" i="1" s="1"/>
  <c r="G269" i="1" s="1"/>
  <c r="K278" i="1"/>
  <c r="N315" i="1" s="1"/>
  <c r="N253" i="1"/>
  <c r="N262" i="1" s="1"/>
  <c r="X269" i="1" s="1"/>
  <c r="R276" i="1"/>
  <c r="Q313" i="1" s="1"/>
  <c r="P251" i="1"/>
  <c r="P262" i="1" s="1"/>
  <c r="Z269" i="1" s="1"/>
  <c r="S276" i="1"/>
  <c r="R313" i="1" s="1"/>
  <c r="Q251" i="1"/>
  <c r="L259" i="1" s="1"/>
  <c r="D269" i="1" s="1"/>
  <c r="M254" i="1"/>
  <c r="P265" i="1" s="1"/>
  <c r="AR269" i="1" s="1"/>
  <c r="N279" i="1"/>
  <c r="M316" i="1" s="1"/>
  <c r="R275" i="1"/>
  <c r="Q312" i="1" s="1"/>
  <c r="P250" i="1"/>
  <c r="Q259" i="1" s="1"/>
  <c r="I269" i="1" s="1"/>
  <c r="N275" i="1"/>
  <c r="M312" i="1" s="1"/>
  <c r="M250" i="1"/>
  <c r="Q262" i="1" s="1"/>
  <c r="AA269" i="1" s="1"/>
  <c r="Q279" i="1"/>
  <c r="P316" i="1" s="1"/>
  <c r="S254" i="1"/>
  <c r="M264" i="1" s="1"/>
  <c r="AI269" i="1" s="1"/>
  <c r="N281" i="1"/>
  <c r="M318" i="1" s="1"/>
  <c r="M256" i="1"/>
  <c r="N266" i="1" s="1"/>
  <c r="AV269" i="1" s="1"/>
  <c r="R278" i="1"/>
  <c r="Q315" i="1" s="1"/>
  <c r="P253" i="1"/>
  <c r="P266" i="1" s="1"/>
  <c r="AX269" i="1" s="1"/>
  <c r="N255" i="1"/>
  <c r="K280" i="1"/>
  <c r="N317" i="1" s="1"/>
  <c r="R255" i="1"/>
  <c r="P263" i="1" s="1"/>
  <c r="AF269" i="1" s="1"/>
  <c r="P280" i="1"/>
  <c r="S317" i="1" s="1"/>
  <c r="L279" i="1"/>
  <c r="K316" i="1" s="1"/>
  <c r="O254" i="1"/>
  <c r="O266" i="1" s="1"/>
  <c r="AW269" i="1" s="1"/>
  <c r="S251" i="1"/>
  <c r="L262" i="1" s="1"/>
  <c r="V269" i="1" s="1"/>
  <c r="Q276" i="1"/>
  <c r="P313" i="1" s="1"/>
  <c r="R280" i="1"/>
  <c r="Q317" i="1" s="1"/>
  <c r="P255" i="1"/>
  <c r="O264" i="1" s="1"/>
  <c r="AK269" i="1" s="1"/>
  <c r="Q250" i="1"/>
  <c r="O260" i="1" s="1"/>
  <c r="M269" i="1" s="1"/>
  <c r="S275" i="1"/>
  <c r="R312" i="1" s="1"/>
  <c r="S278" i="1"/>
  <c r="R315" i="1" s="1"/>
  <c r="Q253" i="1"/>
  <c r="L264" i="1" s="1"/>
  <c r="AH269" i="1" s="1"/>
  <c r="R281" i="1"/>
  <c r="Q318" i="1" s="1"/>
  <c r="P256" i="1"/>
  <c r="Q265" i="1" s="1"/>
  <c r="AS269" i="1" s="1"/>
  <c r="M275" i="1"/>
  <c r="L312" i="1" s="1"/>
  <c r="L250" i="1"/>
  <c r="P259" i="1" s="1"/>
  <c r="H269" i="1" s="1"/>
  <c r="K277" i="1"/>
  <c r="N314" i="1" s="1"/>
  <c r="N252" i="1"/>
  <c r="M261" i="1" s="1"/>
  <c r="Q269" i="1" s="1"/>
  <c r="L278" i="1"/>
  <c r="K315" i="1" s="1"/>
  <c r="O253" i="1"/>
  <c r="M260" i="1" s="1"/>
  <c r="K269" i="1" s="1"/>
  <c r="Q280" i="1"/>
  <c r="P317" i="1" s="1"/>
  <c r="S255" i="1"/>
  <c r="Q264" i="1" s="1"/>
  <c r="AM269" i="1" s="1"/>
  <c r="M276" i="1"/>
  <c r="L313" i="1" s="1"/>
  <c r="L251" i="1"/>
  <c r="M281" i="1"/>
  <c r="L318" i="1" s="1"/>
  <c r="L256" i="1"/>
  <c r="M265" i="1" s="1"/>
  <c r="AO269" i="1" s="1"/>
  <c r="K281" i="1"/>
  <c r="N318" i="1" s="1"/>
  <c r="N256" i="1"/>
  <c r="N264" i="1" s="1"/>
  <c r="AJ269" i="1" s="1"/>
  <c r="R251" i="1"/>
  <c r="N260" i="1" s="1"/>
  <c r="L269" i="1" s="1"/>
  <c r="P276" i="1"/>
  <c r="S313" i="1" s="1"/>
  <c r="R279" i="1"/>
  <c r="Q316" i="1" s="1"/>
  <c r="P254" i="1"/>
  <c r="O263" i="1" s="1"/>
  <c r="AE269" i="1" s="1"/>
  <c r="L275" i="1"/>
  <c r="K312" i="1" s="1"/>
  <c r="O250" i="1"/>
  <c r="O261" i="1" s="1"/>
  <c r="S269" i="1" s="1"/>
  <c r="U108" i="2" l="1"/>
  <c r="O109" i="2"/>
  <c r="O111" i="2" s="1"/>
  <c r="O113" i="2" s="1"/>
  <c r="AS108" i="2"/>
  <c r="AS111" i="2" s="1"/>
  <c r="AS113" i="2" s="1"/>
  <c r="U109" i="2"/>
  <c r="AG109" i="2"/>
  <c r="AM108" i="2"/>
  <c r="AG108" i="2"/>
  <c r="C109" i="2"/>
  <c r="AA108" i="2"/>
  <c r="AA111" i="2" s="1"/>
  <c r="AD113" i="2" s="1"/>
  <c r="I108" i="2"/>
  <c r="I111" i="2" s="1"/>
  <c r="C108" i="2"/>
  <c r="AM109" i="2"/>
  <c r="AW347" i="2"/>
  <c r="AW487" i="6"/>
  <c r="R347" i="2"/>
  <c r="R487" i="6"/>
  <c r="AL347" i="2"/>
  <c r="AL487" i="6"/>
  <c r="C347" i="2"/>
  <c r="C487" i="6"/>
  <c r="AP347" i="2"/>
  <c r="AP487" i="6"/>
  <c r="V347" i="2"/>
  <c r="V487" i="6"/>
  <c r="AC347" i="2"/>
  <c r="AC487" i="6"/>
  <c r="AO347" i="2"/>
  <c r="AO487" i="6"/>
  <c r="K347" i="2"/>
  <c r="K487" i="6"/>
  <c r="L347" i="2"/>
  <c r="L487" i="6"/>
  <c r="U347" i="2"/>
  <c r="U487" i="6"/>
  <c r="AE347" i="2"/>
  <c r="AE487" i="6"/>
  <c r="S347" i="2"/>
  <c r="S487" i="6"/>
  <c r="P347" i="2"/>
  <c r="P487" i="6"/>
  <c r="AH347" i="2"/>
  <c r="AH487" i="6"/>
  <c r="W347" i="2"/>
  <c r="W487" i="6"/>
  <c r="AX347" i="2"/>
  <c r="AX487" i="6"/>
  <c r="X347" i="2"/>
  <c r="X487" i="6"/>
  <c r="AF347" i="2"/>
  <c r="AF487" i="6"/>
  <c r="O347" i="2"/>
  <c r="O487" i="6"/>
  <c r="AD347" i="2"/>
  <c r="AD487" i="6"/>
  <c r="AG347" i="2"/>
  <c r="AG487" i="6"/>
  <c r="AV347" i="2"/>
  <c r="AV487" i="6"/>
  <c r="AU347" i="2"/>
  <c r="AU487" i="6"/>
  <c r="Z347" i="2"/>
  <c r="Z487" i="6"/>
  <c r="Y347" i="2"/>
  <c r="Y487" i="6"/>
  <c r="F347" i="2"/>
  <c r="F487" i="6"/>
  <c r="AT347" i="2"/>
  <c r="AT487" i="6"/>
  <c r="M347" i="2"/>
  <c r="M487" i="6"/>
  <c r="N347" i="2"/>
  <c r="N487" i="6"/>
  <c r="D347" i="2"/>
  <c r="D487" i="6"/>
  <c r="Q347" i="2"/>
  <c r="Q487" i="6"/>
  <c r="AK347" i="2"/>
  <c r="AK487" i="6"/>
  <c r="I347" i="2"/>
  <c r="I487" i="6"/>
  <c r="AB347" i="2"/>
  <c r="AB487" i="6"/>
  <c r="AS347" i="2"/>
  <c r="AS487" i="6"/>
  <c r="AN347" i="2"/>
  <c r="AN487" i="6"/>
  <c r="AR347" i="2"/>
  <c r="AR487" i="6"/>
  <c r="H347" i="2"/>
  <c r="H487" i="6"/>
  <c r="T347" i="2"/>
  <c r="T487" i="6"/>
  <c r="AA347" i="2"/>
  <c r="AA487" i="6"/>
  <c r="AI347" i="2"/>
  <c r="AI487" i="6"/>
  <c r="J347" i="2"/>
  <c r="J487" i="6"/>
  <c r="G347" i="2"/>
  <c r="G487" i="6"/>
  <c r="AJ347" i="2"/>
  <c r="AJ487" i="6"/>
  <c r="AQ347" i="2"/>
  <c r="AQ487" i="6"/>
  <c r="AM347" i="2"/>
  <c r="AM487" i="6"/>
  <c r="E347" i="2"/>
  <c r="E487" i="6"/>
  <c r="R321" i="1"/>
  <c r="M333" i="1" s="1"/>
  <c r="W340" i="1" s="1"/>
  <c r="P347" i="1"/>
  <c r="P322" i="1"/>
  <c r="P333" i="1" s="1"/>
  <c r="Z340" i="1" s="1"/>
  <c r="R348" i="1"/>
  <c r="S326" i="1"/>
  <c r="Q335" i="1" s="1"/>
  <c r="AM340" i="1" s="1"/>
  <c r="Q352" i="1"/>
  <c r="N324" i="1"/>
  <c r="N333" i="1" s="1"/>
  <c r="X340" i="1" s="1"/>
  <c r="K350" i="1"/>
  <c r="M324" i="1"/>
  <c r="P332" i="1" s="1"/>
  <c r="T340" i="1" s="1"/>
  <c r="N350" i="1"/>
  <c r="S322" i="1"/>
  <c r="L333" i="1" s="1"/>
  <c r="V340" i="1" s="1"/>
  <c r="Q348" i="1"/>
  <c r="M327" i="1"/>
  <c r="N337" i="1" s="1"/>
  <c r="AV340" i="1" s="1"/>
  <c r="N353" i="1"/>
  <c r="P326" i="1"/>
  <c r="O335" i="1" s="1"/>
  <c r="AK340" i="1" s="1"/>
  <c r="R352" i="1"/>
  <c r="Q327" i="1"/>
  <c r="S353" i="1"/>
  <c r="Q324" i="1"/>
  <c r="L335" i="1" s="1"/>
  <c r="AH340" i="1" s="1"/>
  <c r="S350" i="1"/>
  <c r="P325" i="1"/>
  <c r="O334" i="1" s="1"/>
  <c r="AE340" i="1" s="1"/>
  <c r="R351" i="1"/>
  <c r="Q321" i="1"/>
  <c r="O331" i="1" s="1"/>
  <c r="M340" i="1" s="1"/>
  <c r="S347" i="1"/>
  <c r="R322" i="1"/>
  <c r="N331" i="1" s="1"/>
  <c r="L340" i="1" s="1"/>
  <c r="P348" i="1"/>
  <c r="P321" i="1"/>
  <c r="Q330" i="1" s="1"/>
  <c r="I340" i="1" s="1"/>
  <c r="R347" i="1"/>
  <c r="P324" i="1"/>
  <c r="P337" i="1" s="1"/>
  <c r="AX340" i="1" s="1"/>
  <c r="R350" i="1"/>
  <c r="P327" i="1"/>
  <c r="Q336" i="1" s="1"/>
  <c r="AS340" i="1" s="1"/>
  <c r="R353" i="1"/>
  <c r="S321" i="1"/>
  <c r="Q332" i="1" s="1"/>
  <c r="U340" i="1" s="1"/>
  <c r="Q347" i="1"/>
  <c r="M326" i="1"/>
  <c r="M337" i="1" s="1"/>
  <c r="AU340" i="1" s="1"/>
  <c r="N352" i="1"/>
  <c r="S327" i="1"/>
  <c r="O336" i="1" s="1"/>
  <c r="AQ340" i="1" s="1"/>
  <c r="Q353" i="1"/>
  <c r="S324" i="1"/>
  <c r="Q337" i="1" s="1"/>
  <c r="AY340" i="1" s="1"/>
  <c r="Q350" i="1"/>
  <c r="N323" i="1"/>
  <c r="M332" i="1" s="1"/>
  <c r="Q340" i="1" s="1"/>
  <c r="K349" i="1"/>
  <c r="S323" i="1"/>
  <c r="O330" i="1" s="1"/>
  <c r="G340" i="1" s="1"/>
  <c r="Q349" i="1"/>
  <c r="S325" i="1"/>
  <c r="M335" i="1" s="1"/>
  <c r="AI340" i="1" s="1"/>
  <c r="Q351" i="1"/>
  <c r="N325" i="1"/>
  <c r="K351" i="1"/>
  <c r="Q325" i="1"/>
  <c r="S351" i="1"/>
  <c r="M322" i="1"/>
  <c r="Q331" i="1" s="1"/>
  <c r="O340" i="1" s="1"/>
  <c r="N348" i="1"/>
  <c r="M321" i="1"/>
  <c r="Q333" i="1" s="1"/>
  <c r="AA340" i="1" s="1"/>
  <c r="N347" i="1"/>
  <c r="R324" i="1"/>
  <c r="N334" i="1" s="1"/>
  <c r="AD340" i="1" s="1"/>
  <c r="P350" i="1"/>
  <c r="Q326" i="1"/>
  <c r="L337" i="1" s="1"/>
  <c r="AT340" i="1" s="1"/>
  <c r="S352" i="1"/>
  <c r="N327" i="1"/>
  <c r="N335" i="1" s="1"/>
  <c r="AJ340" i="1" s="1"/>
  <c r="K353" i="1"/>
  <c r="N321" i="1"/>
  <c r="L331" i="1" s="1"/>
  <c r="J340" i="1" s="1"/>
  <c r="K347" i="1"/>
  <c r="Q322" i="1"/>
  <c r="L330" i="1" s="1"/>
  <c r="D340" i="1" s="1"/>
  <c r="S348" i="1"/>
  <c r="P323" i="1"/>
  <c r="P331" i="1" s="1"/>
  <c r="N340" i="1" s="1"/>
  <c r="R349" i="1"/>
  <c r="N326" i="1"/>
  <c r="K352" i="1"/>
  <c r="Q323" i="1"/>
  <c r="S349" i="1"/>
  <c r="R327" i="1"/>
  <c r="Q334" i="1" s="1"/>
  <c r="AG340" i="1" s="1"/>
  <c r="P353" i="1"/>
  <c r="N322" i="1"/>
  <c r="N330" i="1" s="1"/>
  <c r="F340" i="1" s="1"/>
  <c r="K348" i="1"/>
  <c r="R325" i="1"/>
  <c r="N336" i="1" s="1"/>
  <c r="AP340" i="1" s="1"/>
  <c r="P351" i="1"/>
  <c r="M323" i="1"/>
  <c r="N349" i="1"/>
  <c r="M325" i="1"/>
  <c r="P336" i="1" s="1"/>
  <c r="AR340" i="1" s="1"/>
  <c r="N351" i="1"/>
  <c r="R323" i="1"/>
  <c r="L332" i="1" s="1"/>
  <c r="P340" i="1" s="1"/>
  <c r="P349" i="1"/>
  <c r="R326" i="1"/>
  <c r="P334" i="1" s="1"/>
  <c r="AF340" i="1" s="1"/>
  <c r="P352" i="1"/>
  <c r="P289" i="1"/>
  <c r="O298" i="1" s="1"/>
  <c r="AK303" i="1" s="1"/>
  <c r="L286" i="1"/>
  <c r="M293" i="1" s="1"/>
  <c r="E303" i="1" s="1"/>
  <c r="Q284" i="1"/>
  <c r="O294" i="1" s="1"/>
  <c r="M303" i="1" s="1"/>
  <c r="L289" i="1"/>
  <c r="L297" i="1" s="1"/>
  <c r="AB303" i="1" s="1"/>
  <c r="O288" i="1"/>
  <c r="O300" i="1" s="1"/>
  <c r="AW303" i="1" s="1"/>
  <c r="M289" i="1"/>
  <c r="M300" i="1" s="1"/>
  <c r="AU303" i="1" s="1"/>
  <c r="L285" i="1"/>
  <c r="P285" i="1"/>
  <c r="P296" i="1" s="1"/>
  <c r="Z303" i="1" s="1"/>
  <c r="S284" i="1"/>
  <c r="Q295" i="1" s="1"/>
  <c r="U303" i="1" s="1"/>
  <c r="Q285" i="1"/>
  <c r="L293" i="1" s="1"/>
  <c r="D303" i="1" s="1"/>
  <c r="O287" i="1"/>
  <c r="M294" i="1" s="1"/>
  <c r="K303" i="1" s="1"/>
  <c r="L288" i="1"/>
  <c r="P298" i="1" s="1"/>
  <c r="AL303" i="1" s="1"/>
  <c r="N287" i="1"/>
  <c r="N296" i="1" s="1"/>
  <c r="X303" i="1" s="1"/>
  <c r="M284" i="1"/>
  <c r="Q296" i="1" s="1"/>
  <c r="AA303" i="1" s="1"/>
  <c r="N290" i="1"/>
  <c r="N298" i="1" s="1"/>
  <c r="AJ303" i="1" s="1"/>
  <c r="Q289" i="1"/>
  <c r="L300" i="1" s="1"/>
  <c r="AT303" i="1" s="1"/>
  <c r="R290" i="1"/>
  <c r="Q297" i="1" s="1"/>
  <c r="AG303" i="1" s="1"/>
  <c r="R287" i="1"/>
  <c r="N297" i="1" s="1"/>
  <c r="AD303" i="1" s="1"/>
  <c r="Q288" i="1"/>
  <c r="R284" i="1"/>
  <c r="M296" i="1" s="1"/>
  <c r="W303" i="1" s="1"/>
  <c r="S285" i="1"/>
  <c r="L296" i="1" s="1"/>
  <c r="V303" i="1" s="1"/>
  <c r="L287" i="1"/>
  <c r="Q287" i="1"/>
  <c r="L298" i="1" s="1"/>
  <c r="AH303" i="1" s="1"/>
  <c r="Q290" i="1"/>
  <c r="M286" i="1"/>
  <c r="P284" i="1"/>
  <c r="Q293" i="1" s="1"/>
  <c r="I303" i="1" s="1"/>
  <c r="N289" i="1"/>
  <c r="P290" i="1"/>
  <c r="Q299" i="1" s="1"/>
  <c r="AS303" i="1" s="1"/>
  <c r="P287" i="1"/>
  <c r="P300" i="1" s="1"/>
  <c r="AX303" i="1" s="1"/>
  <c r="O286" i="1"/>
  <c r="O296" i="1" s="1"/>
  <c r="Y303" i="1" s="1"/>
  <c r="P286" i="1"/>
  <c r="P294" i="1" s="1"/>
  <c r="N303" i="1" s="1"/>
  <c r="P288" i="1"/>
  <c r="O297" i="1" s="1"/>
  <c r="AE303" i="1" s="1"/>
  <c r="R288" i="1"/>
  <c r="N299" i="1" s="1"/>
  <c r="AP303" i="1" s="1"/>
  <c r="L290" i="1"/>
  <c r="M299" i="1" s="1"/>
  <c r="AO303" i="1" s="1"/>
  <c r="N285" i="1"/>
  <c r="N293" i="1" s="1"/>
  <c r="F303" i="1" s="1"/>
  <c r="M287" i="1"/>
  <c r="P295" i="1" s="1"/>
  <c r="T303" i="1" s="1"/>
  <c r="N284" i="1"/>
  <c r="L294" i="1" s="1"/>
  <c r="J303" i="1" s="1"/>
  <c r="S287" i="1"/>
  <c r="Q300" i="1" s="1"/>
  <c r="AY303" i="1" s="1"/>
  <c r="R289" i="1"/>
  <c r="P297" i="1" s="1"/>
  <c r="AF303" i="1" s="1"/>
  <c r="M288" i="1"/>
  <c r="P299" i="1" s="1"/>
  <c r="AR303" i="1" s="1"/>
  <c r="O290" i="1"/>
  <c r="M297" i="1" s="1"/>
  <c r="AC303" i="1" s="1"/>
  <c r="O284" i="1"/>
  <c r="O295" i="1" s="1"/>
  <c r="S303" i="1" s="1"/>
  <c r="R285" i="1"/>
  <c r="N294" i="1" s="1"/>
  <c r="L303" i="1" s="1"/>
  <c r="Q286" i="1"/>
  <c r="O289" i="1"/>
  <c r="L299" i="1" s="1"/>
  <c r="AN303" i="1" s="1"/>
  <c r="R286" i="1"/>
  <c r="L295" i="1" s="1"/>
  <c r="P303" i="1" s="1"/>
  <c r="S290" i="1"/>
  <c r="O299" i="1" s="1"/>
  <c r="AQ303" i="1" s="1"/>
  <c r="O285" i="1"/>
  <c r="N295" i="1" s="1"/>
  <c r="R303" i="1" s="1"/>
  <c r="S288" i="1"/>
  <c r="M298" i="1" s="1"/>
  <c r="AI303" i="1" s="1"/>
  <c r="N286" i="1"/>
  <c r="M295" i="1" s="1"/>
  <c r="Q303" i="1" s="1"/>
  <c r="M285" i="1"/>
  <c r="Q294" i="1" s="1"/>
  <c r="O303" i="1" s="1"/>
  <c r="N288" i="1"/>
  <c r="L284" i="1"/>
  <c r="P293" i="1" s="1"/>
  <c r="H303" i="1" s="1"/>
  <c r="M290" i="1"/>
  <c r="N300" i="1" s="1"/>
  <c r="AV303" i="1" s="1"/>
  <c r="S286" i="1"/>
  <c r="O293" i="1" s="1"/>
  <c r="G303" i="1" s="1"/>
  <c r="S289" i="1"/>
  <c r="Q298" i="1" s="1"/>
  <c r="AM303" i="1" s="1"/>
  <c r="AS114" i="2" l="1"/>
  <c r="AE116" i="2" s="1"/>
  <c r="X119" i="2" s="1"/>
  <c r="Y128" i="2" s="1"/>
  <c r="O114" i="2"/>
  <c r="K116" i="2" s="1"/>
  <c r="C119" i="2" s="1"/>
  <c r="D128" i="2" s="1"/>
  <c r="AD114" i="2"/>
  <c r="V116" i="2" s="1"/>
  <c r="P119" i="2" s="1"/>
  <c r="Q128" i="2" s="1"/>
  <c r="U111" i="2"/>
  <c r="W113" i="2" s="1"/>
  <c r="AG111" i="2"/>
  <c r="AH113" i="2" s="1"/>
  <c r="AM111" i="2"/>
  <c r="AO113" i="2" s="1"/>
  <c r="C111" i="2"/>
  <c r="D113" i="2" s="1"/>
  <c r="AP396" i="2"/>
  <c r="AP438" i="6"/>
  <c r="M396" i="2"/>
  <c r="M438" i="6"/>
  <c r="AL396" i="2"/>
  <c r="AL438" i="6"/>
  <c r="Q396" i="2"/>
  <c r="Q438" i="6"/>
  <c r="AQ396" i="2"/>
  <c r="AQ438" i="6"/>
  <c r="S396" i="2"/>
  <c r="S438" i="6"/>
  <c r="AD396" i="2"/>
  <c r="AD438" i="6"/>
  <c r="AR396" i="2"/>
  <c r="AR438" i="6"/>
  <c r="V396" i="2"/>
  <c r="V438" i="6"/>
  <c r="AS396" i="2"/>
  <c r="AS438" i="6"/>
  <c r="AK396" i="2"/>
  <c r="AK438" i="6"/>
  <c r="Y396" i="2"/>
  <c r="Y438" i="6"/>
  <c r="AA396" i="2"/>
  <c r="AA438" i="6"/>
  <c r="O445" i="2"/>
  <c r="O389" i="6"/>
  <c r="E445" i="2"/>
  <c r="E389" i="6"/>
  <c r="M445" i="2"/>
  <c r="M389" i="6"/>
  <c r="I445" i="2"/>
  <c r="I389" i="6"/>
  <c r="AS445" i="2"/>
  <c r="AS389" i="6"/>
  <c r="Z445" i="2"/>
  <c r="Z389" i="6"/>
  <c r="AH445" i="2"/>
  <c r="AH389" i="6"/>
  <c r="P445" i="2"/>
  <c r="P389" i="6"/>
  <c r="AP445" i="2"/>
  <c r="AP389" i="6"/>
  <c r="T445" i="2"/>
  <c r="T389" i="6"/>
  <c r="AW445" i="2"/>
  <c r="AW389" i="6"/>
  <c r="K445" i="2"/>
  <c r="K389" i="6"/>
  <c r="AD445" i="2"/>
  <c r="AD389" i="6"/>
  <c r="AU445" i="2"/>
  <c r="AU389" i="6"/>
  <c r="S445" i="2"/>
  <c r="S389" i="6"/>
  <c r="AL445" i="2"/>
  <c r="AL389" i="6"/>
  <c r="V445" i="2"/>
  <c r="V389" i="6"/>
  <c r="K396" i="2"/>
  <c r="K438" i="6"/>
  <c r="J396" i="2"/>
  <c r="J438" i="6"/>
  <c r="L396" i="2"/>
  <c r="L438" i="6"/>
  <c r="F396" i="2"/>
  <c r="F438" i="6"/>
  <c r="E396" i="2"/>
  <c r="E438" i="6"/>
  <c r="AI396" i="2"/>
  <c r="AI438" i="6"/>
  <c r="O396" i="2"/>
  <c r="O438" i="6"/>
  <c r="X396" i="2"/>
  <c r="X438" i="6"/>
  <c r="AC396" i="2"/>
  <c r="AC438" i="6"/>
  <c r="AT396" i="2"/>
  <c r="AT438" i="6"/>
  <c r="AE445" i="2"/>
  <c r="AE389" i="6"/>
  <c r="AO445" i="2"/>
  <c r="AO389" i="6"/>
  <c r="AF445" i="2"/>
  <c r="AF389" i="6"/>
  <c r="C445" i="2"/>
  <c r="C389" i="6"/>
  <c r="AI445" i="2"/>
  <c r="AI389" i="6"/>
  <c r="AC445" i="2"/>
  <c r="AC389" i="6"/>
  <c r="N445" i="2"/>
  <c r="N389" i="6"/>
  <c r="F445" i="2"/>
  <c r="F389" i="6"/>
  <c r="AX445" i="2"/>
  <c r="AX389" i="6"/>
  <c r="AT445" i="2"/>
  <c r="AT389" i="6"/>
  <c r="AR445" i="2"/>
  <c r="AR389" i="6"/>
  <c r="H445" i="2"/>
  <c r="H389" i="6"/>
  <c r="L445" i="2"/>
  <c r="L389" i="6"/>
  <c r="AG445" i="2"/>
  <c r="AG389" i="6"/>
  <c r="AJ445" i="2"/>
  <c r="AJ389" i="6"/>
  <c r="U445" i="2"/>
  <c r="U389" i="6"/>
  <c r="W445" i="2"/>
  <c r="W389" i="6"/>
  <c r="Y445" i="2"/>
  <c r="Y389" i="6"/>
  <c r="N396" i="2"/>
  <c r="N438" i="6"/>
  <c r="AE396" i="2"/>
  <c r="AE438" i="6"/>
  <c r="AG396" i="2"/>
  <c r="AG438" i="6"/>
  <c r="AU396" i="2"/>
  <c r="AU438" i="6"/>
  <c r="P396" i="2"/>
  <c r="P438" i="6"/>
  <c r="R396" i="2"/>
  <c r="R438" i="6"/>
  <c r="AX396" i="2"/>
  <c r="AX438" i="6"/>
  <c r="AN396" i="2"/>
  <c r="AN438" i="6"/>
  <c r="H396" i="2"/>
  <c r="H438" i="6"/>
  <c r="Z396" i="2"/>
  <c r="Z438" i="6"/>
  <c r="C396" i="2"/>
  <c r="C438" i="6"/>
  <c r="D396" i="2"/>
  <c r="D438" i="6"/>
  <c r="AQ445" i="2"/>
  <c r="AQ389" i="6"/>
  <c r="G396" i="2"/>
  <c r="G438" i="6"/>
  <c r="AH396" i="2"/>
  <c r="AH438" i="6"/>
  <c r="AM396" i="2"/>
  <c r="AM438" i="6"/>
  <c r="AB396" i="2"/>
  <c r="AB438" i="6"/>
  <c r="I396" i="2"/>
  <c r="I438" i="6"/>
  <c r="AO396" i="2"/>
  <c r="AO438" i="6"/>
  <c r="AW396" i="2"/>
  <c r="AW438" i="6"/>
  <c r="U396" i="2"/>
  <c r="U438" i="6"/>
  <c r="AF396" i="2"/>
  <c r="AF438" i="6"/>
  <c r="W396" i="2"/>
  <c r="W438" i="6"/>
  <c r="T396" i="2"/>
  <c r="T438" i="6"/>
  <c r="AV396" i="2"/>
  <c r="AV438" i="6"/>
  <c r="AJ396" i="2"/>
  <c r="AJ438" i="6"/>
  <c r="AV113" i="2"/>
  <c r="AU113" i="2"/>
  <c r="AT113" i="2"/>
  <c r="AA113" i="2"/>
  <c r="P113" i="2"/>
  <c r="Q113" i="2"/>
  <c r="R113" i="2"/>
  <c r="AB113" i="2"/>
  <c r="AC113" i="2"/>
  <c r="L327" i="1"/>
  <c r="M336" i="1" s="1"/>
  <c r="AO340" i="1" s="1"/>
  <c r="M353" i="1"/>
  <c r="L323" i="1"/>
  <c r="M330" i="1" s="1"/>
  <c r="E340" i="1" s="1"/>
  <c r="M349" i="1"/>
  <c r="O322" i="1"/>
  <c r="N332" i="1" s="1"/>
  <c r="R340" i="1" s="1"/>
  <c r="L348" i="1"/>
  <c r="R387" i="1"/>
  <c r="P361" i="1"/>
  <c r="O370" i="1" s="1"/>
  <c r="AK375" i="1" s="1"/>
  <c r="O360" i="1"/>
  <c r="O372" i="1" s="1"/>
  <c r="AW375" i="1" s="1"/>
  <c r="L386" i="1"/>
  <c r="P360" i="1"/>
  <c r="O369" i="1" s="1"/>
  <c r="AE375" i="1" s="1"/>
  <c r="R386" i="1"/>
  <c r="P362" i="1"/>
  <c r="Q371" i="1" s="1"/>
  <c r="AS375" i="1" s="1"/>
  <c r="R388" i="1"/>
  <c r="M387" i="1"/>
  <c r="L361" i="1"/>
  <c r="L369" i="1" s="1"/>
  <c r="AB375" i="1" s="1"/>
  <c r="Q383" i="1"/>
  <c r="S357" i="1"/>
  <c r="L368" i="1" s="1"/>
  <c r="V375" i="1" s="1"/>
  <c r="L362" i="1"/>
  <c r="M371" i="1" s="1"/>
  <c r="AO375" i="1" s="1"/>
  <c r="M388" i="1"/>
  <c r="P359" i="1"/>
  <c r="P372" i="1" s="1"/>
  <c r="AX375" i="1" s="1"/>
  <c r="R385" i="1"/>
  <c r="L383" i="1"/>
  <c r="O357" i="1"/>
  <c r="N367" i="1" s="1"/>
  <c r="R375" i="1" s="1"/>
  <c r="M386" i="1"/>
  <c r="L360" i="1"/>
  <c r="P370" i="1" s="1"/>
  <c r="AL375" i="1" s="1"/>
  <c r="Q358" i="1"/>
  <c r="S384" i="1"/>
  <c r="Q359" i="1"/>
  <c r="L370" i="1" s="1"/>
  <c r="AH375" i="1" s="1"/>
  <c r="S385" i="1"/>
  <c r="O361" i="1"/>
  <c r="L371" i="1" s="1"/>
  <c r="AN375" i="1" s="1"/>
  <c r="L387" i="1"/>
  <c r="R362" i="1"/>
  <c r="Q369" i="1" s="1"/>
  <c r="AG375" i="1" s="1"/>
  <c r="P388" i="1"/>
  <c r="R356" i="1"/>
  <c r="M368" i="1" s="1"/>
  <c r="W375" i="1" s="1"/>
  <c r="P382" i="1"/>
  <c r="S356" i="1"/>
  <c r="Q367" i="1" s="1"/>
  <c r="U375" i="1" s="1"/>
  <c r="Q382" i="1"/>
  <c r="Q385" i="1"/>
  <c r="S359" i="1"/>
  <c r="Q372" i="1" s="1"/>
  <c r="AY375" i="1" s="1"/>
  <c r="R361" i="1"/>
  <c r="P369" i="1" s="1"/>
  <c r="AF375" i="1" s="1"/>
  <c r="P387" i="1"/>
  <c r="S383" i="1"/>
  <c r="Q357" i="1"/>
  <c r="L365" i="1" s="1"/>
  <c r="D375" i="1" s="1"/>
  <c r="L359" i="1"/>
  <c r="M385" i="1"/>
  <c r="R357" i="1"/>
  <c r="N366" i="1" s="1"/>
  <c r="L375" i="1" s="1"/>
  <c r="P383" i="1"/>
  <c r="O327" i="1"/>
  <c r="M334" i="1" s="1"/>
  <c r="AC340" i="1" s="1"/>
  <c r="L353" i="1"/>
  <c r="O323" i="1"/>
  <c r="O333" i="1" s="1"/>
  <c r="Y340" i="1" s="1"/>
  <c r="L349" i="1"/>
  <c r="L322" i="1"/>
  <c r="M348" i="1"/>
  <c r="O321" i="1"/>
  <c r="O332" i="1" s="1"/>
  <c r="S340" i="1" s="1"/>
  <c r="L347" i="1"/>
  <c r="L324" i="1"/>
  <c r="M350" i="1"/>
  <c r="O325" i="1"/>
  <c r="O337" i="1" s="1"/>
  <c r="AW340" i="1" s="1"/>
  <c r="L351" i="1"/>
  <c r="O326" i="1"/>
  <c r="L336" i="1" s="1"/>
  <c r="AN340" i="1" s="1"/>
  <c r="L352" i="1"/>
  <c r="R384" i="1"/>
  <c r="P358" i="1"/>
  <c r="P366" i="1" s="1"/>
  <c r="N375" i="1" s="1"/>
  <c r="L384" i="1"/>
  <c r="O358" i="1"/>
  <c r="O368" i="1" s="1"/>
  <c r="Y375" i="1" s="1"/>
  <c r="M383" i="1"/>
  <c r="L357" i="1"/>
  <c r="S358" i="1"/>
  <c r="O365" i="1" s="1"/>
  <c r="G375" i="1" s="1"/>
  <c r="Q384" i="1"/>
  <c r="R358" i="1"/>
  <c r="L367" i="1" s="1"/>
  <c r="P375" i="1" s="1"/>
  <c r="P384" i="1"/>
  <c r="L356" i="1"/>
  <c r="P365" i="1" s="1"/>
  <c r="H375" i="1" s="1"/>
  <c r="M382" i="1"/>
  <c r="S361" i="1"/>
  <c r="Q370" i="1" s="1"/>
  <c r="AM375" i="1" s="1"/>
  <c r="Q387" i="1"/>
  <c r="O356" i="1"/>
  <c r="O367" i="1" s="1"/>
  <c r="S375" i="1" s="1"/>
  <c r="L382" i="1"/>
  <c r="S360" i="1"/>
  <c r="M370" i="1" s="1"/>
  <c r="AI375" i="1" s="1"/>
  <c r="Q386" i="1"/>
  <c r="S386" i="1"/>
  <c r="Q360" i="1"/>
  <c r="M384" i="1"/>
  <c r="L358" i="1"/>
  <c r="M365" i="1" s="1"/>
  <c r="E375" i="1" s="1"/>
  <c r="S388" i="1"/>
  <c r="Q362" i="1"/>
  <c r="Q356" i="1"/>
  <c r="O366" i="1" s="1"/>
  <c r="M375" i="1" s="1"/>
  <c r="S382" i="1"/>
  <c r="R359" i="1"/>
  <c r="N369" i="1" s="1"/>
  <c r="AD375" i="1" s="1"/>
  <c r="P385" i="1"/>
  <c r="P357" i="1"/>
  <c r="P368" i="1" s="1"/>
  <c r="Z375" i="1" s="1"/>
  <c r="R383" i="1"/>
  <c r="P386" i="1"/>
  <c r="R360" i="1"/>
  <c r="N371" i="1" s="1"/>
  <c r="AP375" i="1" s="1"/>
  <c r="S362" i="1"/>
  <c r="O371" i="1" s="1"/>
  <c r="AQ375" i="1" s="1"/>
  <c r="Q388" i="1"/>
  <c r="L388" i="1"/>
  <c r="O362" i="1"/>
  <c r="M369" i="1" s="1"/>
  <c r="AC375" i="1" s="1"/>
  <c r="L385" i="1"/>
  <c r="O359" i="1"/>
  <c r="M366" i="1" s="1"/>
  <c r="K375" i="1" s="1"/>
  <c r="S387" i="1"/>
  <c r="Q361" i="1"/>
  <c r="L372" i="1" s="1"/>
  <c r="AT375" i="1" s="1"/>
  <c r="R382" i="1"/>
  <c r="P356" i="1"/>
  <c r="Q365" i="1" s="1"/>
  <c r="I375" i="1" s="1"/>
  <c r="L321" i="1"/>
  <c r="P330" i="1" s="1"/>
  <c r="H340" i="1" s="1"/>
  <c r="M347" i="1"/>
  <c r="O324" i="1"/>
  <c r="M331" i="1" s="1"/>
  <c r="K340" i="1" s="1"/>
  <c r="L350" i="1"/>
  <c r="L325" i="1"/>
  <c r="P335" i="1" s="1"/>
  <c r="AL340" i="1" s="1"/>
  <c r="M351" i="1"/>
  <c r="L326" i="1"/>
  <c r="L334" i="1" s="1"/>
  <c r="AB340" i="1" s="1"/>
  <c r="M352" i="1"/>
  <c r="L113" i="2"/>
  <c r="I113" i="2"/>
  <c r="K113" i="2"/>
  <c r="J113" i="2"/>
  <c r="U113" i="2" l="1"/>
  <c r="U114" i="2" s="1"/>
  <c r="O116" i="2" s="1"/>
  <c r="G119" i="2" s="1"/>
  <c r="H128" i="2" s="1"/>
  <c r="P132" i="2"/>
  <c r="L139" i="2" s="1"/>
  <c r="W147" i="2" s="1"/>
  <c r="W155" i="2" s="1"/>
  <c r="C132" i="2"/>
  <c r="O143" i="2" s="1"/>
  <c r="AX147" i="2" s="1"/>
  <c r="AX155" i="2" s="1"/>
  <c r="X132" i="2"/>
  <c r="Y174" i="2" s="1"/>
  <c r="L114" i="2"/>
  <c r="J116" i="2" s="1"/>
  <c r="S119" i="2" s="1"/>
  <c r="T128" i="2" s="1"/>
  <c r="AC114" i="2"/>
  <c r="U116" i="2" s="1"/>
  <c r="Z119" i="2" s="1"/>
  <c r="AA128" i="2" s="1"/>
  <c r="P114" i="2"/>
  <c r="L116" i="2" s="1"/>
  <c r="Q119" i="2" s="1"/>
  <c r="R128" i="2" s="1"/>
  <c r="AV114" i="2"/>
  <c r="AH116" i="2" s="1"/>
  <c r="AA119" i="2" s="1"/>
  <c r="AB128" i="2" s="1"/>
  <c r="AH114" i="2"/>
  <c r="X116" i="2" s="1"/>
  <c r="AC119" i="2" s="1"/>
  <c r="AD128" i="2" s="1"/>
  <c r="J114" i="2"/>
  <c r="H116" i="2" s="1"/>
  <c r="N119" i="2" s="1"/>
  <c r="O128" i="2" s="1"/>
  <c r="AB114" i="2"/>
  <c r="T116" i="2" s="1"/>
  <c r="J119" i="2" s="1"/>
  <c r="K128" i="2" s="1"/>
  <c r="AA114" i="2"/>
  <c r="S116" i="2" s="1"/>
  <c r="D119" i="2" s="1"/>
  <c r="E128" i="2" s="1"/>
  <c r="W114" i="2"/>
  <c r="Q116" i="2" s="1"/>
  <c r="AG119" i="2" s="1"/>
  <c r="AH128" i="2" s="1"/>
  <c r="K114" i="2"/>
  <c r="I116" i="2" s="1"/>
  <c r="AD119" i="2" s="1"/>
  <c r="AE128" i="2" s="1"/>
  <c r="R114" i="2"/>
  <c r="N116" i="2" s="1"/>
  <c r="AB119" i="2" s="1"/>
  <c r="AC128" i="2" s="1"/>
  <c r="AT114" i="2"/>
  <c r="AF116" i="2" s="1"/>
  <c r="M119" i="2" s="1"/>
  <c r="N128" i="2" s="1"/>
  <c r="I114" i="2"/>
  <c r="G116" i="2" s="1"/>
  <c r="AE119" i="2" s="1"/>
  <c r="AF128" i="2" s="1"/>
  <c r="Q114" i="2"/>
  <c r="M116" i="2" s="1"/>
  <c r="Y119" i="2" s="1"/>
  <c r="Z128" i="2" s="1"/>
  <c r="AU114" i="2"/>
  <c r="AG116" i="2" s="1"/>
  <c r="F119" i="2" s="1"/>
  <c r="G128" i="2" s="1"/>
  <c r="AO114" i="2"/>
  <c r="AC116" i="2" s="1"/>
  <c r="AF119" i="2" s="1"/>
  <c r="AG128" i="2" s="1"/>
  <c r="D114" i="2"/>
  <c r="D116" i="2" s="1"/>
  <c r="I119" i="2" s="1"/>
  <c r="J128" i="2" s="1"/>
  <c r="AJ113" i="2"/>
  <c r="C113" i="2"/>
  <c r="X113" i="2"/>
  <c r="V113" i="2"/>
  <c r="AN113" i="2"/>
  <c r="AG113" i="2"/>
  <c r="AM113" i="2"/>
  <c r="F113" i="2"/>
  <c r="AI113" i="2"/>
  <c r="AP113" i="2"/>
  <c r="E113" i="2"/>
  <c r="J494" i="2"/>
  <c r="J340" i="6"/>
  <c r="Q494" i="2"/>
  <c r="Q340" i="6"/>
  <c r="AA445" i="2"/>
  <c r="AA389" i="6"/>
  <c r="J445" i="2"/>
  <c r="J389" i="6"/>
  <c r="AP494" i="2"/>
  <c r="AP340" i="6"/>
  <c r="Y494" i="2"/>
  <c r="Y340" i="6"/>
  <c r="L494" i="2"/>
  <c r="L340" i="6"/>
  <c r="AH494" i="2"/>
  <c r="AH340" i="6"/>
  <c r="AL494" i="2"/>
  <c r="AL340" i="6"/>
  <c r="O494" i="2"/>
  <c r="O340" i="6"/>
  <c r="AV445" i="2"/>
  <c r="AV389" i="6"/>
  <c r="R445" i="2"/>
  <c r="R389" i="6"/>
  <c r="X445" i="2"/>
  <c r="X389" i="6"/>
  <c r="K494" i="2"/>
  <c r="K340" i="6"/>
  <c r="V494" i="2"/>
  <c r="V340" i="6"/>
  <c r="AM494" i="2"/>
  <c r="AM340" i="6"/>
  <c r="AN494" i="2"/>
  <c r="AN340" i="6"/>
  <c r="AD494" i="2"/>
  <c r="AD340" i="6"/>
  <c r="D445" i="2"/>
  <c r="D389" i="6"/>
  <c r="C494" i="2"/>
  <c r="C340" i="6"/>
  <c r="AA494" i="2"/>
  <c r="AA340" i="6"/>
  <c r="AB494" i="2"/>
  <c r="AB340" i="6"/>
  <c r="H494" i="2"/>
  <c r="H340" i="6"/>
  <c r="D494" i="2"/>
  <c r="D340" i="6"/>
  <c r="M494" i="2"/>
  <c r="M340" i="6"/>
  <c r="AX494" i="2"/>
  <c r="AX340" i="6"/>
  <c r="AJ494" i="2"/>
  <c r="AJ340" i="6"/>
  <c r="AS494" i="2"/>
  <c r="AS340" i="6"/>
  <c r="AO494" i="2"/>
  <c r="AO340" i="6"/>
  <c r="X494" i="2"/>
  <c r="X340" i="6"/>
  <c r="AK494" i="2"/>
  <c r="AK340" i="6"/>
  <c r="U494" i="2"/>
  <c r="U340" i="6"/>
  <c r="AK445" i="2"/>
  <c r="AK389" i="6"/>
  <c r="G445" i="2"/>
  <c r="G389" i="6"/>
  <c r="AC494" i="2"/>
  <c r="AC340" i="6"/>
  <c r="R494" i="2"/>
  <c r="R340" i="6"/>
  <c r="G494" i="2"/>
  <c r="G340" i="6"/>
  <c r="F494" i="2"/>
  <c r="F340" i="6"/>
  <c r="AM445" i="2"/>
  <c r="AM389" i="6"/>
  <c r="AB445" i="2"/>
  <c r="AB389" i="6"/>
  <c r="AE494" i="2"/>
  <c r="AE340" i="6"/>
  <c r="T494" i="2"/>
  <c r="T340" i="6"/>
  <c r="AF494" i="2"/>
  <c r="AF340" i="6"/>
  <c r="AG494" i="2"/>
  <c r="AG340" i="6"/>
  <c r="AW494" i="2"/>
  <c r="AW340" i="6"/>
  <c r="AR494" i="2"/>
  <c r="AR340" i="6"/>
  <c r="AV494" i="2"/>
  <c r="AV340" i="6"/>
  <c r="Q445" i="2"/>
  <c r="Q389" i="6"/>
  <c r="AN445" i="2"/>
  <c r="AN389" i="6"/>
  <c r="N385" i="1"/>
  <c r="M359" i="1"/>
  <c r="P367" i="1" s="1"/>
  <c r="T375" i="1" s="1"/>
  <c r="Q397" i="1"/>
  <c r="S423" i="1"/>
  <c r="Q396" i="1"/>
  <c r="L407" i="1" s="1"/>
  <c r="AT410" i="1" s="1"/>
  <c r="S422" i="1"/>
  <c r="P393" i="1"/>
  <c r="P401" i="1" s="1"/>
  <c r="N410" i="1" s="1"/>
  <c r="R419" i="1"/>
  <c r="M356" i="1"/>
  <c r="Q368" i="1" s="1"/>
  <c r="AA375" i="1" s="1"/>
  <c r="N382" i="1"/>
  <c r="M396" i="1"/>
  <c r="M407" i="1" s="1"/>
  <c r="AU410" i="1" s="1"/>
  <c r="N422" i="1"/>
  <c r="N397" i="1"/>
  <c r="N405" i="1" s="1"/>
  <c r="AJ410" i="1" s="1"/>
  <c r="K423" i="1"/>
  <c r="R395" i="1"/>
  <c r="N406" i="1" s="1"/>
  <c r="AP410" i="1" s="1"/>
  <c r="P421" i="1"/>
  <c r="N358" i="1"/>
  <c r="M367" i="1" s="1"/>
  <c r="Q375" i="1" s="1"/>
  <c r="K384" i="1"/>
  <c r="R391" i="1"/>
  <c r="M403" i="1" s="1"/>
  <c r="W410" i="1" s="1"/>
  <c r="P417" i="1"/>
  <c r="M394" i="1"/>
  <c r="P402" i="1" s="1"/>
  <c r="T410" i="1" s="1"/>
  <c r="N420" i="1"/>
  <c r="N393" i="1"/>
  <c r="M402" i="1" s="1"/>
  <c r="Q410" i="1" s="1"/>
  <c r="K419" i="1"/>
  <c r="N392" i="1"/>
  <c r="N400" i="1" s="1"/>
  <c r="F410" i="1" s="1"/>
  <c r="K418" i="1"/>
  <c r="R393" i="1"/>
  <c r="L402" i="1" s="1"/>
  <c r="P410" i="1" s="1"/>
  <c r="P419" i="1"/>
  <c r="S392" i="1"/>
  <c r="L403" i="1" s="1"/>
  <c r="V410" i="1" s="1"/>
  <c r="Q418" i="1"/>
  <c r="Q394" i="1"/>
  <c r="L405" i="1" s="1"/>
  <c r="AH410" i="1" s="1"/>
  <c r="S420" i="1"/>
  <c r="M392" i="1"/>
  <c r="Q401" i="1" s="1"/>
  <c r="O410" i="1" s="1"/>
  <c r="N418" i="1"/>
  <c r="N396" i="1"/>
  <c r="K422" i="1"/>
  <c r="R396" i="1"/>
  <c r="P404" i="1" s="1"/>
  <c r="AF410" i="1" s="1"/>
  <c r="P422" i="1"/>
  <c r="N360" i="1"/>
  <c r="K386" i="1"/>
  <c r="N356" i="1"/>
  <c r="L366" i="1" s="1"/>
  <c r="J375" i="1" s="1"/>
  <c r="K382" i="1"/>
  <c r="P394" i="1"/>
  <c r="P407" i="1" s="1"/>
  <c r="AX410" i="1" s="1"/>
  <c r="R420" i="1"/>
  <c r="M391" i="1"/>
  <c r="Q403" i="1" s="1"/>
  <c r="AA410" i="1" s="1"/>
  <c r="N417" i="1"/>
  <c r="N391" i="1"/>
  <c r="L401" i="1" s="1"/>
  <c r="J410" i="1" s="1"/>
  <c r="K417" i="1"/>
  <c r="Q393" i="1"/>
  <c r="S419" i="1"/>
  <c r="N387" i="1"/>
  <c r="M361" i="1"/>
  <c r="M372" i="1" s="1"/>
  <c r="AU375" i="1" s="1"/>
  <c r="N359" i="1"/>
  <c r="N368" i="1" s="1"/>
  <c r="X375" i="1" s="1"/>
  <c r="K385" i="1"/>
  <c r="N357" i="1"/>
  <c r="N365" i="1" s="1"/>
  <c r="F375" i="1" s="1"/>
  <c r="K383" i="1"/>
  <c r="N388" i="1"/>
  <c r="M362" i="1"/>
  <c r="N372" i="1" s="1"/>
  <c r="AV375" i="1" s="1"/>
  <c r="N394" i="1"/>
  <c r="N403" i="1" s="1"/>
  <c r="X410" i="1" s="1"/>
  <c r="K420" i="1"/>
  <c r="P396" i="1"/>
  <c r="O405" i="1" s="1"/>
  <c r="AK410" i="1" s="1"/>
  <c r="R422" i="1"/>
  <c r="Q391" i="1"/>
  <c r="O401" i="1" s="1"/>
  <c r="M410" i="1" s="1"/>
  <c r="S417" i="1"/>
  <c r="P397" i="1"/>
  <c r="Q406" i="1" s="1"/>
  <c r="AS410" i="1" s="1"/>
  <c r="R423" i="1"/>
  <c r="S394" i="1"/>
  <c r="Q407" i="1" s="1"/>
  <c r="AY410" i="1" s="1"/>
  <c r="Q420" i="1"/>
  <c r="R394" i="1"/>
  <c r="N404" i="1" s="1"/>
  <c r="AD410" i="1" s="1"/>
  <c r="P420" i="1"/>
  <c r="R397" i="1"/>
  <c r="Q404" i="1" s="1"/>
  <c r="AG410" i="1" s="1"/>
  <c r="P423" i="1"/>
  <c r="M395" i="1"/>
  <c r="P406" i="1" s="1"/>
  <c r="AR410" i="1" s="1"/>
  <c r="N421" i="1"/>
  <c r="N383" i="1"/>
  <c r="M357" i="1"/>
  <c r="Q366" i="1" s="1"/>
  <c r="O375" i="1" s="1"/>
  <c r="N362" i="1"/>
  <c r="N370" i="1" s="1"/>
  <c r="AJ375" i="1" s="1"/>
  <c r="K388" i="1"/>
  <c r="N361" i="1"/>
  <c r="K387" i="1"/>
  <c r="R392" i="1"/>
  <c r="N401" i="1" s="1"/>
  <c r="L410" i="1" s="1"/>
  <c r="P418" i="1"/>
  <c r="Q417" i="1"/>
  <c r="S391" i="1"/>
  <c r="Q402" i="1" s="1"/>
  <c r="U410" i="1" s="1"/>
  <c r="Q395" i="1"/>
  <c r="S421" i="1"/>
  <c r="M360" i="1"/>
  <c r="P371" i="1" s="1"/>
  <c r="AR375" i="1" s="1"/>
  <c r="N386" i="1"/>
  <c r="N384" i="1"/>
  <c r="M358" i="1"/>
  <c r="P392" i="1"/>
  <c r="P403" i="1" s="1"/>
  <c r="Z410" i="1" s="1"/>
  <c r="R418" i="1"/>
  <c r="P391" i="1"/>
  <c r="Q400" i="1" s="1"/>
  <c r="I410" i="1" s="1"/>
  <c r="R417" i="1"/>
  <c r="S393" i="1"/>
  <c r="O400" i="1" s="1"/>
  <c r="G410" i="1" s="1"/>
  <c r="Q419" i="1"/>
  <c r="S396" i="1"/>
  <c r="Q405" i="1" s="1"/>
  <c r="AM410" i="1" s="1"/>
  <c r="Q422" i="1"/>
  <c r="M397" i="1"/>
  <c r="N407" i="1" s="1"/>
  <c r="AV410" i="1" s="1"/>
  <c r="N423" i="1"/>
  <c r="P395" i="1"/>
  <c r="O404" i="1" s="1"/>
  <c r="AE410" i="1" s="1"/>
  <c r="R421" i="1"/>
  <c r="S397" i="1"/>
  <c r="O406" i="1" s="1"/>
  <c r="AQ410" i="1" s="1"/>
  <c r="Q423" i="1"/>
  <c r="Q421" i="1"/>
  <c r="S395" i="1"/>
  <c r="M405" i="1" s="1"/>
  <c r="AI410" i="1" s="1"/>
  <c r="M393" i="1"/>
  <c r="N419" i="1"/>
  <c r="N395" i="1"/>
  <c r="K421" i="1"/>
  <c r="Q392" i="1"/>
  <c r="L400" i="1" s="1"/>
  <c r="D410" i="1" s="1"/>
  <c r="S418" i="1"/>
  <c r="Q174" i="2" l="1"/>
  <c r="K136" i="2"/>
  <c r="D147" i="2" s="1"/>
  <c r="D155" i="2" s="1"/>
  <c r="D174" i="2"/>
  <c r="L141" i="2"/>
  <c r="AI147" i="2" s="1"/>
  <c r="AI155" i="2" s="1"/>
  <c r="AB132" i="2"/>
  <c r="L142" i="2" s="1"/>
  <c r="AO147" i="2" s="1"/>
  <c r="AO155" i="2" s="1"/>
  <c r="AA132" i="2"/>
  <c r="AB174" i="2" s="1"/>
  <c r="AE132" i="2"/>
  <c r="O142" i="2" s="1"/>
  <c r="AR147" i="2" s="1"/>
  <c r="AR155" i="2" s="1"/>
  <c r="N132" i="2"/>
  <c r="N138" i="2" s="1"/>
  <c r="S147" i="2" s="1"/>
  <c r="S155" i="2" s="1"/>
  <c r="F132" i="2"/>
  <c r="N136" i="2" s="1"/>
  <c r="G147" i="2" s="1"/>
  <c r="G155" i="2" s="1"/>
  <c r="D132" i="2"/>
  <c r="E174" i="2" s="1"/>
  <c r="AG132" i="2"/>
  <c r="M143" i="2" s="1"/>
  <c r="AV147" i="2" s="1"/>
  <c r="AV155" i="2" s="1"/>
  <c r="Z132" i="2"/>
  <c r="N141" i="2" s="1"/>
  <c r="AK147" i="2" s="1"/>
  <c r="AK155" i="2" s="1"/>
  <c r="AF132" i="2"/>
  <c r="AG174" i="2" s="1"/>
  <c r="Y132" i="2"/>
  <c r="Z174" i="2" s="1"/>
  <c r="M132" i="2"/>
  <c r="N174" i="2" s="1"/>
  <c r="AD132" i="2"/>
  <c r="AE174" i="2" s="1"/>
  <c r="G132" i="2"/>
  <c r="O136" i="2" s="1"/>
  <c r="H147" i="2" s="1"/>
  <c r="H155" i="2" s="1"/>
  <c r="J132" i="2"/>
  <c r="J138" i="2" s="1"/>
  <c r="O147" i="2" s="1"/>
  <c r="O155" i="2" s="1"/>
  <c r="AC132" i="2"/>
  <c r="M142" i="2" s="1"/>
  <c r="AP147" i="2" s="1"/>
  <c r="AP155" i="2" s="1"/>
  <c r="Q132" i="2"/>
  <c r="R174" i="2" s="1"/>
  <c r="S132" i="2"/>
  <c r="K140" i="2" s="1"/>
  <c r="AB147" i="2" s="1"/>
  <c r="AB155" i="2" s="1"/>
  <c r="AN114" i="2"/>
  <c r="AB116" i="2" s="1"/>
  <c r="O119" i="2" s="1"/>
  <c r="P128" i="2" s="1"/>
  <c r="V114" i="2"/>
  <c r="P116" i="2" s="1"/>
  <c r="T119" i="2" s="1"/>
  <c r="U128" i="2" s="1"/>
  <c r="AJ114" i="2"/>
  <c r="Z116" i="2" s="1"/>
  <c r="K119" i="2" s="1"/>
  <c r="L128" i="2" s="1"/>
  <c r="AP114" i="2"/>
  <c r="AD116" i="2" s="1"/>
  <c r="H119" i="2" s="1"/>
  <c r="I128" i="2" s="1"/>
  <c r="AM114" i="2"/>
  <c r="AA116" i="2" s="1"/>
  <c r="U119" i="2" s="1"/>
  <c r="V128" i="2" s="1"/>
  <c r="X114" i="2"/>
  <c r="R116" i="2" s="1"/>
  <c r="L119" i="2" s="1"/>
  <c r="M128" i="2" s="1"/>
  <c r="AI114" i="2"/>
  <c r="Y116" i="2" s="1"/>
  <c r="E119" i="2" s="1"/>
  <c r="F128" i="2" s="1"/>
  <c r="AG114" i="2"/>
  <c r="W116" i="2" s="1"/>
  <c r="AH119" i="2" s="1"/>
  <c r="AI128" i="2" s="1"/>
  <c r="I132" i="2"/>
  <c r="M137" i="2" s="1"/>
  <c r="L147" i="2" s="1"/>
  <c r="L155" i="2" s="1"/>
  <c r="C114" i="2"/>
  <c r="C116" i="2" s="1"/>
  <c r="R119" i="2" s="1"/>
  <c r="S128" i="2" s="1"/>
  <c r="F114" i="2"/>
  <c r="F116" i="2" s="1"/>
  <c r="W119" i="2" s="1"/>
  <c r="X128" i="2" s="1"/>
  <c r="E114" i="2"/>
  <c r="E116" i="2" s="1"/>
  <c r="V119" i="2" s="1"/>
  <c r="W128" i="2" s="1"/>
  <c r="AP543" i="2"/>
  <c r="AP291" i="6"/>
  <c r="F543" i="2"/>
  <c r="F291" i="6"/>
  <c r="AO543" i="2"/>
  <c r="AO291" i="6"/>
  <c r="AC543" i="2"/>
  <c r="AC291" i="6"/>
  <c r="AD543" i="2"/>
  <c r="AD291" i="6"/>
  <c r="AI543" i="2"/>
  <c r="AI291" i="6"/>
  <c r="AS543" i="2"/>
  <c r="AS291" i="6"/>
  <c r="C543" i="2"/>
  <c r="C291" i="6"/>
  <c r="AU543" i="2"/>
  <c r="AU291" i="6"/>
  <c r="Y543" i="2"/>
  <c r="Y291" i="6"/>
  <c r="AT543" i="2"/>
  <c r="AT291" i="6"/>
  <c r="AH543" i="2"/>
  <c r="AH291" i="6"/>
  <c r="AQ543" i="2"/>
  <c r="AQ291" i="6"/>
  <c r="AR543" i="2"/>
  <c r="AR291" i="6"/>
  <c r="W494" i="2"/>
  <c r="W340" i="6"/>
  <c r="AL543" i="2"/>
  <c r="AL291" i="6"/>
  <c r="H543" i="2"/>
  <c r="H291" i="6"/>
  <c r="K543" i="2"/>
  <c r="K291" i="6"/>
  <c r="N494" i="2"/>
  <c r="N340" i="6"/>
  <c r="AT494" i="2"/>
  <c r="AT340" i="6"/>
  <c r="P494" i="2"/>
  <c r="P340" i="6"/>
  <c r="Z494" i="2"/>
  <c r="Z340" i="6"/>
  <c r="T543" i="2"/>
  <c r="T291" i="6"/>
  <c r="AF543" i="2"/>
  <c r="AF291" i="6"/>
  <c r="AX543" i="2"/>
  <c r="AX291" i="6"/>
  <c r="L543" i="2"/>
  <c r="L291" i="6"/>
  <c r="W543" i="2"/>
  <c r="W291" i="6"/>
  <c r="E494" i="2"/>
  <c r="E340" i="6"/>
  <c r="I543" i="2"/>
  <c r="I291" i="6"/>
  <c r="AW543" i="2"/>
  <c r="AW291" i="6"/>
  <c r="AG543" i="2"/>
  <c r="AG291" i="6"/>
  <c r="O543" i="2"/>
  <c r="O291" i="6"/>
  <c r="P543" i="2"/>
  <c r="P291" i="6"/>
  <c r="V543" i="2"/>
  <c r="V291" i="6"/>
  <c r="M543" i="2"/>
  <c r="M291" i="6"/>
  <c r="AQ494" i="2"/>
  <c r="AQ340" i="6"/>
  <c r="AU494" i="2"/>
  <c r="AU340" i="6"/>
  <c r="AI494" i="2"/>
  <c r="AI340" i="6"/>
  <c r="AJ543" i="2"/>
  <c r="AJ291" i="6"/>
  <c r="Z543" i="2"/>
  <c r="Z291" i="6"/>
  <c r="I494" i="2"/>
  <c r="I340" i="6"/>
  <c r="AE543" i="2"/>
  <c r="AE291" i="6"/>
  <c r="N543" i="2"/>
  <c r="N291" i="6"/>
  <c r="U543" i="2"/>
  <c r="U291" i="6"/>
  <c r="E543" i="2"/>
  <c r="E291" i="6"/>
  <c r="S543" i="2"/>
  <c r="S291" i="6"/>
  <c r="S494" i="2"/>
  <c r="S340" i="6"/>
  <c r="O428" i="1"/>
  <c r="O438" i="1" s="1"/>
  <c r="Y445" i="1" s="1"/>
  <c r="L454" i="1"/>
  <c r="Q428" i="1"/>
  <c r="S454" i="1"/>
  <c r="O395" i="1"/>
  <c r="O407" i="1" s="1"/>
  <c r="AW410" i="1" s="1"/>
  <c r="L421" i="1"/>
  <c r="L396" i="1"/>
  <c r="L404" i="1" s="1"/>
  <c r="AB410" i="1" s="1"/>
  <c r="M422" i="1"/>
  <c r="P432" i="1"/>
  <c r="Q441" i="1" s="1"/>
  <c r="AS445" i="1" s="1"/>
  <c r="R458" i="1"/>
  <c r="Q429" i="1"/>
  <c r="L440" i="1" s="1"/>
  <c r="AH445" i="1" s="1"/>
  <c r="S455" i="1"/>
  <c r="S426" i="1"/>
  <c r="Q437" i="1" s="1"/>
  <c r="U445" i="1" s="1"/>
  <c r="Q452" i="1"/>
  <c r="L429" i="1"/>
  <c r="M455" i="1"/>
  <c r="L392" i="1"/>
  <c r="M418" i="1"/>
  <c r="L426" i="1"/>
  <c r="P435" i="1" s="1"/>
  <c r="H445" i="1" s="1"/>
  <c r="M452" i="1"/>
  <c r="R429" i="1"/>
  <c r="N439" i="1" s="1"/>
  <c r="AD445" i="1" s="1"/>
  <c r="P455" i="1"/>
  <c r="L395" i="1"/>
  <c r="P405" i="1" s="1"/>
  <c r="AL410" i="1" s="1"/>
  <c r="M421" i="1"/>
  <c r="L431" i="1"/>
  <c r="L439" i="1" s="1"/>
  <c r="AB445" i="1" s="1"/>
  <c r="M457" i="1"/>
  <c r="S429" i="1"/>
  <c r="Q442" i="1" s="1"/>
  <c r="AY445" i="1" s="1"/>
  <c r="Q455" i="1"/>
  <c r="P428" i="1"/>
  <c r="P436" i="1" s="1"/>
  <c r="N445" i="1" s="1"/>
  <c r="R454" i="1"/>
  <c r="L428" i="1"/>
  <c r="M435" i="1" s="1"/>
  <c r="E445" i="1" s="1"/>
  <c r="M454" i="1"/>
  <c r="P426" i="1"/>
  <c r="Q435" i="1" s="1"/>
  <c r="I445" i="1" s="1"/>
  <c r="R452" i="1"/>
  <c r="P430" i="1"/>
  <c r="O439" i="1" s="1"/>
  <c r="AE445" i="1" s="1"/>
  <c r="R456" i="1"/>
  <c r="O431" i="1"/>
  <c r="L441" i="1" s="1"/>
  <c r="AN445" i="1" s="1"/>
  <c r="L457" i="1"/>
  <c r="R428" i="1"/>
  <c r="L437" i="1" s="1"/>
  <c r="P445" i="1" s="1"/>
  <c r="P454" i="1"/>
  <c r="S432" i="1"/>
  <c r="O441" i="1" s="1"/>
  <c r="AQ445" i="1" s="1"/>
  <c r="Q458" i="1"/>
  <c r="S427" i="1"/>
  <c r="L438" i="1" s="1"/>
  <c r="V445" i="1" s="1"/>
  <c r="Q453" i="1"/>
  <c r="O432" i="1"/>
  <c r="M439" i="1" s="1"/>
  <c r="AC445" i="1" s="1"/>
  <c r="L458" i="1"/>
  <c r="Q426" i="1"/>
  <c r="O436" i="1" s="1"/>
  <c r="M445" i="1" s="1"/>
  <c r="S452" i="1"/>
  <c r="O392" i="1"/>
  <c r="N402" i="1" s="1"/>
  <c r="R410" i="1" s="1"/>
  <c r="L418" i="1"/>
  <c r="O396" i="1"/>
  <c r="L406" i="1" s="1"/>
  <c r="AN410" i="1" s="1"/>
  <c r="L422" i="1"/>
  <c r="Q432" i="1"/>
  <c r="S458" i="1"/>
  <c r="R427" i="1"/>
  <c r="N436" i="1" s="1"/>
  <c r="L445" i="1" s="1"/>
  <c r="P453" i="1"/>
  <c r="L430" i="1"/>
  <c r="P440" i="1" s="1"/>
  <c r="AL445" i="1" s="1"/>
  <c r="M456" i="1"/>
  <c r="R430" i="1"/>
  <c r="N441" i="1" s="1"/>
  <c r="AP445" i="1" s="1"/>
  <c r="P456" i="1"/>
  <c r="Q431" i="1"/>
  <c r="L442" i="1" s="1"/>
  <c r="AT445" i="1" s="1"/>
  <c r="S457" i="1"/>
  <c r="R426" i="1"/>
  <c r="M438" i="1" s="1"/>
  <c r="W445" i="1" s="1"/>
  <c r="P452" i="1"/>
  <c r="S430" i="1"/>
  <c r="M440" i="1" s="1"/>
  <c r="AI445" i="1" s="1"/>
  <c r="Q456" i="1"/>
  <c r="P427" i="1"/>
  <c r="P438" i="1" s="1"/>
  <c r="Z445" i="1" s="1"/>
  <c r="R453" i="1"/>
  <c r="L397" i="1"/>
  <c r="M406" i="1" s="1"/>
  <c r="AO410" i="1" s="1"/>
  <c r="M423" i="1"/>
  <c r="O430" i="1"/>
  <c r="O442" i="1" s="1"/>
  <c r="AW445" i="1" s="1"/>
  <c r="L456" i="1"/>
  <c r="P429" i="1"/>
  <c r="P442" i="1" s="1"/>
  <c r="AX445" i="1" s="1"/>
  <c r="R455" i="1"/>
  <c r="R432" i="1"/>
  <c r="Q439" i="1" s="1"/>
  <c r="AG445" i="1" s="1"/>
  <c r="P458" i="1"/>
  <c r="R431" i="1"/>
  <c r="P439" i="1" s="1"/>
  <c r="AF445" i="1" s="1"/>
  <c r="P457" i="1"/>
  <c r="L394" i="1"/>
  <c r="M420" i="1"/>
  <c r="S428" i="1"/>
  <c r="O435" i="1" s="1"/>
  <c r="G445" i="1" s="1"/>
  <c r="Q454" i="1"/>
  <c r="O426" i="1"/>
  <c r="O437" i="1" s="1"/>
  <c r="S445" i="1" s="1"/>
  <c r="L452" i="1"/>
  <c r="L391" i="1"/>
  <c r="P400" i="1" s="1"/>
  <c r="H410" i="1" s="1"/>
  <c r="M417" i="1"/>
  <c r="P431" i="1"/>
  <c r="O440" i="1" s="1"/>
  <c r="AK445" i="1" s="1"/>
  <c r="R457" i="1"/>
  <c r="O427" i="1"/>
  <c r="N437" i="1" s="1"/>
  <c r="R445" i="1" s="1"/>
  <c r="L453" i="1"/>
  <c r="Q427" i="1"/>
  <c r="L435" i="1" s="1"/>
  <c r="D445" i="1" s="1"/>
  <c r="S453" i="1"/>
  <c r="L427" i="1"/>
  <c r="M453" i="1"/>
  <c r="O429" i="1"/>
  <c r="M436" i="1" s="1"/>
  <c r="K445" i="1" s="1"/>
  <c r="L455" i="1"/>
  <c r="L393" i="1"/>
  <c r="M400" i="1" s="1"/>
  <c r="E410" i="1" s="1"/>
  <c r="M419" i="1"/>
  <c r="L432" i="1"/>
  <c r="M441" i="1" s="1"/>
  <c r="AO445" i="1" s="1"/>
  <c r="M458" i="1"/>
  <c r="O391" i="1"/>
  <c r="O402" i="1" s="1"/>
  <c r="S410" i="1" s="1"/>
  <c r="L417" i="1"/>
  <c r="S431" i="1"/>
  <c r="Q440" i="1" s="1"/>
  <c r="AM445" i="1" s="1"/>
  <c r="Q457" i="1"/>
  <c r="Q430" i="1"/>
  <c r="S456" i="1"/>
  <c r="O393" i="1"/>
  <c r="O403" i="1" s="1"/>
  <c r="Y410" i="1" s="1"/>
  <c r="L419" i="1"/>
  <c r="O397" i="1"/>
  <c r="M404" i="1" s="1"/>
  <c r="AC410" i="1" s="1"/>
  <c r="L423" i="1"/>
  <c r="O394" i="1"/>
  <c r="M401" i="1" s="1"/>
  <c r="K410" i="1" s="1"/>
  <c r="L420" i="1"/>
  <c r="N142" i="2" l="1"/>
  <c r="AQ147" i="2" s="1"/>
  <c r="AQ155" i="2" s="1"/>
  <c r="K174" i="2"/>
  <c r="O139" i="2"/>
  <c r="Z147" i="2" s="1"/>
  <c r="Z155" i="2" s="1"/>
  <c r="T174" i="2"/>
  <c r="AC174" i="2"/>
  <c r="J137" i="2"/>
  <c r="I147" i="2" s="1"/>
  <c r="I155" i="2" s="1"/>
  <c r="G174" i="2"/>
  <c r="H174" i="2"/>
  <c r="L143" i="2"/>
  <c r="AU147" i="2" s="1"/>
  <c r="AU155" i="2" s="1"/>
  <c r="AF174" i="2"/>
  <c r="N137" i="2"/>
  <c r="M147" i="2" s="1"/>
  <c r="M155" i="2" s="1"/>
  <c r="L136" i="2"/>
  <c r="E147" i="2" s="1"/>
  <c r="E155" i="2" s="1"/>
  <c r="K137" i="2"/>
  <c r="J147" i="2" s="1"/>
  <c r="J155" i="2" s="1"/>
  <c r="AH174" i="2"/>
  <c r="O174" i="2"/>
  <c r="M141" i="2"/>
  <c r="AJ147" i="2" s="1"/>
  <c r="AJ155" i="2" s="1"/>
  <c r="K142" i="2"/>
  <c r="AN147" i="2" s="1"/>
  <c r="AN155" i="2" s="1"/>
  <c r="E132" i="2"/>
  <c r="M136" i="2" s="1"/>
  <c r="F147" i="2" s="1"/>
  <c r="F155" i="2" s="1"/>
  <c r="O132" i="2"/>
  <c r="P174" i="2" s="1"/>
  <c r="K132" i="2"/>
  <c r="O137" i="2" s="1"/>
  <c r="N147" i="2" s="1"/>
  <c r="N155" i="2" s="1"/>
  <c r="U132" i="2"/>
  <c r="M140" i="2" s="1"/>
  <c r="AD147" i="2" s="1"/>
  <c r="AD155" i="2" s="1"/>
  <c r="AH132" i="2"/>
  <c r="J136" i="2" s="1"/>
  <c r="C147" i="2" s="1"/>
  <c r="C155" i="2" s="1"/>
  <c r="L132" i="2"/>
  <c r="H132" i="2"/>
  <c r="L137" i="2" s="1"/>
  <c r="K147" i="2" s="1"/>
  <c r="K155" i="2" s="1"/>
  <c r="T132" i="2"/>
  <c r="L140" i="2" s="1"/>
  <c r="AC147" i="2" s="1"/>
  <c r="AC155" i="2" s="1"/>
  <c r="J139" i="2"/>
  <c r="U147" i="2" s="1"/>
  <c r="U155" i="2" s="1"/>
  <c r="J143" i="2"/>
  <c r="AS147" i="2" s="1"/>
  <c r="AS155" i="2" s="1"/>
  <c r="J142" i="2"/>
  <c r="AM147" i="2" s="1"/>
  <c r="AM155" i="2" s="1"/>
  <c r="K143" i="2"/>
  <c r="AT147" i="2" s="1"/>
  <c r="AT155" i="2" s="1"/>
  <c r="M138" i="2"/>
  <c r="R147" i="2" s="1"/>
  <c r="R155" i="2" s="1"/>
  <c r="AD174" i="2"/>
  <c r="AA174" i="2"/>
  <c r="M139" i="2"/>
  <c r="X147" i="2" s="1"/>
  <c r="X155" i="2" s="1"/>
  <c r="O141" i="2"/>
  <c r="AL147" i="2" s="1"/>
  <c r="AL155" i="2" s="1"/>
  <c r="W132" i="2"/>
  <c r="K141" i="2" s="1"/>
  <c r="AH147" i="2" s="1"/>
  <c r="AH155" i="2" s="1"/>
  <c r="V132" i="2"/>
  <c r="W174" i="2" s="1"/>
  <c r="R132" i="2"/>
  <c r="J140" i="2" s="1"/>
  <c r="AA147" i="2" s="1"/>
  <c r="AA155" i="2" s="1"/>
  <c r="J174" i="2"/>
  <c r="J592" i="2"/>
  <c r="J242" i="6"/>
  <c r="R592" i="2"/>
  <c r="R242" i="6"/>
  <c r="Y592" i="2"/>
  <c r="Y242" i="6"/>
  <c r="AO592" i="2"/>
  <c r="AO242" i="6"/>
  <c r="K592" i="2"/>
  <c r="K242" i="6"/>
  <c r="AP592" i="2"/>
  <c r="AP242" i="6"/>
  <c r="AM592" i="2"/>
  <c r="AM242" i="6"/>
  <c r="H592" i="2"/>
  <c r="H242" i="6"/>
  <c r="M592" i="2"/>
  <c r="M242" i="6"/>
  <c r="AA592" i="2"/>
  <c r="AA242" i="6"/>
  <c r="AC592" i="2"/>
  <c r="AC242" i="6"/>
  <c r="T592" i="2"/>
  <c r="T242" i="6"/>
  <c r="AR592" i="2"/>
  <c r="AR242" i="6"/>
  <c r="AV543" i="2"/>
  <c r="AV291" i="6"/>
  <c r="X592" i="2"/>
  <c r="X242" i="6"/>
  <c r="J543" i="2"/>
  <c r="J291" i="6"/>
  <c r="X543" i="2"/>
  <c r="X291" i="6"/>
  <c r="Q543" i="2"/>
  <c r="Q291" i="6"/>
  <c r="AB592" i="2"/>
  <c r="AB242" i="6"/>
  <c r="AN592" i="2"/>
  <c r="AN242" i="6"/>
  <c r="AJ592" i="2"/>
  <c r="AJ242" i="6"/>
  <c r="AV592" i="2"/>
  <c r="AV242" i="6"/>
  <c r="R543" i="2"/>
  <c r="R291" i="6"/>
  <c r="Q592" i="2"/>
  <c r="Q242" i="6"/>
  <c r="F592" i="2"/>
  <c r="F242" i="6"/>
  <c r="AE592" i="2"/>
  <c r="AE242" i="6"/>
  <c r="AW592" i="2"/>
  <c r="AW242" i="6"/>
  <c r="AN543" i="2"/>
  <c r="AN291" i="6"/>
  <c r="AH592" i="2"/>
  <c r="AH242" i="6"/>
  <c r="AS592" i="2"/>
  <c r="AS242" i="6"/>
  <c r="AK592" i="2"/>
  <c r="AK242" i="6"/>
  <c r="O592" i="2"/>
  <c r="O242" i="6"/>
  <c r="AD592" i="2"/>
  <c r="AD242" i="6"/>
  <c r="D592" i="2"/>
  <c r="D242" i="6"/>
  <c r="AX592" i="2"/>
  <c r="AX242" i="6"/>
  <c r="AK543" i="2"/>
  <c r="AK291" i="6"/>
  <c r="G592" i="2"/>
  <c r="G242" i="6"/>
  <c r="AG592" i="2"/>
  <c r="AG242" i="6"/>
  <c r="AA543" i="2"/>
  <c r="AA291" i="6"/>
  <c r="AL592" i="2"/>
  <c r="AL242" i="6"/>
  <c r="C592" i="2"/>
  <c r="C242" i="6"/>
  <c r="AF592" i="2"/>
  <c r="AF242" i="6"/>
  <c r="V592" i="2"/>
  <c r="V242" i="6"/>
  <c r="D543" i="2"/>
  <c r="D291" i="6"/>
  <c r="G543" i="2"/>
  <c r="G291" i="6"/>
  <c r="AB543" i="2"/>
  <c r="AB291" i="6"/>
  <c r="AM543" i="2"/>
  <c r="AM291" i="6"/>
  <c r="L592" i="2"/>
  <c r="L242" i="6"/>
  <c r="U592" i="2"/>
  <c r="U242" i="6"/>
  <c r="N428" i="1"/>
  <c r="M437" i="1" s="1"/>
  <c r="Q445" i="1" s="1"/>
  <c r="K454" i="1"/>
  <c r="N426" i="1"/>
  <c r="L436" i="1" s="1"/>
  <c r="J445" i="1" s="1"/>
  <c r="K452" i="1"/>
  <c r="R464" i="1"/>
  <c r="N474" i="1" s="1"/>
  <c r="AD480" i="1" s="1"/>
  <c r="P490" i="1"/>
  <c r="N432" i="1"/>
  <c r="N440" i="1" s="1"/>
  <c r="AJ445" i="1" s="1"/>
  <c r="K458" i="1"/>
  <c r="S466" i="1"/>
  <c r="Q475" i="1" s="1"/>
  <c r="AM480" i="1" s="1"/>
  <c r="Q492" i="1"/>
  <c r="N465" i="1"/>
  <c r="K491" i="1"/>
  <c r="S467" i="1"/>
  <c r="O476" i="1" s="1"/>
  <c r="AQ480" i="1" s="1"/>
  <c r="Q493" i="1"/>
  <c r="P463" i="1"/>
  <c r="P471" i="1" s="1"/>
  <c r="N480" i="1" s="1"/>
  <c r="R489" i="1"/>
  <c r="R465" i="1"/>
  <c r="N476" i="1" s="1"/>
  <c r="AP480" i="1" s="1"/>
  <c r="P491" i="1"/>
  <c r="N463" i="1"/>
  <c r="M472" i="1" s="1"/>
  <c r="Q480" i="1" s="1"/>
  <c r="K489" i="1"/>
  <c r="Q464" i="1"/>
  <c r="L475" i="1" s="1"/>
  <c r="AH480" i="1" s="1"/>
  <c r="S490" i="1"/>
  <c r="N430" i="1"/>
  <c r="K456" i="1"/>
  <c r="N461" i="1"/>
  <c r="L471" i="1" s="1"/>
  <c r="J480" i="1" s="1"/>
  <c r="K487" i="1"/>
  <c r="N464" i="1"/>
  <c r="N473" i="1" s="1"/>
  <c r="X480" i="1" s="1"/>
  <c r="K490" i="1"/>
  <c r="S464" i="1"/>
  <c r="Q477" i="1" s="1"/>
  <c r="AY480" i="1" s="1"/>
  <c r="Q490" i="1"/>
  <c r="N431" i="1"/>
  <c r="K457" i="1"/>
  <c r="S463" i="1"/>
  <c r="O470" i="1" s="1"/>
  <c r="G480" i="1" s="1"/>
  <c r="Q489" i="1"/>
  <c r="N462" i="1"/>
  <c r="N470" i="1" s="1"/>
  <c r="F480" i="1" s="1"/>
  <c r="K488" i="1"/>
  <c r="P466" i="1"/>
  <c r="O475" i="1" s="1"/>
  <c r="AK480" i="1" s="1"/>
  <c r="R492" i="1"/>
  <c r="M432" i="1"/>
  <c r="N442" i="1" s="1"/>
  <c r="AV445" i="1" s="1"/>
  <c r="N458" i="1"/>
  <c r="S465" i="1"/>
  <c r="M475" i="1" s="1"/>
  <c r="AI480" i="1" s="1"/>
  <c r="Q491" i="1"/>
  <c r="M431" i="1"/>
  <c r="M442" i="1" s="1"/>
  <c r="AU445" i="1" s="1"/>
  <c r="N457" i="1"/>
  <c r="S461" i="1"/>
  <c r="Q472" i="1" s="1"/>
  <c r="U480" i="1" s="1"/>
  <c r="Q487" i="1"/>
  <c r="Q462" i="1"/>
  <c r="L470" i="1" s="1"/>
  <c r="D480" i="1" s="1"/>
  <c r="S488" i="1"/>
  <c r="M426" i="1"/>
  <c r="Q438" i="1" s="1"/>
  <c r="AA445" i="1" s="1"/>
  <c r="N452" i="1"/>
  <c r="M462" i="1"/>
  <c r="Q471" i="1" s="1"/>
  <c r="O480" i="1" s="1"/>
  <c r="N488" i="1"/>
  <c r="Q463" i="1"/>
  <c r="S489" i="1"/>
  <c r="Q465" i="1"/>
  <c r="S491" i="1"/>
  <c r="Q466" i="1"/>
  <c r="L477" i="1" s="1"/>
  <c r="AT480" i="1" s="1"/>
  <c r="S492" i="1"/>
  <c r="N467" i="1"/>
  <c r="N475" i="1" s="1"/>
  <c r="AJ480" i="1" s="1"/>
  <c r="K493" i="1"/>
  <c r="M464" i="1"/>
  <c r="P472" i="1" s="1"/>
  <c r="T480" i="1" s="1"/>
  <c r="N490" i="1"/>
  <c r="S462" i="1"/>
  <c r="L473" i="1" s="1"/>
  <c r="V480" i="1" s="1"/>
  <c r="Q488" i="1"/>
  <c r="R466" i="1"/>
  <c r="P474" i="1" s="1"/>
  <c r="AF480" i="1" s="1"/>
  <c r="P492" i="1"/>
  <c r="M461" i="1"/>
  <c r="Q473" i="1" s="1"/>
  <c r="AA480" i="1" s="1"/>
  <c r="N487" i="1"/>
  <c r="N429" i="1"/>
  <c r="N438" i="1" s="1"/>
  <c r="X445" i="1" s="1"/>
  <c r="K455" i="1"/>
  <c r="P467" i="1"/>
  <c r="Q476" i="1" s="1"/>
  <c r="AS480" i="1" s="1"/>
  <c r="R493" i="1"/>
  <c r="M465" i="1"/>
  <c r="P476" i="1" s="1"/>
  <c r="AR480" i="1" s="1"/>
  <c r="N491" i="1"/>
  <c r="R462" i="1"/>
  <c r="N471" i="1" s="1"/>
  <c r="L480" i="1" s="1"/>
  <c r="P488" i="1"/>
  <c r="P461" i="1"/>
  <c r="Q470" i="1" s="1"/>
  <c r="I480" i="1" s="1"/>
  <c r="R487" i="1"/>
  <c r="P465" i="1"/>
  <c r="O474" i="1" s="1"/>
  <c r="AE480" i="1" s="1"/>
  <c r="R491" i="1"/>
  <c r="P462" i="1"/>
  <c r="P473" i="1" s="1"/>
  <c r="Z480" i="1" s="1"/>
  <c r="R488" i="1"/>
  <c r="Q467" i="1"/>
  <c r="S493" i="1"/>
  <c r="M466" i="1"/>
  <c r="M477" i="1" s="1"/>
  <c r="AU480" i="1" s="1"/>
  <c r="N492" i="1"/>
  <c r="R461" i="1"/>
  <c r="M473" i="1" s="1"/>
  <c r="W480" i="1" s="1"/>
  <c r="P487" i="1"/>
  <c r="R463" i="1"/>
  <c r="L472" i="1" s="1"/>
  <c r="P480" i="1" s="1"/>
  <c r="P489" i="1"/>
  <c r="N466" i="1"/>
  <c r="K492" i="1"/>
  <c r="P464" i="1"/>
  <c r="P477" i="1" s="1"/>
  <c r="AX480" i="1" s="1"/>
  <c r="R490" i="1"/>
  <c r="N427" i="1"/>
  <c r="N435" i="1" s="1"/>
  <c r="F445" i="1" s="1"/>
  <c r="K453" i="1"/>
  <c r="Q461" i="1"/>
  <c r="O471" i="1" s="1"/>
  <c r="M480" i="1" s="1"/>
  <c r="S487" i="1"/>
  <c r="R467" i="1"/>
  <c r="Q474" i="1" s="1"/>
  <c r="AG480" i="1" s="1"/>
  <c r="P493" i="1"/>
  <c r="M430" i="1"/>
  <c r="P441" i="1" s="1"/>
  <c r="AR445" i="1" s="1"/>
  <c r="N456" i="1"/>
  <c r="M463" i="1"/>
  <c r="N489" i="1"/>
  <c r="M429" i="1"/>
  <c r="P437" i="1" s="1"/>
  <c r="T445" i="1" s="1"/>
  <c r="N455" i="1"/>
  <c r="M428" i="1"/>
  <c r="N454" i="1"/>
  <c r="M427" i="1"/>
  <c r="Q436" i="1" s="1"/>
  <c r="O445" i="1" s="1"/>
  <c r="N453" i="1"/>
  <c r="M467" i="1"/>
  <c r="N477" i="1" s="1"/>
  <c r="AV480" i="1" s="1"/>
  <c r="N493" i="1"/>
  <c r="X174" i="2" l="1"/>
  <c r="F174" i="2"/>
  <c r="AI174" i="2"/>
  <c r="K139" i="2"/>
  <c r="V147" i="2" s="1"/>
  <c r="V155" i="2" s="1"/>
  <c r="N143" i="2"/>
  <c r="AW147" i="2" s="1"/>
  <c r="AW155" i="2" s="1"/>
  <c r="AS157" i="2" s="1"/>
  <c r="AM157" i="2"/>
  <c r="K138" i="2"/>
  <c r="P147" i="2" s="1"/>
  <c r="P155" i="2" s="1"/>
  <c r="J141" i="2"/>
  <c r="AG147" i="2" s="1"/>
  <c r="AG155" i="2" s="1"/>
  <c r="O138" i="2"/>
  <c r="T147" i="2" s="1"/>
  <c r="T155" i="2" s="1"/>
  <c r="AM158" i="2"/>
  <c r="I157" i="2"/>
  <c r="I158" i="2"/>
  <c r="AS158" i="2"/>
  <c r="U158" i="2"/>
  <c r="C158" i="2"/>
  <c r="C157" i="2"/>
  <c r="N140" i="2"/>
  <c r="AE147" i="2" s="1"/>
  <c r="AE155" i="2" s="1"/>
  <c r="L174" i="2"/>
  <c r="M174" i="2"/>
  <c r="L138" i="2"/>
  <c r="Q147" i="2" s="1"/>
  <c r="Q155" i="2" s="1"/>
  <c r="I174" i="2"/>
  <c r="V174" i="2"/>
  <c r="U174" i="2"/>
  <c r="AG157" i="2"/>
  <c r="O140" i="2"/>
  <c r="AF147" i="2" s="1"/>
  <c r="AF155" i="2" s="1"/>
  <c r="N139" i="2"/>
  <c r="Y147" i="2" s="1"/>
  <c r="Y155" i="2" s="1"/>
  <c r="S174" i="2"/>
  <c r="AQ592" i="2"/>
  <c r="AQ242" i="6"/>
  <c r="O641" i="2"/>
  <c r="O193" i="6"/>
  <c r="Y641" i="2"/>
  <c r="Y193" i="6"/>
  <c r="AQ641" i="2"/>
  <c r="AQ193" i="6"/>
  <c r="S641" i="2"/>
  <c r="S193" i="6"/>
  <c r="T641" i="2"/>
  <c r="T193" i="6"/>
  <c r="AJ641" i="2"/>
  <c r="AJ193" i="6"/>
  <c r="F641" i="2"/>
  <c r="F193" i="6"/>
  <c r="AX641" i="2"/>
  <c r="AX193" i="6"/>
  <c r="I641" i="2"/>
  <c r="I193" i="6"/>
  <c r="AG641" i="2"/>
  <c r="AG193" i="6"/>
  <c r="AO641" i="2"/>
  <c r="AO193" i="6"/>
  <c r="AP641" i="2"/>
  <c r="AP193" i="6"/>
  <c r="AL641" i="2"/>
  <c r="AL193" i="6"/>
  <c r="AC641" i="2"/>
  <c r="AC193" i="6"/>
  <c r="P592" i="2"/>
  <c r="P242" i="6"/>
  <c r="AU641" i="2"/>
  <c r="AU193" i="6"/>
  <c r="AF641" i="2"/>
  <c r="AF193" i="6"/>
  <c r="E592" i="2"/>
  <c r="E242" i="6"/>
  <c r="V641" i="2"/>
  <c r="V193" i="6"/>
  <c r="AD641" i="2"/>
  <c r="AD193" i="6"/>
  <c r="K641" i="2"/>
  <c r="K193" i="6"/>
  <c r="AR641" i="2"/>
  <c r="AR193" i="6"/>
  <c r="Z641" i="2"/>
  <c r="Z193" i="6"/>
  <c r="U641" i="2"/>
  <c r="U193" i="6"/>
  <c r="AI641" i="2"/>
  <c r="AI193" i="6"/>
  <c r="N641" i="2"/>
  <c r="N193" i="6"/>
  <c r="C641" i="2"/>
  <c r="C193" i="6"/>
  <c r="AT592" i="2"/>
  <c r="AT242" i="6"/>
  <c r="AU592" i="2"/>
  <c r="AU242" i="6"/>
  <c r="E641" i="2"/>
  <c r="E193" i="6"/>
  <c r="W641" i="2"/>
  <c r="W193" i="6"/>
  <c r="P641" i="2"/>
  <c r="P193" i="6"/>
  <c r="M641" i="2"/>
  <c r="M193" i="6"/>
  <c r="AI592" i="2"/>
  <c r="AI242" i="6"/>
  <c r="I592" i="2"/>
  <c r="I242" i="6"/>
  <c r="N592" i="2"/>
  <c r="N242" i="6"/>
  <c r="S592" i="2"/>
  <c r="S242" i="6"/>
  <c r="L641" i="2"/>
  <c r="L193" i="6"/>
  <c r="AW641" i="2"/>
  <c r="AW193" i="6"/>
  <c r="AT641" i="2"/>
  <c r="AT193" i="6"/>
  <c r="H641" i="2"/>
  <c r="H193" i="6"/>
  <c r="W592" i="2"/>
  <c r="W242" i="6"/>
  <c r="AE641" i="2"/>
  <c r="AE193" i="6"/>
  <c r="AS641" i="2"/>
  <c r="AS193" i="6"/>
  <c r="Z592" i="2"/>
  <c r="Z242" i="6"/>
  <c r="AH641" i="2"/>
  <c r="AH193" i="6"/>
  <c r="O498" i="1"/>
  <c r="O508" i="1" s="1"/>
  <c r="Y515" i="1" s="1"/>
  <c r="L524" i="1"/>
  <c r="R500" i="1"/>
  <c r="N511" i="1" s="1"/>
  <c r="AP515" i="1" s="1"/>
  <c r="P526" i="1"/>
  <c r="Q497" i="1"/>
  <c r="L505" i="1" s="1"/>
  <c r="D515" i="1" s="1"/>
  <c r="S523" i="1"/>
  <c r="S497" i="1"/>
  <c r="L508" i="1" s="1"/>
  <c r="V515" i="1" s="1"/>
  <c r="Q523" i="1"/>
  <c r="L497" i="1"/>
  <c r="M523" i="1"/>
  <c r="P502" i="1"/>
  <c r="Q511" i="1" s="1"/>
  <c r="AS515" i="1" s="1"/>
  <c r="R528" i="1"/>
  <c r="P496" i="1"/>
  <c r="Q505" i="1" s="1"/>
  <c r="I515" i="1" s="1"/>
  <c r="R522" i="1"/>
  <c r="P497" i="1"/>
  <c r="P508" i="1" s="1"/>
  <c r="Z515" i="1" s="1"/>
  <c r="R523" i="1"/>
  <c r="O496" i="1"/>
  <c r="O507" i="1" s="1"/>
  <c r="S515" i="1" s="1"/>
  <c r="L522" i="1"/>
  <c r="L502" i="1"/>
  <c r="M511" i="1" s="1"/>
  <c r="AO515" i="1" s="1"/>
  <c r="M528" i="1"/>
  <c r="O497" i="1"/>
  <c r="N507" i="1" s="1"/>
  <c r="R515" i="1" s="1"/>
  <c r="L523" i="1"/>
  <c r="O466" i="1"/>
  <c r="L476" i="1" s="1"/>
  <c r="AN480" i="1" s="1"/>
  <c r="L492" i="1"/>
  <c r="O467" i="1"/>
  <c r="M474" i="1" s="1"/>
  <c r="AC480" i="1" s="1"/>
  <c r="L493" i="1"/>
  <c r="L466" i="1"/>
  <c r="L474" i="1" s="1"/>
  <c r="AB480" i="1" s="1"/>
  <c r="M492" i="1"/>
  <c r="L499" i="1"/>
  <c r="M525" i="1"/>
  <c r="L465" i="1"/>
  <c r="P475" i="1" s="1"/>
  <c r="AL480" i="1" s="1"/>
  <c r="M491" i="1"/>
  <c r="L498" i="1"/>
  <c r="M505" i="1" s="1"/>
  <c r="E515" i="1" s="1"/>
  <c r="M524" i="1"/>
  <c r="R498" i="1"/>
  <c r="L507" i="1" s="1"/>
  <c r="P515" i="1" s="1"/>
  <c r="P524" i="1"/>
  <c r="L500" i="1"/>
  <c r="P510" i="1" s="1"/>
  <c r="AL515" i="1" s="1"/>
  <c r="M526" i="1"/>
  <c r="L467" i="1"/>
  <c r="M476" i="1" s="1"/>
  <c r="AO480" i="1" s="1"/>
  <c r="M493" i="1"/>
  <c r="L461" i="1"/>
  <c r="P470" i="1" s="1"/>
  <c r="H480" i="1" s="1"/>
  <c r="M487" i="1"/>
  <c r="O502" i="1"/>
  <c r="M509" i="1" s="1"/>
  <c r="AC515" i="1" s="1"/>
  <c r="L528" i="1"/>
  <c r="L501" i="1"/>
  <c r="L509" i="1" s="1"/>
  <c r="AB515" i="1" s="1"/>
  <c r="M527" i="1"/>
  <c r="O462" i="1"/>
  <c r="N472" i="1" s="1"/>
  <c r="R480" i="1" s="1"/>
  <c r="L488" i="1"/>
  <c r="O464" i="1"/>
  <c r="M471" i="1" s="1"/>
  <c r="K480" i="1" s="1"/>
  <c r="L490" i="1"/>
  <c r="O465" i="1"/>
  <c r="O477" i="1" s="1"/>
  <c r="AW480" i="1" s="1"/>
  <c r="L491" i="1"/>
  <c r="S496" i="1"/>
  <c r="Q507" i="1" s="1"/>
  <c r="U515" i="1" s="1"/>
  <c r="Q522" i="1"/>
  <c r="R499" i="1"/>
  <c r="N509" i="1" s="1"/>
  <c r="AD515" i="1" s="1"/>
  <c r="P525" i="1"/>
  <c r="P498" i="1"/>
  <c r="P506" i="1" s="1"/>
  <c r="N515" i="1" s="1"/>
  <c r="R524" i="1"/>
  <c r="O501" i="1"/>
  <c r="L511" i="1" s="1"/>
  <c r="AN515" i="1" s="1"/>
  <c r="L527" i="1"/>
  <c r="R497" i="1"/>
  <c r="N506" i="1" s="1"/>
  <c r="L515" i="1" s="1"/>
  <c r="P523" i="1"/>
  <c r="R496" i="1"/>
  <c r="M508" i="1" s="1"/>
  <c r="W515" i="1" s="1"/>
  <c r="P522" i="1"/>
  <c r="O500" i="1"/>
  <c r="O512" i="1" s="1"/>
  <c r="AW515" i="1" s="1"/>
  <c r="L526" i="1"/>
  <c r="L464" i="1"/>
  <c r="M490" i="1"/>
  <c r="P501" i="1"/>
  <c r="O510" i="1" s="1"/>
  <c r="AK515" i="1" s="1"/>
  <c r="R527" i="1"/>
  <c r="O499" i="1"/>
  <c r="M506" i="1" s="1"/>
  <c r="K515" i="1" s="1"/>
  <c r="L525" i="1"/>
  <c r="S501" i="1"/>
  <c r="Q510" i="1" s="1"/>
  <c r="AM515" i="1" s="1"/>
  <c r="Q527" i="1"/>
  <c r="S498" i="1"/>
  <c r="O505" i="1" s="1"/>
  <c r="G515" i="1" s="1"/>
  <c r="Q524" i="1"/>
  <c r="O461" i="1"/>
  <c r="O472" i="1" s="1"/>
  <c r="S480" i="1" s="1"/>
  <c r="L487" i="1"/>
  <c r="Q496" i="1"/>
  <c r="O506" i="1" s="1"/>
  <c r="M515" i="1" s="1"/>
  <c r="S522" i="1"/>
  <c r="Q500" i="1"/>
  <c r="S526" i="1"/>
  <c r="R501" i="1"/>
  <c r="P509" i="1" s="1"/>
  <c r="AF515" i="1" s="1"/>
  <c r="P527" i="1"/>
  <c r="O463" i="1"/>
  <c r="O473" i="1" s="1"/>
  <c r="Y480" i="1" s="1"/>
  <c r="L489" i="1"/>
  <c r="L462" i="1"/>
  <c r="M488" i="1"/>
  <c r="S502" i="1"/>
  <c r="O511" i="1" s="1"/>
  <c r="AQ515" i="1" s="1"/>
  <c r="Q528" i="1"/>
  <c r="R502" i="1"/>
  <c r="Q509" i="1" s="1"/>
  <c r="AG515" i="1" s="1"/>
  <c r="P528" i="1"/>
  <c r="S500" i="1"/>
  <c r="M510" i="1" s="1"/>
  <c r="AI515" i="1" s="1"/>
  <c r="Q526" i="1"/>
  <c r="Q498" i="1"/>
  <c r="S524" i="1"/>
  <c r="Q499" i="1"/>
  <c r="L510" i="1" s="1"/>
  <c r="AH515" i="1" s="1"/>
  <c r="S525" i="1"/>
  <c r="L496" i="1"/>
  <c r="P505" i="1" s="1"/>
  <c r="H515" i="1" s="1"/>
  <c r="M522" i="1"/>
  <c r="S499" i="1"/>
  <c r="Q512" i="1" s="1"/>
  <c r="AY515" i="1" s="1"/>
  <c r="Q525" i="1"/>
  <c r="P500" i="1"/>
  <c r="O509" i="1" s="1"/>
  <c r="AE515" i="1" s="1"/>
  <c r="R526" i="1"/>
  <c r="Q502" i="1"/>
  <c r="S528" i="1"/>
  <c r="Q501" i="1"/>
  <c r="L512" i="1" s="1"/>
  <c r="AT515" i="1" s="1"/>
  <c r="S527" i="1"/>
  <c r="P499" i="1"/>
  <c r="P512" i="1" s="1"/>
  <c r="AX515" i="1" s="1"/>
  <c r="R525" i="1"/>
  <c r="L463" i="1"/>
  <c r="M470" i="1" s="1"/>
  <c r="E480" i="1" s="1"/>
  <c r="M489" i="1"/>
  <c r="AM160" i="2" l="1"/>
  <c r="AO162" i="2" s="1"/>
  <c r="AO163" i="2" s="1"/>
  <c r="AC165" i="2" s="1"/>
  <c r="AF168" i="2" s="1"/>
  <c r="AG177" i="2" s="1"/>
  <c r="I160" i="2"/>
  <c r="K162" i="2" s="1"/>
  <c r="K163" i="2" s="1"/>
  <c r="I165" i="2" s="1"/>
  <c r="AD168" i="2" s="1"/>
  <c r="AE177" i="2" s="1"/>
  <c r="C160" i="2"/>
  <c r="F162" i="2" s="1"/>
  <c r="F163" i="2" s="1"/>
  <c r="F165" i="2" s="1"/>
  <c r="W168" i="2" s="1"/>
  <c r="X177" i="2" s="1"/>
  <c r="AG158" i="2"/>
  <c r="AG160" i="2" s="1"/>
  <c r="AG162" i="2" s="1"/>
  <c r="AG163" i="2" s="1"/>
  <c r="W165" i="2" s="1"/>
  <c r="AH168" i="2" s="1"/>
  <c r="AI177" i="2" s="1"/>
  <c r="O158" i="2"/>
  <c r="O157" i="2"/>
  <c r="AA157" i="2"/>
  <c r="AS160" i="2"/>
  <c r="AS162" i="2" s="1"/>
  <c r="U157" i="2"/>
  <c r="U160" i="2" s="1"/>
  <c r="X162" i="2" s="1"/>
  <c r="AA158" i="2"/>
  <c r="AA160" i="2" s="1"/>
  <c r="AB162" i="2" s="1"/>
  <c r="D641" i="2"/>
  <c r="D193" i="6"/>
  <c r="AS690" i="2"/>
  <c r="AS144" i="6"/>
  <c r="AD690" i="2"/>
  <c r="AD144" i="6"/>
  <c r="G690" i="2"/>
  <c r="G144" i="6"/>
  <c r="AF690" i="2"/>
  <c r="AF144" i="6"/>
  <c r="AE690" i="2"/>
  <c r="AE144" i="6"/>
  <c r="L690" i="2"/>
  <c r="L144" i="6"/>
  <c r="F690" i="2"/>
  <c r="F144" i="6"/>
  <c r="J690" i="2"/>
  <c r="J144" i="6"/>
  <c r="V690" i="2"/>
  <c r="V144" i="6"/>
  <c r="AM690" i="2"/>
  <c r="AM144" i="6"/>
  <c r="AC690" i="2"/>
  <c r="AC144" i="6"/>
  <c r="AV641" i="2"/>
  <c r="AV193" i="6"/>
  <c r="Q641" i="2"/>
  <c r="Q193" i="6"/>
  <c r="AB690" i="2"/>
  <c r="AB144" i="6"/>
  <c r="AN641" i="2"/>
  <c r="AN193" i="6"/>
  <c r="O690" i="2"/>
  <c r="O144" i="6"/>
  <c r="AK641" i="2"/>
  <c r="AK193" i="6"/>
  <c r="AA641" i="2"/>
  <c r="AA193" i="6"/>
  <c r="AM641" i="2"/>
  <c r="AM193" i="6"/>
  <c r="AN690" i="2"/>
  <c r="AN144" i="6"/>
  <c r="Y690" i="2"/>
  <c r="Y144" i="6"/>
  <c r="AR690" i="2"/>
  <c r="AR144" i="6"/>
  <c r="U690" i="2"/>
  <c r="U144" i="6"/>
  <c r="AO690" i="2"/>
  <c r="AO144" i="6"/>
  <c r="AW690" i="2"/>
  <c r="AW144" i="6"/>
  <c r="AX690" i="2"/>
  <c r="AX144" i="6"/>
  <c r="AG690" i="2"/>
  <c r="AG144" i="6"/>
  <c r="AH690" i="2"/>
  <c r="AH144" i="6"/>
  <c r="AP690" i="2"/>
  <c r="AP144" i="6"/>
  <c r="X641" i="2"/>
  <c r="X193" i="6"/>
  <c r="R641" i="2"/>
  <c r="R193" i="6"/>
  <c r="AL690" i="2"/>
  <c r="AL144" i="6"/>
  <c r="AJ690" i="2"/>
  <c r="AJ144" i="6"/>
  <c r="AV690" i="2"/>
  <c r="AV144" i="6"/>
  <c r="K690" i="2"/>
  <c r="K144" i="6"/>
  <c r="M690" i="2"/>
  <c r="M144" i="6"/>
  <c r="T690" i="2"/>
  <c r="T144" i="6"/>
  <c r="J641" i="2"/>
  <c r="J193" i="6"/>
  <c r="AA690" i="2"/>
  <c r="AA144" i="6"/>
  <c r="G641" i="2"/>
  <c r="G193" i="6"/>
  <c r="AK690" i="2"/>
  <c r="AK144" i="6"/>
  <c r="D690" i="2"/>
  <c r="D144" i="6"/>
  <c r="AB641" i="2"/>
  <c r="AB193" i="6"/>
  <c r="Q690" i="2"/>
  <c r="Q144" i="6"/>
  <c r="R690" i="2"/>
  <c r="R144" i="6"/>
  <c r="H690" i="2"/>
  <c r="H144" i="6"/>
  <c r="C690" i="2"/>
  <c r="C144" i="6"/>
  <c r="X690" i="2"/>
  <c r="X144" i="6"/>
  <c r="R535" i="1"/>
  <c r="N546" i="1" s="1"/>
  <c r="AP550" i="1" s="1"/>
  <c r="Q561" i="1"/>
  <c r="Q570" i="1" s="1"/>
  <c r="N502" i="1"/>
  <c r="N510" i="1" s="1"/>
  <c r="AJ515" i="1" s="1"/>
  <c r="K528" i="1"/>
  <c r="M501" i="1"/>
  <c r="M512" i="1" s="1"/>
  <c r="AU515" i="1" s="1"/>
  <c r="N527" i="1"/>
  <c r="Q532" i="1"/>
  <c r="L540" i="1" s="1"/>
  <c r="D550" i="1" s="1"/>
  <c r="P558" i="1"/>
  <c r="P567" i="1" s="1"/>
  <c r="P578" i="1" s="1"/>
  <c r="Z585" i="1" s="1"/>
  <c r="S536" i="1"/>
  <c r="Q545" i="1" s="1"/>
  <c r="AM550" i="1" s="1"/>
  <c r="R562" i="1"/>
  <c r="R571" i="1" s="1"/>
  <c r="P579" i="1" s="1"/>
  <c r="AF585" i="1" s="1"/>
  <c r="N531" i="1"/>
  <c r="L541" i="1" s="1"/>
  <c r="J550" i="1" s="1"/>
  <c r="L557" i="1"/>
  <c r="M566" i="1" s="1"/>
  <c r="Q578" i="1" s="1"/>
  <c r="AA585" i="1" s="1"/>
  <c r="S533" i="1"/>
  <c r="O540" i="1" s="1"/>
  <c r="G550" i="1" s="1"/>
  <c r="R559" i="1"/>
  <c r="R568" i="1" s="1"/>
  <c r="L577" i="1" s="1"/>
  <c r="P585" i="1" s="1"/>
  <c r="P536" i="1"/>
  <c r="O545" i="1" s="1"/>
  <c r="AK550" i="1" s="1"/>
  <c r="S562" i="1"/>
  <c r="S571" i="1" s="1"/>
  <c r="Q580" i="1" s="1"/>
  <c r="AM585" i="1" s="1"/>
  <c r="S531" i="1"/>
  <c r="Q542" i="1" s="1"/>
  <c r="U550" i="1" s="1"/>
  <c r="R557" i="1"/>
  <c r="R566" i="1" s="1"/>
  <c r="M578" i="1" s="1"/>
  <c r="W585" i="1" s="1"/>
  <c r="M534" i="1"/>
  <c r="P542" i="1" s="1"/>
  <c r="T550" i="1" s="1"/>
  <c r="K560" i="1"/>
  <c r="L569" i="1" s="1"/>
  <c r="N499" i="1"/>
  <c r="N508" i="1" s="1"/>
  <c r="X515" i="1" s="1"/>
  <c r="K525" i="1"/>
  <c r="P531" i="1"/>
  <c r="Q540" i="1" s="1"/>
  <c r="I550" i="1" s="1"/>
  <c r="S557" i="1"/>
  <c r="S566" i="1" s="1"/>
  <c r="Q577" i="1" s="1"/>
  <c r="U585" i="1" s="1"/>
  <c r="M536" i="1"/>
  <c r="M547" i="1" s="1"/>
  <c r="AU550" i="1" s="1"/>
  <c r="K562" i="1"/>
  <c r="L571" i="1" s="1"/>
  <c r="L579" i="1" s="1"/>
  <c r="AB585" i="1" s="1"/>
  <c r="P534" i="1"/>
  <c r="P547" i="1" s="1"/>
  <c r="AX550" i="1" s="1"/>
  <c r="S560" i="1"/>
  <c r="S569" i="1" s="1"/>
  <c r="Q582" i="1" s="1"/>
  <c r="AY585" i="1" s="1"/>
  <c r="M500" i="1"/>
  <c r="P511" i="1" s="1"/>
  <c r="AR515" i="1" s="1"/>
  <c r="N526" i="1"/>
  <c r="M497" i="1"/>
  <c r="Q506" i="1" s="1"/>
  <c r="O515" i="1" s="1"/>
  <c r="N523" i="1"/>
  <c r="M537" i="1"/>
  <c r="N547" i="1" s="1"/>
  <c r="AV550" i="1" s="1"/>
  <c r="K563" i="1"/>
  <c r="L572" i="1" s="1"/>
  <c r="M581" i="1" s="1"/>
  <c r="AO585" i="1" s="1"/>
  <c r="P533" i="1"/>
  <c r="P541" i="1" s="1"/>
  <c r="N550" i="1" s="1"/>
  <c r="S559" i="1"/>
  <c r="S568" i="1" s="1"/>
  <c r="O575" i="1" s="1"/>
  <c r="G585" i="1" s="1"/>
  <c r="N500" i="1"/>
  <c r="K526" i="1"/>
  <c r="N501" i="1"/>
  <c r="K527" i="1"/>
  <c r="N537" i="1"/>
  <c r="N545" i="1" s="1"/>
  <c r="AJ550" i="1" s="1"/>
  <c r="L563" i="1"/>
  <c r="M572" i="1" s="1"/>
  <c r="N582" i="1" s="1"/>
  <c r="AV585" i="1" s="1"/>
  <c r="R532" i="1"/>
  <c r="N541" i="1" s="1"/>
  <c r="L550" i="1" s="1"/>
  <c r="Q558" i="1"/>
  <c r="Q567" i="1" s="1"/>
  <c r="L575" i="1" s="1"/>
  <c r="D585" i="1" s="1"/>
  <c r="R537" i="1"/>
  <c r="Q544" i="1" s="1"/>
  <c r="AG550" i="1" s="1"/>
  <c r="Q563" i="1"/>
  <c r="Q572" i="1" s="1"/>
  <c r="P535" i="1"/>
  <c r="O544" i="1" s="1"/>
  <c r="AE550" i="1" s="1"/>
  <c r="S561" i="1"/>
  <c r="S570" i="1" s="1"/>
  <c r="M580" i="1" s="1"/>
  <c r="AI585" i="1" s="1"/>
  <c r="N498" i="1"/>
  <c r="M507" i="1" s="1"/>
  <c r="Q515" i="1" s="1"/>
  <c r="K524" i="1"/>
  <c r="P537" i="1"/>
  <c r="Q546" i="1" s="1"/>
  <c r="AS550" i="1" s="1"/>
  <c r="S563" i="1"/>
  <c r="S572" i="1" s="1"/>
  <c r="O581" i="1" s="1"/>
  <c r="AQ585" i="1" s="1"/>
  <c r="N497" i="1"/>
  <c r="N505" i="1" s="1"/>
  <c r="F515" i="1" s="1"/>
  <c r="K523" i="1"/>
  <c r="Q533" i="1"/>
  <c r="P559" i="1"/>
  <c r="P568" i="1" s="1"/>
  <c r="P576" i="1" s="1"/>
  <c r="N585" i="1" s="1"/>
  <c r="R534" i="1"/>
  <c r="N544" i="1" s="1"/>
  <c r="AD550" i="1" s="1"/>
  <c r="Q560" i="1"/>
  <c r="Q569" i="1" s="1"/>
  <c r="L580" i="1" s="1"/>
  <c r="AH585" i="1" s="1"/>
  <c r="S537" i="1"/>
  <c r="O546" i="1" s="1"/>
  <c r="AQ550" i="1" s="1"/>
  <c r="R563" i="1"/>
  <c r="R572" i="1" s="1"/>
  <c r="Q579" i="1" s="1"/>
  <c r="AG585" i="1" s="1"/>
  <c r="Q534" i="1"/>
  <c r="L545" i="1" s="1"/>
  <c r="AH550" i="1" s="1"/>
  <c r="P560" i="1"/>
  <c r="P569" i="1" s="1"/>
  <c r="P582" i="1" s="1"/>
  <c r="AX585" i="1" s="1"/>
  <c r="S534" i="1"/>
  <c r="Q547" i="1" s="1"/>
  <c r="AY550" i="1" s="1"/>
  <c r="R560" i="1"/>
  <c r="R569" i="1" s="1"/>
  <c r="N579" i="1" s="1"/>
  <c r="AD585" i="1" s="1"/>
  <c r="Q535" i="1"/>
  <c r="P561" i="1"/>
  <c r="P570" i="1" s="1"/>
  <c r="O579" i="1" s="1"/>
  <c r="AE585" i="1" s="1"/>
  <c r="Q537" i="1"/>
  <c r="P563" i="1"/>
  <c r="P572" i="1" s="1"/>
  <c r="Q581" i="1" s="1"/>
  <c r="AS585" i="1" s="1"/>
  <c r="M498" i="1"/>
  <c r="N524" i="1"/>
  <c r="S535" i="1"/>
  <c r="M545" i="1" s="1"/>
  <c r="AI550" i="1" s="1"/>
  <c r="R561" i="1"/>
  <c r="R570" i="1" s="1"/>
  <c r="N581" i="1" s="1"/>
  <c r="AP585" i="1" s="1"/>
  <c r="M496" i="1"/>
  <c r="Q508" i="1" s="1"/>
  <c r="AA515" i="1" s="1"/>
  <c r="N522" i="1"/>
  <c r="Q536" i="1"/>
  <c r="L547" i="1" s="1"/>
  <c r="AT550" i="1" s="1"/>
  <c r="P562" i="1"/>
  <c r="P571" i="1" s="1"/>
  <c r="O580" i="1" s="1"/>
  <c r="AK585" i="1" s="1"/>
  <c r="R536" i="1"/>
  <c r="P544" i="1" s="1"/>
  <c r="AF550" i="1" s="1"/>
  <c r="Q562" i="1"/>
  <c r="Q571" i="1" s="1"/>
  <c r="L582" i="1" s="1"/>
  <c r="AT585" i="1" s="1"/>
  <c r="M535" i="1"/>
  <c r="P546" i="1" s="1"/>
  <c r="AR550" i="1" s="1"/>
  <c r="K561" i="1"/>
  <c r="L570" i="1" s="1"/>
  <c r="P580" i="1" s="1"/>
  <c r="AL585" i="1" s="1"/>
  <c r="P532" i="1"/>
  <c r="P543" i="1" s="1"/>
  <c r="Z550" i="1" s="1"/>
  <c r="S558" i="1"/>
  <c r="S567" i="1" s="1"/>
  <c r="L578" i="1" s="1"/>
  <c r="V585" i="1" s="1"/>
  <c r="R533" i="1"/>
  <c r="L542" i="1" s="1"/>
  <c r="P550" i="1" s="1"/>
  <c r="Q559" i="1"/>
  <c r="Q568" i="1" s="1"/>
  <c r="Q531" i="1"/>
  <c r="O541" i="1" s="1"/>
  <c r="M550" i="1" s="1"/>
  <c r="P557" i="1"/>
  <c r="P566" i="1" s="1"/>
  <c r="Q575" i="1" s="1"/>
  <c r="I585" i="1" s="1"/>
  <c r="M499" i="1"/>
  <c r="P507" i="1" s="1"/>
  <c r="T515" i="1" s="1"/>
  <c r="N525" i="1"/>
  <c r="N536" i="1"/>
  <c r="L562" i="1"/>
  <c r="M571" i="1" s="1"/>
  <c r="M582" i="1" s="1"/>
  <c r="AU585" i="1" s="1"/>
  <c r="N496" i="1"/>
  <c r="L506" i="1" s="1"/>
  <c r="J515" i="1" s="1"/>
  <c r="K522" i="1"/>
  <c r="N535" i="1"/>
  <c r="L561" i="1"/>
  <c r="M570" i="1" s="1"/>
  <c r="P581" i="1" s="1"/>
  <c r="AR585" i="1" s="1"/>
  <c r="N533" i="1"/>
  <c r="M542" i="1" s="1"/>
  <c r="Q550" i="1" s="1"/>
  <c r="L559" i="1"/>
  <c r="M568" i="1" s="1"/>
  <c r="N534" i="1"/>
  <c r="N543" i="1" s="1"/>
  <c r="X550" i="1" s="1"/>
  <c r="L560" i="1"/>
  <c r="M569" i="1" s="1"/>
  <c r="P577" i="1" s="1"/>
  <c r="T585" i="1" s="1"/>
  <c r="M502" i="1"/>
  <c r="N512" i="1" s="1"/>
  <c r="AV515" i="1" s="1"/>
  <c r="N528" i="1"/>
  <c r="M532" i="1"/>
  <c r="Q541" i="1" s="1"/>
  <c r="O550" i="1" s="1"/>
  <c r="K558" i="1"/>
  <c r="L567" i="1" s="1"/>
  <c r="M531" i="1"/>
  <c r="Q543" i="1" s="1"/>
  <c r="AA550" i="1" s="1"/>
  <c r="K557" i="1"/>
  <c r="L566" i="1" s="1"/>
  <c r="P575" i="1" s="1"/>
  <c r="H585" i="1" s="1"/>
  <c r="R531" i="1"/>
  <c r="M543" i="1" s="1"/>
  <c r="W550" i="1" s="1"/>
  <c r="Q557" i="1"/>
  <c r="Q566" i="1" s="1"/>
  <c r="O576" i="1" s="1"/>
  <c r="M585" i="1" s="1"/>
  <c r="N532" i="1"/>
  <c r="N540" i="1" s="1"/>
  <c r="F550" i="1" s="1"/>
  <c r="L558" i="1"/>
  <c r="M567" i="1" s="1"/>
  <c r="Q576" i="1" s="1"/>
  <c r="O585" i="1" s="1"/>
  <c r="S532" i="1"/>
  <c r="L543" i="1" s="1"/>
  <c r="V550" i="1" s="1"/>
  <c r="R558" i="1"/>
  <c r="R567" i="1" s="1"/>
  <c r="N576" i="1" s="1"/>
  <c r="L585" i="1" s="1"/>
  <c r="M533" i="1"/>
  <c r="K559" i="1"/>
  <c r="L568" i="1" s="1"/>
  <c r="M575" i="1" s="1"/>
  <c r="E585" i="1" s="1"/>
  <c r="AN162" i="2" l="1"/>
  <c r="AN163" i="2" s="1"/>
  <c r="AB165" i="2" s="1"/>
  <c r="O168" i="2" s="1"/>
  <c r="P177" i="2" s="1"/>
  <c r="AP162" i="2"/>
  <c r="AP163" i="2" s="1"/>
  <c r="AD165" i="2" s="1"/>
  <c r="H168" i="2" s="1"/>
  <c r="I177" i="2" s="1"/>
  <c r="AM162" i="2"/>
  <c r="AM163" i="2" s="1"/>
  <c r="AA165" i="2" s="1"/>
  <c r="U168" i="2" s="1"/>
  <c r="V177" i="2" s="1"/>
  <c r="I162" i="2"/>
  <c r="I163" i="2" s="1"/>
  <c r="G165" i="2" s="1"/>
  <c r="AE168" i="2" s="1"/>
  <c r="AF177" i="2" s="1"/>
  <c r="L162" i="2"/>
  <c r="L163" i="2" s="1"/>
  <c r="J165" i="2" s="1"/>
  <c r="S168" i="2" s="1"/>
  <c r="T177" i="2" s="1"/>
  <c r="O160" i="2"/>
  <c r="O162" i="2" s="1"/>
  <c r="O163" i="2" s="1"/>
  <c r="K165" i="2" s="1"/>
  <c r="C168" i="2" s="1"/>
  <c r="D177" i="2" s="1"/>
  <c r="J162" i="2"/>
  <c r="J163" i="2" s="1"/>
  <c r="H165" i="2" s="1"/>
  <c r="N168" i="2" s="1"/>
  <c r="O177" i="2" s="1"/>
  <c r="AU162" i="2"/>
  <c r="AU163" i="2" s="1"/>
  <c r="AG165" i="2" s="1"/>
  <c r="F168" i="2" s="1"/>
  <c r="G177" i="2" s="1"/>
  <c r="AT162" i="2"/>
  <c r="AT163" i="2" s="1"/>
  <c r="AF165" i="2" s="1"/>
  <c r="M168" i="2" s="1"/>
  <c r="N177" i="2" s="1"/>
  <c r="AJ162" i="2"/>
  <c r="AJ163" i="2" s="1"/>
  <c r="Z165" i="2" s="1"/>
  <c r="K168" i="2" s="1"/>
  <c r="L177" i="2" s="1"/>
  <c r="AH162" i="2"/>
  <c r="AH163" i="2" s="1"/>
  <c r="X165" i="2" s="1"/>
  <c r="AC168" i="2" s="1"/>
  <c r="AD177" i="2" s="1"/>
  <c r="AI162" i="2"/>
  <c r="AI163" i="2" s="1"/>
  <c r="Y165" i="2" s="1"/>
  <c r="E168" i="2" s="1"/>
  <c r="F177" i="2" s="1"/>
  <c r="W162" i="2"/>
  <c r="W163" i="2" s="1"/>
  <c r="Q165" i="2" s="1"/>
  <c r="AG168" i="2" s="1"/>
  <c r="AH177" i="2" s="1"/>
  <c r="U162" i="2"/>
  <c r="U163" i="2" s="1"/>
  <c r="O165" i="2" s="1"/>
  <c r="G168" i="2" s="1"/>
  <c r="H177" i="2" s="1"/>
  <c r="E162" i="2"/>
  <c r="E163" i="2" s="1"/>
  <c r="E165" i="2" s="1"/>
  <c r="V168" i="2" s="1"/>
  <c r="W177" i="2" s="1"/>
  <c r="D162" i="2"/>
  <c r="D163" i="2" s="1"/>
  <c r="D165" i="2" s="1"/>
  <c r="I168" i="2" s="1"/>
  <c r="J177" i="2" s="1"/>
  <c r="C162" i="2"/>
  <c r="C163" i="2" s="1"/>
  <c r="C165" i="2" s="1"/>
  <c r="R168" i="2" s="1"/>
  <c r="S177" i="2" s="1"/>
  <c r="V162" i="2"/>
  <c r="V163" i="2" s="1"/>
  <c r="P165" i="2" s="1"/>
  <c r="T168" i="2" s="1"/>
  <c r="U177" i="2" s="1"/>
  <c r="AV162" i="2"/>
  <c r="AV163" i="2" s="1"/>
  <c r="AH165" i="2" s="1"/>
  <c r="AA168" i="2" s="1"/>
  <c r="AB177" i="2" s="1"/>
  <c r="AF181" i="2"/>
  <c r="AG223" i="2" s="1"/>
  <c r="W181" i="2"/>
  <c r="AS163" i="2"/>
  <c r="AE165" i="2" s="1"/>
  <c r="X168" i="2" s="1"/>
  <c r="Y177" i="2" s="1"/>
  <c r="AH181" i="2"/>
  <c r="AI223" i="2" s="1"/>
  <c r="AD181" i="2"/>
  <c r="N191" i="2" s="1"/>
  <c r="AQ196" i="2" s="1"/>
  <c r="AQ204" i="2" s="1"/>
  <c r="AB163" i="2"/>
  <c r="T165" i="2" s="1"/>
  <c r="J168" i="2" s="1"/>
  <c r="K177" i="2" s="1"/>
  <c r="X163" i="2"/>
  <c r="R165" i="2" s="1"/>
  <c r="L168" i="2" s="1"/>
  <c r="M177" i="2" s="1"/>
  <c r="AA162" i="2"/>
  <c r="AD162" i="2"/>
  <c r="AC162" i="2"/>
  <c r="Z739" i="2"/>
  <c r="Z95" i="6"/>
  <c r="I690" i="2"/>
  <c r="I144" i="6"/>
  <c r="AQ739" i="2"/>
  <c r="AQ95" i="6"/>
  <c r="AX739" i="2"/>
  <c r="AX95" i="6"/>
  <c r="AD739" i="2"/>
  <c r="AD95" i="6"/>
  <c r="AW739" i="2"/>
  <c r="AW95" i="6"/>
  <c r="S739" i="2"/>
  <c r="S95" i="6"/>
  <c r="C739" i="2"/>
  <c r="C95" i="6"/>
  <c r="E739" i="2"/>
  <c r="E95" i="6"/>
  <c r="AU690" i="2"/>
  <c r="AU144" i="6"/>
  <c r="P739" i="2"/>
  <c r="P95" i="6"/>
  <c r="S690" i="2"/>
  <c r="S144" i="6"/>
  <c r="O739" i="2"/>
  <c r="O95" i="6"/>
  <c r="AS739" i="2"/>
  <c r="AS95" i="6"/>
  <c r="AH739" i="2"/>
  <c r="AH95" i="6"/>
  <c r="AP739" i="2"/>
  <c r="AP95" i="6"/>
  <c r="AR739" i="2"/>
  <c r="AR95" i="6"/>
  <c r="K739" i="2"/>
  <c r="K95" i="6"/>
  <c r="M739" i="2"/>
  <c r="M95" i="6"/>
  <c r="N690" i="2"/>
  <c r="N144" i="6"/>
  <c r="H739" i="2"/>
  <c r="H95" i="6"/>
  <c r="AJ739" i="2"/>
  <c r="AJ95" i="6"/>
  <c r="I739" i="2"/>
  <c r="I95" i="6"/>
  <c r="AI690" i="2"/>
  <c r="AI144" i="6"/>
  <c r="K788" i="2"/>
  <c r="K46" i="6"/>
  <c r="L788" i="2"/>
  <c r="L46" i="6"/>
  <c r="S788" i="2"/>
  <c r="S46" i="6"/>
  <c r="AQ788" i="2"/>
  <c r="AQ46" i="6"/>
  <c r="AT788" i="2"/>
  <c r="AT46" i="6"/>
  <c r="H788" i="2"/>
  <c r="H46" i="6"/>
  <c r="U788" i="2"/>
  <c r="U46" i="6"/>
  <c r="AS788" i="2"/>
  <c r="AS46" i="6"/>
  <c r="AD788" i="2"/>
  <c r="AD46" i="6"/>
  <c r="AW788" i="2"/>
  <c r="AW46" i="6"/>
  <c r="AG788" i="2"/>
  <c r="AG46" i="6"/>
  <c r="AU788" i="2"/>
  <c r="AU46" i="6"/>
  <c r="AN788" i="2"/>
  <c r="AN46" i="6"/>
  <c r="AA788" i="2"/>
  <c r="AA46" i="6"/>
  <c r="V788" i="2"/>
  <c r="V46" i="6"/>
  <c r="O788" i="2"/>
  <c r="O46" i="6"/>
  <c r="AE788" i="2"/>
  <c r="AE46" i="6"/>
  <c r="N739" i="2"/>
  <c r="N95" i="6"/>
  <c r="L739" i="2"/>
  <c r="L95" i="6"/>
  <c r="Z690" i="2"/>
  <c r="Z144" i="6"/>
  <c r="E690" i="2"/>
  <c r="E144" i="6"/>
  <c r="AF739" i="2"/>
  <c r="AF95" i="6"/>
  <c r="AQ690" i="2"/>
  <c r="AQ144" i="6"/>
  <c r="W690" i="2"/>
  <c r="W144" i="6"/>
  <c r="F739" i="2"/>
  <c r="F95" i="6"/>
  <c r="AL739" i="2"/>
  <c r="AL95" i="6"/>
  <c r="AT690" i="2"/>
  <c r="AT144" i="6"/>
  <c r="AO739" i="2"/>
  <c r="AO95" i="6"/>
  <c r="U739" i="2"/>
  <c r="U95" i="6"/>
  <c r="V739" i="2"/>
  <c r="V95" i="6"/>
  <c r="W739" i="2"/>
  <c r="W95" i="6"/>
  <c r="Y739" i="2"/>
  <c r="Y95" i="6"/>
  <c r="AE739" i="2"/>
  <c r="AE95" i="6"/>
  <c r="AG739" i="2"/>
  <c r="AG95" i="6"/>
  <c r="AC739" i="2"/>
  <c r="AC95" i="6"/>
  <c r="P690" i="2"/>
  <c r="P144" i="6"/>
  <c r="AI739" i="2"/>
  <c r="AI95" i="6"/>
  <c r="AU739" i="2"/>
  <c r="AU95" i="6"/>
  <c r="AT739" i="2"/>
  <c r="AT95" i="6"/>
  <c r="T739" i="2"/>
  <c r="T95" i="6"/>
  <c r="D788" i="2"/>
  <c r="D46" i="6"/>
  <c r="N788" i="2"/>
  <c r="N46" i="6"/>
  <c r="G788" i="2"/>
  <c r="G46" i="6"/>
  <c r="AK788" i="2"/>
  <c r="AK46" i="6"/>
  <c r="AJ788" i="2"/>
  <c r="AJ46" i="6"/>
  <c r="AO788" i="2"/>
  <c r="AO46" i="6"/>
  <c r="AR788" i="2"/>
  <c r="AR46" i="6"/>
  <c r="AC788" i="2"/>
  <c r="AC46" i="6"/>
  <c r="AF788" i="2"/>
  <c r="AF46" i="6"/>
  <c r="M788" i="2"/>
  <c r="M46" i="6"/>
  <c r="AP788" i="2"/>
  <c r="AP46" i="6"/>
  <c r="AH788" i="2"/>
  <c r="AH46" i="6"/>
  <c r="C788" i="2"/>
  <c r="C46" i="6"/>
  <c r="F788" i="2"/>
  <c r="F46" i="6"/>
  <c r="AX788" i="2"/>
  <c r="AX46" i="6"/>
  <c r="T788" i="2"/>
  <c r="T46" i="6"/>
  <c r="AL788" i="2"/>
  <c r="AL46" i="6"/>
  <c r="Z788" i="2"/>
  <c r="Z46" i="6"/>
  <c r="Y788" i="2"/>
  <c r="Y46" i="6"/>
  <c r="L537" i="1"/>
  <c r="M546" i="1" s="1"/>
  <c r="AO550" i="1" s="1"/>
  <c r="N563" i="1"/>
  <c r="O572" i="1" s="1"/>
  <c r="M579" i="1" s="1"/>
  <c r="AC585" i="1" s="1"/>
  <c r="O531" i="1"/>
  <c r="O542" i="1" s="1"/>
  <c r="S550" i="1" s="1"/>
  <c r="M557" i="1"/>
  <c r="N566" i="1" s="1"/>
  <c r="L576" i="1" s="1"/>
  <c r="J585" i="1" s="1"/>
  <c r="O533" i="1"/>
  <c r="O543" i="1" s="1"/>
  <c r="Y550" i="1" s="1"/>
  <c r="M559" i="1"/>
  <c r="N568" i="1" s="1"/>
  <c r="M577" i="1" s="1"/>
  <c r="Q585" i="1" s="1"/>
  <c r="L532" i="1"/>
  <c r="N558" i="1"/>
  <c r="O567" i="1" s="1"/>
  <c r="N577" i="1" s="1"/>
  <c r="R585" i="1" s="1"/>
  <c r="L533" i="1"/>
  <c r="M540" i="1" s="1"/>
  <c r="E550" i="1" s="1"/>
  <c r="N559" i="1"/>
  <c r="O568" i="1" s="1"/>
  <c r="O578" i="1" s="1"/>
  <c r="Y585" i="1" s="1"/>
  <c r="L536" i="1"/>
  <c r="L544" i="1" s="1"/>
  <c r="AB550" i="1" s="1"/>
  <c r="N562" i="1"/>
  <c r="O571" i="1" s="1"/>
  <c r="L581" i="1" s="1"/>
  <c r="AN585" i="1" s="1"/>
  <c r="O532" i="1"/>
  <c r="N542" i="1" s="1"/>
  <c r="R550" i="1" s="1"/>
  <c r="M558" i="1"/>
  <c r="N567" i="1" s="1"/>
  <c r="N575" i="1" s="1"/>
  <c r="F585" i="1" s="1"/>
  <c r="O536" i="1"/>
  <c r="L546" i="1" s="1"/>
  <c r="AN550" i="1" s="1"/>
  <c r="M562" i="1"/>
  <c r="N571" i="1" s="1"/>
  <c r="O537" i="1"/>
  <c r="M544" i="1" s="1"/>
  <c r="AC550" i="1" s="1"/>
  <c r="M563" i="1"/>
  <c r="N572" i="1" s="1"/>
  <c r="N580" i="1" s="1"/>
  <c r="AJ585" i="1" s="1"/>
  <c r="L531" i="1"/>
  <c r="P540" i="1" s="1"/>
  <c r="H550" i="1" s="1"/>
  <c r="N557" i="1"/>
  <c r="O566" i="1" s="1"/>
  <c r="O577" i="1" s="1"/>
  <c r="S585" i="1" s="1"/>
  <c r="O534" i="1"/>
  <c r="M541" i="1" s="1"/>
  <c r="K550" i="1" s="1"/>
  <c r="M560" i="1"/>
  <c r="N569" i="1" s="1"/>
  <c r="N578" i="1" s="1"/>
  <c r="X585" i="1" s="1"/>
  <c r="L535" i="1"/>
  <c r="P545" i="1" s="1"/>
  <c r="AL550" i="1" s="1"/>
  <c r="N561" i="1"/>
  <c r="O570" i="1" s="1"/>
  <c r="O582" i="1" s="1"/>
  <c r="AW585" i="1" s="1"/>
  <c r="O535" i="1"/>
  <c r="O547" i="1" s="1"/>
  <c r="AW550" i="1" s="1"/>
  <c r="M561" i="1"/>
  <c r="N570" i="1" s="1"/>
  <c r="L534" i="1"/>
  <c r="N560" i="1"/>
  <c r="O569" i="1" s="1"/>
  <c r="M576" i="1" s="1"/>
  <c r="K585" i="1" s="1"/>
  <c r="Q162" i="2" l="1"/>
  <c r="Q163" i="2" s="1"/>
  <c r="M165" i="2" s="1"/>
  <c r="Y168" i="2" s="1"/>
  <c r="Z177" i="2" s="1"/>
  <c r="P162" i="2"/>
  <c r="P163" i="2" s="1"/>
  <c r="L165" i="2" s="1"/>
  <c r="Q168" i="2" s="1"/>
  <c r="R177" i="2" s="1"/>
  <c r="R162" i="2"/>
  <c r="R163" i="2" s="1"/>
  <c r="N165" i="2" s="1"/>
  <c r="AB168" i="2" s="1"/>
  <c r="AC177" i="2" s="1"/>
  <c r="N192" i="2"/>
  <c r="AW196" i="2" s="1"/>
  <c r="AW204" i="2" s="1"/>
  <c r="L192" i="2"/>
  <c r="AU196" i="2" s="1"/>
  <c r="AU204" i="2" s="1"/>
  <c r="J185" i="2"/>
  <c r="C196" i="2" s="1"/>
  <c r="C204" i="2" s="1"/>
  <c r="R181" i="2"/>
  <c r="J189" i="2" s="1"/>
  <c r="AA196" i="2" s="1"/>
  <c r="AA204" i="2" s="1"/>
  <c r="V181" i="2"/>
  <c r="N189" i="2" s="1"/>
  <c r="AE196" i="2" s="1"/>
  <c r="AE204" i="2" s="1"/>
  <c r="J192" i="2"/>
  <c r="AS196" i="2" s="1"/>
  <c r="AS204" i="2" s="1"/>
  <c r="M181" i="2"/>
  <c r="M187" i="2" s="1"/>
  <c r="R196" i="2" s="1"/>
  <c r="R204" i="2" s="1"/>
  <c r="H181" i="2"/>
  <c r="I223" i="2" s="1"/>
  <c r="F181" i="2"/>
  <c r="N185" i="2" s="1"/>
  <c r="G196" i="2" s="1"/>
  <c r="G204" i="2" s="1"/>
  <c r="X181" i="2"/>
  <c r="AA181" i="2"/>
  <c r="AB223" i="2" s="1"/>
  <c r="C181" i="2"/>
  <c r="O192" i="2" s="1"/>
  <c r="AX196" i="2" s="1"/>
  <c r="AX204" i="2" s="1"/>
  <c r="U181" i="2"/>
  <c r="V223" i="2" s="1"/>
  <c r="I181" i="2"/>
  <c r="O181" i="2"/>
  <c r="P223" i="2" s="1"/>
  <c r="AE223" i="2"/>
  <c r="K190" i="2"/>
  <c r="AH196" i="2" s="1"/>
  <c r="AH204" i="2" s="1"/>
  <c r="O189" i="2"/>
  <c r="AF196" i="2" s="1"/>
  <c r="AF204" i="2" s="1"/>
  <c r="X223" i="2"/>
  <c r="N181" i="2"/>
  <c r="O223" i="2" s="1"/>
  <c r="E181" i="2"/>
  <c r="F223" i="2" s="1"/>
  <c r="AG181" i="2"/>
  <c r="AH223" i="2" s="1"/>
  <c r="K181" i="2"/>
  <c r="L223" i="2" s="1"/>
  <c r="T181" i="2"/>
  <c r="L189" i="2" s="1"/>
  <c r="AC196" i="2" s="1"/>
  <c r="AC204" i="2" s="1"/>
  <c r="G181" i="2"/>
  <c r="H223" i="2" s="1"/>
  <c r="AC181" i="2"/>
  <c r="AD223" i="2" s="1"/>
  <c r="J181" i="2"/>
  <c r="K223" i="2" s="1"/>
  <c r="L181" i="2"/>
  <c r="AE181" i="2"/>
  <c r="AF223" i="2" s="1"/>
  <c r="S181" i="2"/>
  <c r="T223" i="2" s="1"/>
  <c r="AD163" i="2"/>
  <c r="V165" i="2" s="1"/>
  <c r="P168" i="2" s="1"/>
  <c r="Q177" i="2" s="1"/>
  <c r="AA163" i="2"/>
  <c r="S165" i="2" s="1"/>
  <c r="D168" i="2" s="1"/>
  <c r="E177" i="2" s="1"/>
  <c r="AC163" i="2"/>
  <c r="U165" i="2" s="1"/>
  <c r="Z168" i="2" s="1"/>
  <c r="AA177" i="2" s="1"/>
  <c r="J739" i="2"/>
  <c r="J95" i="6"/>
  <c r="AV739" i="2"/>
  <c r="AV95" i="6"/>
  <c r="AM788" i="2"/>
  <c r="AM46" i="6"/>
  <c r="J788" i="2"/>
  <c r="J46" i="6"/>
  <c r="AV788" i="2"/>
  <c r="AV46" i="6"/>
  <c r="R788" i="2"/>
  <c r="R46" i="6"/>
  <c r="AA739" i="2"/>
  <c r="AA95" i="6"/>
  <c r="R739" i="2"/>
  <c r="R95" i="6"/>
  <c r="Q788" i="2"/>
  <c r="Q46" i="6"/>
  <c r="AK739" i="2"/>
  <c r="AK95" i="6"/>
  <c r="E788" i="2"/>
  <c r="E46" i="6"/>
  <c r="X788" i="2"/>
  <c r="X46" i="6"/>
  <c r="P788" i="2"/>
  <c r="P46" i="6"/>
  <c r="AB788" i="2"/>
  <c r="AB46" i="6"/>
  <c r="AB739" i="2"/>
  <c r="AB95" i="6"/>
  <c r="I788" i="2"/>
  <c r="I46" i="6"/>
  <c r="G739" i="2"/>
  <c r="G95" i="6"/>
  <c r="W788" i="2"/>
  <c r="W46" i="6"/>
  <c r="AI788" i="2"/>
  <c r="AI46" i="6"/>
  <c r="AM739" i="2"/>
  <c r="AM95" i="6"/>
  <c r="Q739" i="2"/>
  <c r="Q95" i="6"/>
  <c r="D739" i="2"/>
  <c r="D95" i="6"/>
  <c r="X739" i="2"/>
  <c r="X95" i="6"/>
  <c r="AN739" i="2"/>
  <c r="AN95" i="6"/>
  <c r="K189" i="2" l="1"/>
  <c r="AB196" i="2" s="1"/>
  <c r="AB204" i="2" s="1"/>
  <c r="O185" i="2"/>
  <c r="H196" i="2" s="1"/>
  <c r="H204" i="2" s="1"/>
  <c r="M185" i="2"/>
  <c r="F196" i="2" s="1"/>
  <c r="F204" i="2" s="1"/>
  <c r="K192" i="2"/>
  <c r="AT196" i="2" s="1"/>
  <c r="AT204" i="2" s="1"/>
  <c r="K186" i="2"/>
  <c r="J196" i="2" s="1"/>
  <c r="J204" i="2" s="1"/>
  <c r="N223" i="2"/>
  <c r="K191" i="2"/>
  <c r="AN196" i="2" s="1"/>
  <c r="AN204" i="2" s="1"/>
  <c r="J190" i="2"/>
  <c r="AG196" i="2" s="1"/>
  <c r="AG204" i="2" s="1"/>
  <c r="K188" i="2"/>
  <c r="V196" i="2" s="1"/>
  <c r="V204" i="2" s="1"/>
  <c r="W223" i="2"/>
  <c r="M189" i="2"/>
  <c r="AD196" i="2" s="1"/>
  <c r="AD204" i="2" s="1"/>
  <c r="O191" i="2"/>
  <c r="AR196" i="2" s="1"/>
  <c r="AR204" i="2" s="1"/>
  <c r="S223" i="2"/>
  <c r="N188" i="2"/>
  <c r="Y196" i="2" s="1"/>
  <c r="Y204" i="2" s="1"/>
  <c r="L186" i="2"/>
  <c r="K196" i="2" s="1"/>
  <c r="K204" i="2" s="1"/>
  <c r="K185" i="2"/>
  <c r="D196" i="2" s="1"/>
  <c r="D204" i="2" s="1"/>
  <c r="O187" i="2"/>
  <c r="T196" i="2" s="1"/>
  <c r="T204" i="2" s="1"/>
  <c r="J188" i="2"/>
  <c r="U196" i="2" s="1"/>
  <c r="U204" i="2" s="1"/>
  <c r="D223" i="2"/>
  <c r="O190" i="2"/>
  <c r="AL196" i="2" s="1"/>
  <c r="AL204" i="2" s="1"/>
  <c r="M192" i="2"/>
  <c r="AV196" i="2" s="1"/>
  <c r="AV204" i="2" s="1"/>
  <c r="N186" i="2"/>
  <c r="M196" i="2" s="1"/>
  <c r="M204" i="2" s="1"/>
  <c r="O188" i="2"/>
  <c r="Z196" i="2" s="1"/>
  <c r="Z204" i="2" s="1"/>
  <c r="Q181" i="2"/>
  <c r="AB181" i="2"/>
  <c r="Y181" i="2"/>
  <c r="Z223" i="2" s="1"/>
  <c r="AS207" i="2"/>
  <c r="AA207" i="2"/>
  <c r="M186" i="2"/>
  <c r="L196" i="2" s="1"/>
  <c r="L204" i="2" s="1"/>
  <c r="J223" i="2"/>
  <c r="Y223" i="2"/>
  <c r="L190" i="2"/>
  <c r="AI196" i="2" s="1"/>
  <c r="AI204" i="2" s="1"/>
  <c r="J186" i="2"/>
  <c r="I196" i="2" s="1"/>
  <c r="I204" i="2" s="1"/>
  <c r="G223" i="2"/>
  <c r="M191" i="2"/>
  <c r="AP196" i="2" s="1"/>
  <c r="AP204" i="2" s="1"/>
  <c r="P181" i="2"/>
  <c r="L188" i="2" s="1"/>
  <c r="W196" i="2" s="1"/>
  <c r="W204" i="2" s="1"/>
  <c r="Z181" i="2"/>
  <c r="N190" i="2" s="1"/>
  <c r="AK196" i="2" s="1"/>
  <c r="AK204" i="2" s="1"/>
  <c r="D181" i="2"/>
  <c r="E223" i="2" s="1"/>
  <c r="K187" i="2"/>
  <c r="P196" i="2" s="1"/>
  <c r="P204" i="2" s="1"/>
  <c r="O186" i="2"/>
  <c r="N196" i="2" s="1"/>
  <c r="N204" i="2" s="1"/>
  <c r="U223" i="2"/>
  <c r="J187" i="2"/>
  <c r="O196" i="2" s="1"/>
  <c r="O204" i="2" s="1"/>
  <c r="N187" i="2"/>
  <c r="S196" i="2" s="1"/>
  <c r="S204" i="2" s="1"/>
  <c r="M223" i="2"/>
  <c r="L187" i="2"/>
  <c r="Q196" i="2" s="1"/>
  <c r="Q204" i="2" s="1"/>
  <c r="M190" i="2" l="1"/>
  <c r="AJ196" i="2" s="1"/>
  <c r="AJ204" i="2" s="1"/>
  <c r="AG206" i="2" s="1"/>
  <c r="C207" i="2"/>
  <c r="AA206" i="2"/>
  <c r="AA209" i="2" s="1"/>
  <c r="J191" i="2"/>
  <c r="AM196" i="2" s="1"/>
  <c r="AM204" i="2" s="1"/>
  <c r="Q223" i="2"/>
  <c r="U207" i="2"/>
  <c r="AS206" i="2"/>
  <c r="AS209" i="2" s="1"/>
  <c r="AU211" i="2" s="1"/>
  <c r="AU212" i="2" s="1"/>
  <c r="AG214" i="2" s="1"/>
  <c r="F217" i="2" s="1"/>
  <c r="G226" i="2" s="1"/>
  <c r="AG207" i="2"/>
  <c r="AA223" i="2"/>
  <c r="L185" i="2"/>
  <c r="E196" i="2" s="1"/>
  <c r="E204" i="2" s="1"/>
  <c r="I206" i="2"/>
  <c r="L191" i="2"/>
  <c r="AO196" i="2" s="1"/>
  <c r="AO204" i="2" s="1"/>
  <c r="AC223" i="2"/>
  <c r="R223" i="2"/>
  <c r="M188" i="2"/>
  <c r="X196" i="2" s="1"/>
  <c r="X204" i="2" s="1"/>
  <c r="O206" i="2"/>
  <c r="O207" i="2"/>
  <c r="I207" i="2"/>
  <c r="I209" i="2" l="1"/>
  <c r="I211" i="2" s="1"/>
  <c r="I212" i="2" s="1"/>
  <c r="G214" i="2" s="1"/>
  <c r="AE217" i="2" s="1"/>
  <c r="AF226" i="2" s="1"/>
  <c r="AG209" i="2"/>
  <c r="AI211" i="2" s="1"/>
  <c r="AI212" i="2" s="1"/>
  <c r="Y214" i="2" s="1"/>
  <c r="E217" i="2" s="1"/>
  <c r="F226" i="2" s="1"/>
  <c r="AA211" i="2"/>
  <c r="AA212" i="2" s="1"/>
  <c r="S214" i="2" s="1"/>
  <c r="D217" i="2" s="1"/>
  <c r="E226" i="2" s="1"/>
  <c r="AB211" i="2"/>
  <c r="AB212" i="2" s="1"/>
  <c r="T214" i="2" s="1"/>
  <c r="J217" i="2" s="1"/>
  <c r="K226" i="2" s="1"/>
  <c r="AC211" i="2"/>
  <c r="AC212" i="2" s="1"/>
  <c r="U214" i="2" s="1"/>
  <c r="Z217" i="2" s="1"/>
  <c r="AA226" i="2" s="1"/>
  <c r="AM207" i="2"/>
  <c r="AD211" i="2"/>
  <c r="AD212" i="2" s="1"/>
  <c r="V214" i="2" s="1"/>
  <c r="P217" i="2" s="1"/>
  <c r="Q226" i="2" s="1"/>
  <c r="C206" i="2"/>
  <c r="C209" i="2" s="1"/>
  <c r="C211" i="2" s="1"/>
  <c r="C212" i="2" s="1"/>
  <c r="C214" i="2" s="1"/>
  <c r="R217" i="2" s="1"/>
  <c r="S226" i="2" s="1"/>
  <c r="AT211" i="2"/>
  <c r="AT212" i="2" s="1"/>
  <c r="AF214" i="2" s="1"/>
  <c r="M217" i="2" s="1"/>
  <c r="N226" i="2" s="1"/>
  <c r="AV211" i="2"/>
  <c r="AV212" i="2" s="1"/>
  <c r="AH214" i="2" s="1"/>
  <c r="AA217" i="2" s="1"/>
  <c r="AB226" i="2" s="1"/>
  <c r="AS211" i="2"/>
  <c r="AS212" i="2" s="1"/>
  <c r="AE214" i="2" s="1"/>
  <c r="X217" i="2" s="1"/>
  <c r="Y226" i="2" s="1"/>
  <c r="AM206" i="2"/>
  <c r="U206" i="2"/>
  <c r="U209" i="2" s="1"/>
  <c r="V211" i="2" s="1"/>
  <c r="V212" i="2" s="1"/>
  <c r="P214" i="2" s="1"/>
  <c r="T217" i="2" s="1"/>
  <c r="U226" i="2" s="1"/>
  <c r="O209" i="2"/>
  <c r="P211" i="2" s="1"/>
  <c r="P212" i="2" s="1"/>
  <c r="L214" i="2" s="1"/>
  <c r="Q217" i="2" s="1"/>
  <c r="R226" i="2" s="1"/>
  <c r="F230" i="2"/>
  <c r="J235" i="2" s="1"/>
  <c r="I245" i="2" s="1"/>
  <c r="I253" i="2" s="1"/>
  <c r="L211" i="2" l="1"/>
  <c r="L212" i="2" s="1"/>
  <c r="J214" i="2" s="1"/>
  <c r="S217" i="2" s="1"/>
  <c r="T226" i="2" s="1"/>
  <c r="J211" i="2"/>
  <c r="J212" i="2" s="1"/>
  <c r="H214" i="2" s="1"/>
  <c r="N217" i="2" s="1"/>
  <c r="O226" i="2" s="1"/>
  <c r="K211" i="2"/>
  <c r="K212" i="2" s="1"/>
  <c r="I214" i="2" s="1"/>
  <c r="AD217" i="2" s="1"/>
  <c r="AE226" i="2" s="1"/>
  <c r="AJ211" i="2"/>
  <c r="AJ212" i="2" s="1"/>
  <c r="Z214" i="2" s="1"/>
  <c r="K217" i="2" s="1"/>
  <c r="L226" i="2" s="1"/>
  <c r="AH211" i="2"/>
  <c r="AH212" i="2" s="1"/>
  <c r="X214" i="2" s="1"/>
  <c r="AC217" i="2" s="1"/>
  <c r="AD226" i="2" s="1"/>
  <c r="AG211" i="2"/>
  <c r="AG212" i="2" s="1"/>
  <c r="W214" i="2" s="1"/>
  <c r="AH217" i="2" s="1"/>
  <c r="AI226" i="2" s="1"/>
  <c r="D230" i="2"/>
  <c r="L234" i="2" s="1"/>
  <c r="E245" i="2" s="1"/>
  <c r="E253" i="2" s="1"/>
  <c r="D211" i="2"/>
  <c r="D212" i="2" s="1"/>
  <c r="D214" i="2" s="1"/>
  <c r="I217" i="2" s="1"/>
  <c r="J226" i="2" s="1"/>
  <c r="AM209" i="2"/>
  <c r="AP211" i="2" s="1"/>
  <c r="AP212" i="2" s="1"/>
  <c r="AD214" i="2" s="1"/>
  <c r="H217" i="2" s="1"/>
  <c r="I226" i="2" s="1"/>
  <c r="R211" i="2"/>
  <c r="R212" i="2" s="1"/>
  <c r="N214" i="2" s="1"/>
  <c r="AB217" i="2" s="1"/>
  <c r="AC226" i="2" s="1"/>
  <c r="W211" i="2"/>
  <c r="W212" i="2" s="1"/>
  <c r="Q214" i="2" s="1"/>
  <c r="AG217" i="2" s="1"/>
  <c r="AH226" i="2" s="1"/>
  <c r="F211" i="2"/>
  <c r="F212" i="2" s="1"/>
  <c r="F214" i="2" s="1"/>
  <c r="W217" i="2" s="1"/>
  <c r="X226" i="2" s="1"/>
  <c r="E211" i="2"/>
  <c r="E212" i="2" s="1"/>
  <c r="E214" i="2" s="1"/>
  <c r="V217" i="2" s="1"/>
  <c r="W226" i="2" s="1"/>
  <c r="Q211" i="2"/>
  <c r="Q212" i="2" s="1"/>
  <c r="M214" i="2" s="1"/>
  <c r="Y217" i="2" s="1"/>
  <c r="Z226" i="2" s="1"/>
  <c r="X211" i="2"/>
  <c r="X212" i="2" s="1"/>
  <c r="R214" i="2" s="1"/>
  <c r="L217" i="2" s="1"/>
  <c r="M226" i="2" s="1"/>
  <c r="U211" i="2"/>
  <c r="U212" i="2" s="1"/>
  <c r="O214" i="2" s="1"/>
  <c r="G217" i="2" s="1"/>
  <c r="H226" i="2" s="1"/>
  <c r="G272" i="2"/>
  <c r="O211" i="2"/>
  <c r="O212" i="2" s="1"/>
  <c r="K214" i="2" s="1"/>
  <c r="C217" i="2" s="1"/>
  <c r="D226" i="2" s="1"/>
  <c r="R230" i="2"/>
  <c r="J238" i="2" s="1"/>
  <c r="AA245" i="2" s="1"/>
  <c r="AA253" i="2" s="1"/>
  <c r="X230" i="2"/>
  <c r="Y272" i="2" s="1"/>
  <c r="J230" i="2"/>
  <c r="K272" i="2" s="1"/>
  <c r="AE230" i="2"/>
  <c r="AF272" i="2" s="1"/>
  <c r="P230" i="2"/>
  <c r="L237" i="2" s="1"/>
  <c r="W245" i="2" s="1"/>
  <c r="W253" i="2" s="1"/>
  <c r="T230" i="2"/>
  <c r="L238" i="2" s="1"/>
  <c r="AC245" i="2" s="1"/>
  <c r="AC253" i="2" s="1"/>
  <c r="E230" i="2"/>
  <c r="F272" i="2" s="1"/>
  <c r="Z230" i="2"/>
  <c r="J240" i="2" s="1"/>
  <c r="AM245" i="2" s="1"/>
  <c r="AM253" i="2" s="1"/>
  <c r="AA230" i="2"/>
  <c r="K240" i="2" s="1"/>
  <c r="AN245" i="2" s="1"/>
  <c r="AN253" i="2" s="1"/>
  <c r="M230" i="2"/>
  <c r="N272" i="2" s="1"/>
  <c r="Q230" i="2"/>
  <c r="M237" i="2" s="1"/>
  <c r="X245" i="2" s="1"/>
  <c r="X253" i="2" s="1"/>
  <c r="N234" i="2"/>
  <c r="G245" i="2" s="1"/>
  <c r="G253" i="2" s="1"/>
  <c r="E272" i="2" l="1"/>
  <c r="AO211" i="2"/>
  <c r="AO212" i="2" s="1"/>
  <c r="AC214" i="2" s="1"/>
  <c r="AF217" i="2" s="1"/>
  <c r="AG226" i="2" s="1"/>
  <c r="AF230" i="2" s="1"/>
  <c r="L241" i="2" s="1"/>
  <c r="AU245" i="2" s="1"/>
  <c r="AU253" i="2" s="1"/>
  <c r="O240" i="2"/>
  <c r="AR245" i="2" s="1"/>
  <c r="AR253" i="2" s="1"/>
  <c r="AN211" i="2"/>
  <c r="AN212" i="2" s="1"/>
  <c r="AB214" i="2" s="1"/>
  <c r="O217" i="2" s="1"/>
  <c r="P226" i="2" s="1"/>
  <c r="M236" i="2"/>
  <c r="R245" i="2" s="1"/>
  <c r="R253" i="2" s="1"/>
  <c r="AM211" i="2"/>
  <c r="AM212" i="2" s="1"/>
  <c r="AA214" i="2" s="1"/>
  <c r="U217" i="2" s="1"/>
  <c r="V226" i="2" s="1"/>
  <c r="N239" i="2"/>
  <c r="AK245" i="2" s="1"/>
  <c r="AK253" i="2" s="1"/>
  <c r="AA272" i="2"/>
  <c r="R272" i="2"/>
  <c r="N235" i="2"/>
  <c r="M245" i="2" s="1"/>
  <c r="M253" i="2" s="1"/>
  <c r="H230" i="2"/>
  <c r="O239" i="2"/>
  <c r="AL245" i="2" s="1"/>
  <c r="AL253" i="2" s="1"/>
  <c r="L239" i="2"/>
  <c r="AI245" i="2" s="1"/>
  <c r="AI253" i="2" s="1"/>
  <c r="U272" i="2"/>
  <c r="Q272" i="2"/>
  <c r="N237" i="2"/>
  <c r="Y245" i="2" s="1"/>
  <c r="Y253" i="2" s="1"/>
  <c r="AB272" i="2"/>
  <c r="K241" i="2"/>
  <c r="AT245" i="2" s="1"/>
  <c r="AT253" i="2" s="1"/>
  <c r="S272" i="2"/>
  <c r="G230" i="2"/>
  <c r="K235" i="2" s="1"/>
  <c r="J245" i="2" s="1"/>
  <c r="J253" i="2" s="1"/>
  <c r="I230" i="2"/>
  <c r="J272" i="2" s="1"/>
  <c r="AD230" i="2"/>
  <c r="AE272" i="2" s="1"/>
  <c r="C230" i="2"/>
  <c r="K234" i="2" s="1"/>
  <c r="D245" i="2" s="1"/>
  <c r="D253" i="2" s="1"/>
  <c r="AB230" i="2"/>
  <c r="L240" i="2" s="1"/>
  <c r="AO245" i="2" s="1"/>
  <c r="AO253" i="2" s="1"/>
  <c r="L230" i="2"/>
  <c r="L236" i="2" s="1"/>
  <c r="Q245" i="2" s="1"/>
  <c r="Q253" i="2" s="1"/>
  <c r="AG230" i="2"/>
  <c r="AH272" i="2" s="1"/>
  <c r="W230" i="2"/>
  <c r="O238" i="2" s="1"/>
  <c r="AF245" i="2" s="1"/>
  <c r="AF253" i="2" s="1"/>
  <c r="Y230" i="2"/>
  <c r="Z272" i="2" s="1"/>
  <c r="N230" i="2"/>
  <c r="O272" i="2" s="1"/>
  <c r="S230" i="2"/>
  <c r="O237" i="2" s="1"/>
  <c r="Z245" i="2" s="1"/>
  <c r="Z253" i="2" s="1"/>
  <c r="K230" i="2"/>
  <c r="O235" i="2" s="1"/>
  <c r="N245" i="2" s="1"/>
  <c r="N253" i="2" s="1"/>
  <c r="AC230" i="2"/>
  <c r="AD272" i="2" s="1"/>
  <c r="AH230" i="2"/>
  <c r="J234" i="2" s="1"/>
  <c r="C245" i="2" s="1"/>
  <c r="C253" i="2" s="1"/>
  <c r="V230" i="2"/>
  <c r="W272" i="2" s="1"/>
  <c r="M234" i="2"/>
  <c r="F245" i="2" s="1"/>
  <c r="F253" i="2" s="1"/>
  <c r="J236" i="2"/>
  <c r="O245" i="2" s="1"/>
  <c r="O253" i="2" s="1"/>
  <c r="AI272" i="2" l="1"/>
  <c r="J237" i="2"/>
  <c r="U245" i="2" s="1"/>
  <c r="U253" i="2" s="1"/>
  <c r="M240" i="2"/>
  <c r="AP245" i="2" s="1"/>
  <c r="AP253" i="2" s="1"/>
  <c r="AM256" i="2"/>
  <c r="O230" i="2"/>
  <c r="P272" i="2" s="1"/>
  <c r="D272" i="2"/>
  <c r="K239" i="2"/>
  <c r="AH245" i="2" s="1"/>
  <c r="AH253" i="2" s="1"/>
  <c r="U230" i="2"/>
  <c r="V272" i="2" s="1"/>
  <c r="M235" i="2"/>
  <c r="L245" i="2" s="1"/>
  <c r="L253" i="2" s="1"/>
  <c r="K238" i="2"/>
  <c r="AB245" i="2" s="1"/>
  <c r="AB253" i="2" s="1"/>
  <c r="AC272" i="2"/>
  <c r="N241" i="2"/>
  <c r="AW245" i="2" s="1"/>
  <c r="AW253" i="2" s="1"/>
  <c r="AG272" i="2"/>
  <c r="O241" i="2"/>
  <c r="AX245" i="2" s="1"/>
  <c r="AX253" i="2" s="1"/>
  <c r="M241" i="2"/>
  <c r="AV245" i="2" s="1"/>
  <c r="AV253" i="2" s="1"/>
  <c r="N240" i="2"/>
  <c r="AQ245" i="2" s="1"/>
  <c r="AQ253" i="2" s="1"/>
  <c r="N238" i="2"/>
  <c r="AE245" i="2" s="1"/>
  <c r="AE253" i="2" s="1"/>
  <c r="M272" i="2"/>
  <c r="J241" i="2"/>
  <c r="AS245" i="2" s="1"/>
  <c r="AS253" i="2" s="1"/>
  <c r="N236" i="2"/>
  <c r="S245" i="2" s="1"/>
  <c r="S253" i="2" s="1"/>
  <c r="L272" i="2"/>
  <c r="I272" i="2"/>
  <c r="L235" i="2"/>
  <c r="K245" i="2" s="1"/>
  <c r="K253" i="2" s="1"/>
  <c r="I256" i="2"/>
  <c r="AA256" i="2"/>
  <c r="C255" i="2"/>
  <c r="H272" i="2"/>
  <c r="T272" i="2"/>
  <c r="X272" i="2"/>
  <c r="J239" i="2"/>
  <c r="AG245" i="2" s="1"/>
  <c r="AG253" i="2" s="1"/>
  <c r="M239" i="2"/>
  <c r="AJ245" i="2" s="1"/>
  <c r="AJ253" i="2" s="1"/>
  <c r="K236" i="2"/>
  <c r="P245" i="2" s="1"/>
  <c r="P253" i="2" s="1"/>
  <c r="O234" i="2"/>
  <c r="H245" i="2" s="1"/>
  <c r="H253" i="2" s="1"/>
  <c r="U256" i="2" l="1"/>
  <c r="O236" i="2"/>
  <c r="T245" i="2" s="1"/>
  <c r="T253" i="2" s="1"/>
  <c r="K237" i="2"/>
  <c r="V245" i="2" s="1"/>
  <c r="V253" i="2" s="1"/>
  <c r="M238" i="2"/>
  <c r="AD245" i="2" s="1"/>
  <c r="AD253" i="2" s="1"/>
  <c r="AS255" i="2"/>
  <c r="AM255" i="2"/>
  <c r="AM258" i="2" s="1"/>
  <c r="AN260" i="2" s="1"/>
  <c r="AN261" i="2" s="1"/>
  <c r="AB263" i="2" s="1"/>
  <c r="O266" i="2" s="1"/>
  <c r="P275" i="2" s="1"/>
  <c r="I255" i="2"/>
  <c r="I258" i="2" s="1"/>
  <c r="K260" i="2" s="1"/>
  <c r="K261" i="2" s="1"/>
  <c r="I263" i="2" s="1"/>
  <c r="AD266" i="2" s="1"/>
  <c r="AE275" i="2" s="1"/>
  <c r="AS256" i="2"/>
  <c r="AG255" i="2"/>
  <c r="AG256" i="2"/>
  <c r="C256" i="2"/>
  <c r="C258" i="2" s="1"/>
  <c r="D260" i="2" s="1"/>
  <c r="O255" i="2"/>
  <c r="I260" i="2" l="1"/>
  <c r="I261" i="2" s="1"/>
  <c r="G263" i="2" s="1"/>
  <c r="AE266" i="2" s="1"/>
  <c r="AF275" i="2" s="1"/>
  <c r="U255" i="2"/>
  <c r="U258" i="2" s="1"/>
  <c r="X260" i="2" s="1"/>
  <c r="X261" i="2" s="1"/>
  <c r="R263" i="2" s="1"/>
  <c r="L266" i="2" s="1"/>
  <c r="M275" i="2" s="1"/>
  <c r="O256" i="2"/>
  <c r="O258" i="2" s="1"/>
  <c r="P260" i="2" s="1"/>
  <c r="P261" i="2" s="1"/>
  <c r="L263" i="2" s="1"/>
  <c r="Q266" i="2" s="1"/>
  <c r="R275" i="2" s="1"/>
  <c r="AP260" i="2"/>
  <c r="AP261" i="2" s="1"/>
  <c r="AD263" i="2" s="1"/>
  <c r="H266" i="2" s="1"/>
  <c r="I275" i="2" s="1"/>
  <c r="AA255" i="2"/>
  <c r="AA258" i="2" s="1"/>
  <c r="AD260" i="2" s="1"/>
  <c r="AD261" i="2" s="1"/>
  <c r="V263" i="2" s="1"/>
  <c r="P266" i="2" s="1"/>
  <c r="Q275" i="2" s="1"/>
  <c r="AO260" i="2"/>
  <c r="AO261" i="2" s="1"/>
  <c r="AC263" i="2" s="1"/>
  <c r="AF266" i="2" s="1"/>
  <c r="AG275" i="2" s="1"/>
  <c r="AS258" i="2"/>
  <c r="AS260" i="2" s="1"/>
  <c r="AS261" i="2" s="1"/>
  <c r="AE263" i="2" s="1"/>
  <c r="X266" i="2" s="1"/>
  <c r="Y275" i="2" s="1"/>
  <c r="E260" i="2"/>
  <c r="E261" i="2" s="1"/>
  <c r="E263" i="2" s="1"/>
  <c r="V266" i="2" s="1"/>
  <c r="W275" i="2" s="1"/>
  <c r="J260" i="2"/>
  <c r="J261" i="2" s="1"/>
  <c r="H263" i="2" s="1"/>
  <c r="N266" i="2" s="1"/>
  <c r="O275" i="2" s="1"/>
  <c r="F260" i="2"/>
  <c r="F261" i="2" s="1"/>
  <c r="F263" i="2" s="1"/>
  <c r="W266" i="2" s="1"/>
  <c r="X275" i="2" s="1"/>
  <c r="AG258" i="2"/>
  <c r="AG260" i="2" s="1"/>
  <c r="AG261" i="2" s="1"/>
  <c r="W263" i="2" s="1"/>
  <c r="AH266" i="2" s="1"/>
  <c r="AI275" i="2" s="1"/>
  <c r="L260" i="2"/>
  <c r="L261" i="2" s="1"/>
  <c r="J263" i="2" s="1"/>
  <c r="S266" i="2" s="1"/>
  <c r="T275" i="2" s="1"/>
  <c r="C260" i="2"/>
  <c r="C261" i="2" s="1"/>
  <c r="C263" i="2" s="1"/>
  <c r="R266" i="2" s="1"/>
  <c r="S275" i="2" s="1"/>
  <c r="AM260" i="2"/>
  <c r="AM261" i="2" s="1"/>
  <c r="AA263" i="2" s="1"/>
  <c r="U266" i="2" s="1"/>
  <c r="V275" i="2" s="1"/>
  <c r="O279" i="2"/>
  <c r="P321" i="2" s="1"/>
  <c r="AD279" i="2"/>
  <c r="J290" i="2" s="1"/>
  <c r="AS294" i="2" s="1"/>
  <c r="AS302" i="2" s="1"/>
  <c r="D261" i="2"/>
  <c r="D263" i="2" s="1"/>
  <c r="I266" i="2" s="1"/>
  <c r="J275" i="2" s="1"/>
  <c r="V260" i="2" l="1"/>
  <c r="V261" i="2" s="1"/>
  <c r="P263" i="2" s="1"/>
  <c r="T266" i="2" s="1"/>
  <c r="U275" i="2" s="1"/>
  <c r="W260" i="2"/>
  <c r="W261" i="2" s="1"/>
  <c r="Q263" i="2" s="1"/>
  <c r="AG266" i="2" s="1"/>
  <c r="AH275" i="2" s="1"/>
  <c r="U260" i="2"/>
  <c r="U261" i="2" s="1"/>
  <c r="O263" i="2" s="1"/>
  <c r="G266" i="2" s="1"/>
  <c r="H275" i="2" s="1"/>
  <c r="AB260" i="2"/>
  <c r="AB261" i="2" s="1"/>
  <c r="T263" i="2" s="1"/>
  <c r="J266" i="2" s="1"/>
  <c r="K275" i="2" s="1"/>
  <c r="AI260" i="2"/>
  <c r="AI261" i="2" s="1"/>
  <c r="Y263" i="2" s="1"/>
  <c r="E266" i="2" s="1"/>
  <c r="F275" i="2" s="1"/>
  <c r="AC260" i="2"/>
  <c r="AC261" i="2" s="1"/>
  <c r="U263" i="2" s="1"/>
  <c r="Z266" i="2" s="1"/>
  <c r="AA275" i="2" s="1"/>
  <c r="P279" i="2"/>
  <c r="L286" i="2" s="1"/>
  <c r="W294" i="2" s="1"/>
  <c r="W302" i="2" s="1"/>
  <c r="AH260" i="2"/>
  <c r="AH261" i="2" s="1"/>
  <c r="X263" i="2" s="1"/>
  <c r="AC266" i="2" s="1"/>
  <c r="AD275" i="2" s="1"/>
  <c r="AA260" i="2"/>
  <c r="AA261" i="2" s="1"/>
  <c r="S263" i="2" s="1"/>
  <c r="D266" i="2" s="1"/>
  <c r="E275" i="2" s="1"/>
  <c r="R260" i="2"/>
  <c r="R261" i="2" s="1"/>
  <c r="N263" i="2" s="1"/>
  <c r="AB266" i="2" s="1"/>
  <c r="AC275" i="2" s="1"/>
  <c r="AT260" i="2"/>
  <c r="AT261" i="2" s="1"/>
  <c r="AF263" i="2" s="1"/>
  <c r="M266" i="2" s="1"/>
  <c r="N275" i="2" s="1"/>
  <c r="N289" i="2"/>
  <c r="AQ294" i="2" s="1"/>
  <c r="AQ302" i="2" s="1"/>
  <c r="AV260" i="2"/>
  <c r="AV261" i="2" s="1"/>
  <c r="AH263" i="2" s="1"/>
  <c r="AA266" i="2" s="1"/>
  <c r="AB275" i="2" s="1"/>
  <c r="K286" i="2"/>
  <c r="V294" i="2" s="1"/>
  <c r="V302" i="2" s="1"/>
  <c r="Q260" i="2"/>
  <c r="Q261" i="2" s="1"/>
  <c r="M263" i="2" s="1"/>
  <c r="Y266" i="2" s="1"/>
  <c r="Z275" i="2" s="1"/>
  <c r="AE321" i="2"/>
  <c r="O260" i="2"/>
  <c r="O261" i="2" s="1"/>
  <c r="K263" i="2" s="1"/>
  <c r="C266" i="2" s="1"/>
  <c r="D275" i="2" s="1"/>
  <c r="AU260" i="2"/>
  <c r="AU261" i="2" s="1"/>
  <c r="AG263" i="2" s="1"/>
  <c r="F266" i="2" s="1"/>
  <c r="G275" i="2" s="1"/>
  <c r="AJ260" i="2"/>
  <c r="AJ261" i="2" s="1"/>
  <c r="Z263" i="2" s="1"/>
  <c r="K266" i="2" s="1"/>
  <c r="L275" i="2" s="1"/>
  <c r="N279" i="2"/>
  <c r="O321" i="2" s="1"/>
  <c r="R279" i="2"/>
  <c r="N286" i="2" s="1"/>
  <c r="Y294" i="2" s="1"/>
  <c r="Y302" i="2" s="1"/>
  <c r="U279" i="2"/>
  <c r="M287" i="2" s="1"/>
  <c r="AD294" i="2" s="1"/>
  <c r="AD302" i="2" s="1"/>
  <c r="AE279" i="2"/>
  <c r="K290" i="2" s="1"/>
  <c r="AT294" i="2" s="1"/>
  <c r="AT302" i="2" s="1"/>
  <c r="AF279" i="2"/>
  <c r="AG321" i="2" s="1"/>
  <c r="X279" i="2"/>
  <c r="Y321" i="2" s="1"/>
  <c r="S279" i="2"/>
  <c r="K287" i="2" s="1"/>
  <c r="AB294" i="2" s="1"/>
  <c r="AB302" i="2" s="1"/>
  <c r="AH279" i="2"/>
  <c r="J283" i="2" s="1"/>
  <c r="C294" i="2" s="1"/>
  <c r="C302" i="2" s="1"/>
  <c r="L279" i="2"/>
  <c r="M321" i="2" s="1"/>
  <c r="I279" i="2"/>
  <c r="V279" i="2"/>
  <c r="N287" i="2" s="1"/>
  <c r="AE294" i="2" s="1"/>
  <c r="AE302" i="2" s="1"/>
  <c r="Q279" i="2"/>
  <c r="R321" i="2" s="1"/>
  <c r="H279" i="2"/>
  <c r="I321" i="2" s="1"/>
  <c r="W279" i="2"/>
  <c r="X321" i="2" s="1"/>
  <c r="O285" i="2"/>
  <c r="T294" i="2" s="1"/>
  <c r="T302" i="2" s="1"/>
  <c r="Z279" i="2" l="1"/>
  <c r="AA321" i="2" s="1"/>
  <c r="J279" i="2"/>
  <c r="J285" i="2" s="1"/>
  <c r="O294" i="2" s="1"/>
  <c r="O302" i="2" s="1"/>
  <c r="Q321" i="2"/>
  <c r="D279" i="2"/>
  <c r="AI321" i="2"/>
  <c r="L284" i="2"/>
  <c r="K294" i="2" s="1"/>
  <c r="K302" i="2" s="1"/>
  <c r="L288" i="2"/>
  <c r="AI294" i="2" s="1"/>
  <c r="AI302" i="2" s="1"/>
  <c r="T321" i="2"/>
  <c r="J286" i="2"/>
  <c r="U294" i="2" s="1"/>
  <c r="U302" i="2" s="1"/>
  <c r="W321" i="2"/>
  <c r="O289" i="2"/>
  <c r="AR294" i="2" s="1"/>
  <c r="AR302" i="2" s="1"/>
  <c r="S321" i="2"/>
  <c r="J288" i="2"/>
  <c r="AG294" i="2" s="1"/>
  <c r="AG302" i="2" s="1"/>
  <c r="O286" i="2"/>
  <c r="Z294" i="2" s="1"/>
  <c r="Z302" i="2" s="1"/>
  <c r="V321" i="2"/>
  <c r="M286" i="2"/>
  <c r="X294" i="2" s="1"/>
  <c r="X302" i="2" s="1"/>
  <c r="F279" i="2"/>
  <c r="J284" i="2" s="1"/>
  <c r="I294" i="2" s="1"/>
  <c r="I302" i="2" s="1"/>
  <c r="C279" i="2"/>
  <c r="D321" i="2" s="1"/>
  <c r="G279" i="2"/>
  <c r="H321" i="2" s="1"/>
  <c r="AB279" i="2"/>
  <c r="AC321" i="2" s="1"/>
  <c r="AC279" i="2"/>
  <c r="M289" i="2" s="1"/>
  <c r="AP294" i="2" s="1"/>
  <c r="AP302" i="2" s="1"/>
  <c r="AG279" i="2"/>
  <c r="M290" i="2" s="1"/>
  <c r="AV294" i="2" s="1"/>
  <c r="AV302" i="2" s="1"/>
  <c r="T279" i="2"/>
  <c r="L287" i="2" s="1"/>
  <c r="AC294" i="2" s="1"/>
  <c r="AC302" i="2" s="1"/>
  <c r="K279" i="2"/>
  <c r="O284" i="2" s="1"/>
  <c r="N294" i="2" s="1"/>
  <c r="N302" i="2" s="1"/>
  <c r="E279" i="2"/>
  <c r="F321" i="2" s="1"/>
  <c r="M279" i="2"/>
  <c r="M285" i="2" s="1"/>
  <c r="R294" i="2" s="1"/>
  <c r="R302" i="2" s="1"/>
  <c r="AA279" i="2"/>
  <c r="AB321" i="2" s="1"/>
  <c r="Y279" i="2"/>
  <c r="Z321" i="2" s="1"/>
  <c r="K288" i="2"/>
  <c r="AH294" i="2" s="1"/>
  <c r="AH302" i="2" s="1"/>
  <c r="O287" i="2"/>
  <c r="AF294" i="2" s="1"/>
  <c r="AF302" i="2" s="1"/>
  <c r="N285" i="2"/>
  <c r="S294" i="2" s="1"/>
  <c r="S302" i="2" s="1"/>
  <c r="L285" i="2"/>
  <c r="Q294" i="2" s="1"/>
  <c r="Q302" i="2" s="1"/>
  <c r="M284" i="2"/>
  <c r="L294" i="2" s="1"/>
  <c r="L302" i="2" s="1"/>
  <c r="J321" i="2"/>
  <c r="J287" i="2"/>
  <c r="AA294" i="2" s="1"/>
  <c r="AA302" i="2" s="1"/>
  <c r="L290" i="2"/>
  <c r="AU294" i="2" s="1"/>
  <c r="AU302" i="2" s="1"/>
  <c r="AF321" i="2"/>
  <c r="N290" i="2"/>
  <c r="AW294" i="2" s="1"/>
  <c r="AW302" i="2" s="1"/>
  <c r="K321" i="2" l="1"/>
  <c r="N284" i="2"/>
  <c r="M294" i="2" s="1"/>
  <c r="M302" i="2" s="1"/>
  <c r="J289" i="2"/>
  <c r="AM294" i="2" s="1"/>
  <c r="AM302" i="2" s="1"/>
  <c r="O283" i="2"/>
  <c r="H294" i="2" s="1"/>
  <c r="H302" i="2" s="1"/>
  <c r="AH321" i="2"/>
  <c r="O305" i="2"/>
  <c r="N288" i="2"/>
  <c r="AK294" i="2" s="1"/>
  <c r="AK302" i="2" s="1"/>
  <c r="M283" i="2"/>
  <c r="F294" i="2" s="1"/>
  <c r="F302" i="2" s="1"/>
  <c r="E321" i="2"/>
  <c r="L283" i="2"/>
  <c r="E294" i="2" s="1"/>
  <c r="E302" i="2" s="1"/>
  <c r="U321" i="2"/>
  <c r="K289" i="2"/>
  <c r="AN294" i="2" s="1"/>
  <c r="AN302" i="2" s="1"/>
  <c r="K284" i="2"/>
  <c r="J294" i="2" s="1"/>
  <c r="J302" i="2" s="1"/>
  <c r="U305" i="2"/>
  <c r="G321" i="2"/>
  <c r="U304" i="2"/>
  <c r="AD321" i="2"/>
  <c r="K285" i="2"/>
  <c r="P294" i="2" s="1"/>
  <c r="P302" i="2" s="1"/>
  <c r="M288" i="2"/>
  <c r="AJ294" i="2" s="1"/>
  <c r="AJ302" i="2" s="1"/>
  <c r="O288" i="2"/>
  <c r="AL294" i="2" s="1"/>
  <c r="AL302" i="2" s="1"/>
  <c r="AS304" i="2"/>
  <c r="AA305" i="2"/>
  <c r="I305" i="2"/>
  <c r="AA304" i="2"/>
  <c r="O290" i="2"/>
  <c r="AX294" i="2" s="1"/>
  <c r="AX302" i="2" s="1"/>
  <c r="K283" i="2"/>
  <c r="D294" i="2" s="1"/>
  <c r="D302" i="2" s="1"/>
  <c r="N321" i="2"/>
  <c r="L289" i="2"/>
  <c r="AO294" i="2" s="1"/>
  <c r="AO302" i="2" s="1"/>
  <c r="L321" i="2"/>
  <c r="N283" i="2"/>
  <c r="G294" i="2" s="1"/>
  <c r="G302" i="2" s="1"/>
  <c r="C305" i="2" l="1"/>
  <c r="AM305" i="2"/>
  <c r="U307" i="2"/>
  <c r="V309" i="2" s="1"/>
  <c r="V310" i="2" s="1"/>
  <c r="P312" i="2" s="1"/>
  <c r="T315" i="2" s="1"/>
  <c r="U324" i="2" s="1"/>
  <c r="I304" i="2"/>
  <c r="I307" i="2" s="1"/>
  <c r="K309" i="2" s="1"/>
  <c r="K310" i="2" s="1"/>
  <c r="I312" i="2" s="1"/>
  <c r="AD315" i="2" s="1"/>
  <c r="AE324" i="2" s="1"/>
  <c r="O304" i="2"/>
  <c r="O307" i="2" s="1"/>
  <c r="O309" i="2" s="1"/>
  <c r="O310" i="2" s="1"/>
  <c r="K312" i="2" s="1"/>
  <c r="C315" i="2" s="1"/>
  <c r="D324" i="2" s="1"/>
  <c r="AG305" i="2"/>
  <c r="AG304" i="2"/>
  <c r="C304" i="2"/>
  <c r="AM304" i="2"/>
  <c r="AS305" i="2"/>
  <c r="AS307" i="2" s="1"/>
  <c r="AU309" i="2" s="1"/>
  <c r="AA307" i="2"/>
  <c r="C307" i="2" l="1"/>
  <c r="C309" i="2" s="1"/>
  <c r="C310" i="2" s="1"/>
  <c r="C312" i="2" s="1"/>
  <c r="R315" i="2" s="1"/>
  <c r="S324" i="2" s="1"/>
  <c r="W309" i="2"/>
  <c r="W310" i="2" s="1"/>
  <c r="Q312" i="2" s="1"/>
  <c r="AG315" i="2" s="1"/>
  <c r="AH324" i="2" s="1"/>
  <c r="X309" i="2"/>
  <c r="X310" i="2" s="1"/>
  <c r="R312" i="2" s="1"/>
  <c r="L315" i="2" s="1"/>
  <c r="M324" i="2" s="1"/>
  <c r="I309" i="2"/>
  <c r="I310" i="2" s="1"/>
  <c r="G312" i="2" s="1"/>
  <c r="AE315" i="2" s="1"/>
  <c r="AF324" i="2" s="1"/>
  <c r="U309" i="2"/>
  <c r="U310" i="2" s="1"/>
  <c r="O312" i="2" s="1"/>
  <c r="G315" i="2" s="1"/>
  <c r="H324" i="2" s="1"/>
  <c r="L309" i="2"/>
  <c r="L310" i="2" s="1"/>
  <c r="J312" i="2" s="1"/>
  <c r="S315" i="2" s="1"/>
  <c r="T324" i="2" s="1"/>
  <c r="AM307" i="2"/>
  <c r="AP309" i="2" s="1"/>
  <c r="AP310" i="2" s="1"/>
  <c r="AD312" i="2" s="1"/>
  <c r="H315" i="2" s="1"/>
  <c r="I324" i="2" s="1"/>
  <c r="Q309" i="2"/>
  <c r="Q310" i="2" s="1"/>
  <c r="M312" i="2" s="1"/>
  <c r="Y315" i="2" s="1"/>
  <c r="Z324" i="2" s="1"/>
  <c r="J309" i="2"/>
  <c r="J310" i="2" s="1"/>
  <c r="H312" i="2" s="1"/>
  <c r="N315" i="2" s="1"/>
  <c r="O324" i="2" s="1"/>
  <c r="AG307" i="2"/>
  <c r="AG309" i="2" s="1"/>
  <c r="AG310" i="2" s="1"/>
  <c r="W312" i="2" s="1"/>
  <c r="AH315" i="2" s="1"/>
  <c r="AI324" i="2" s="1"/>
  <c r="AV309" i="2"/>
  <c r="AV310" i="2" s="1"/>
  <c r="AH312" i="2" s="1"/>
  <c r="AA315" i="2" s="1"/>
  <c r="AB324" i="2" s="1"/>
  <c r="R309" i="2"/>
  <c r="R310" i="2" s="1"/>
  <c r="N312" i="2" s="1"/>
  <c r="AB315" i="2" s="1"/>
  <c r="AC324" i="2" s="1"/>
  <c r="P309" i="2"/>
  <c r="P310" i="2" s="1"/>
  <c r="L312" i="2" s="1"/>
  <c r="Q315" i="2" s="1"/>
  <c r="R324" i="2" s="1"/>
  <c r="AS309" i="2"/>
  <c r="AS310" i="2" s="1"/>
  <c r="AE312" i="2" s="1"/>
  <c r="X315" i="2" s="1"/>
  <c r="Y324" i="2" s="1"/>
  <c r="C328" i="2"/>
  <c r="D370" i="2" s="1"/>
  <c r="T328" i="2"/>
  <c r="L336" i="2" s="1"/>
  <c r="AC343" i="2" s="1"/>
  <c r="AC351" i="2" s="1"/>
  <c r="AD328" i="2"/>
  <c r="J339" i="2" s="1"/>
  <c r="AS343" i="2" s="1"/>
  <c r="AS351" i="2" s="1"/>
  <c r="AU310" i="2"/>
  <c r="AG312" i="2" s="1"/>
  <c r="F315" i="2" s="1"/>
  <c r="G324" i="2" s="1"/>
  <c r="AD309" i="2"/>
  <c r="AC309" i="2"/>
  <c r="AB309" i="2"/>
  <c r="AA309" i="2"/>
  <c r="AT309" i="2"/>
  <c r="F309" i="2" l="1"/>
  <c r="F310" i="2" s="1"/>
  <c r="F312" i="2" s="1"/>
  <c r="W315" i="2" s="1"/>
  <c r="X324" i="2" s="1"/>
  <c r="D309" i="2"/>
  <c r="D310" i="2" s="1"/>
  <c r="D312" i="2" s="1"/>
  <c r="I315" i="2" s="1"/>
  <c r="J324" i="2" s="1"/>
  <c r="E309" i="2"/>
  <c r="E310" i="2" s="1"/>
  <c r="E312" i="2" s="1"/>
  <c r="V315" i="2" s="1"/>
  <c r="W324" i="2" s="1"/>
  <c r="AO309" i="2"/>
  <c r="AO310" i="2" s="1"/>
  <c r="AC312" i="2" s="1"/>
  <c r="AF315" i="2" s="1"/>
  <c r="AG324" i="2" s="1"/>
  <c r="AM309" i="2"/>
  <c r="AM310" i="2" s="1"/>
  <c r="AA312" i="2" s="1"/>
  <c r="U315" i="2" s="1"/>
  <c r="V324" i="2" s="1"/>
  <c r="AN309" i="2"/>
  <c r="AN310" i="2" s="1"/>
  <c r="AB312" i="2" s="1"/>
  <c r="O315" i="2" s="1"/>
  <c r="P324" i="2" s="1"/>
  <c r="AI309" i="2"/>
  <c r="AI310" i="2" s="1"/>
  <c r="Y312" i="2" s="1"/>
  <c r="E315" i="2" s="1"/>
  <c r="F324" i="2" s="1"/>
  <c r="AJ309" i="2"/>
  <c r="AJ310" i="2" s="1"/>
  <c r="Z312" i="2" s="1"/>
  <c r="K315" i="2" s="1"/>
  <c r="L324" i="2" s="1"/>
  <c r="AH309" i="2"/>
  <c r="AH310" i="2" s="1"/>
  <c r="X312" i="2" s="1"/>
  <c r="AC315" i="2" s="1"/>
  <c r="AD324" i="2" s="1"/>
  <c r="K332" i="2"/>
  <c r="D343" i="2" s="1"/>
  <c r="D351" i="2" s="1"/>
  <c r="N338" i="2"/>
  <c r="AQ343" i="2" s="1"/>
  <c r="AQ351" i="2" s="1"/>
  <c r="AE370" i="2"/>
  <c r="L328" i="2"/>
  <c r="M370" i="2" s="1"/>
  <c r="F328" i="2"/>
  <c r="N328" i="2"/>
  <c r="N334" i="2" s="1"/>
  <c r="S343" i="2" s="1"/>
  <c r="S351" i="2" s="1"/>
  <c r="AG328" i="2"/>
  <c r="M339" i="2" s="1"/>
  <c r="AV343" i="2" s="1"/>
  <c r="AV351" i="2" s="1"/>
  <c r="H328" i="2"/>
  <c r="AE328" i="2"/>
  <c r="O338" i="2" s="1"/>
  <c r="AR343" i="2" s="1"/>
  <c r="AR351" i="2" s="1"/>
  <c r="AB328" i="2"/>
  <c r="AC370" i="2" s="1"/>
  <c r="AH328" i="2"/>
  <c r="N339" i="2" s="1"/>
  <c r="AW343" i="2" s="1"/>
  <c r="AW351" i="2" s="1"/>
  <c r="R328" i="2"/>
  <c r="J336" i="2" s="1"/>
  <c r="AA343" i="2" s="1"/>
  <c r="AA351" i="2" s="1"/>
  <c r="Q328" i="2"/>
  <c r="G328" i="2"/>
  <c r="H370" i="2" s="1"/>
  <c r="AA328" i="2"/>
  <c r="O337" i="2" s="1"/>
  <c r="AL343" i="2" s="1"/>
  <c r="AL351" i="2" s="1"/>
  <c r="Y328" i="2"/>
  <c r="M337" i="2" s="1"/>
  <c r="AJ343" i="2" s="1"/>
  <c r="AJ351" i="2" s="1"/>
  <c r="S328" i="2"/>
  <c r="K336" i="2" s="1"/>
  <c r="AB343" i="2" s="1"/>
  <c r="AB351" i="2" s="1"/>
  <c r="X328" i="2"/>
  <c r="L337" i="2" s="1"/>
  <c r="AI343" i="2" s="1"/>
  <c r="AI351" i="2" s="1"/>
  <c r="AA310" i="2"/>
  <c r="S312" i="2" s="1"/>
  <c r="D315" i="2" s="1"/>
  <c r="E324" i="2" s="1"/>
  <c r="AT310" i="2"/>
  <c r="AF312" i="2" s="1"/>
  <c r="M315" i="2" s="1"/>
  <c r="N324" i="2" s="1"/>
  <c r="AB310" i="2"/>
  <c r="T312" i="2" s="1"/>
  <c r="J315" i="2" s="1"/>
  <c r="K324" i="2" s="1"/>
  <c r="U370" i="2"/>
  <c r="O339" i="2"/>
  <c r="AX343" i="2" s="1"/>
  <c r="AX351" i="2" s="1"/>
  <c r="AC310" i="2"/>
  <c r="U312" i="2" s="1"/>
  <c r="Z315" i="2" s="1"/>
  <c r="AA324" i="2" s="1"/>
  <c r="AD310" i="2"/>
  <c r="V312" i="2" s="1"/>
  <c r="P315" i="2" s="1"/>
  <c r="Q324" i="2" s="1"/>
  <c r="AF328" i="2" l="1"/>
  <c r="L339" i="2" s="1"/>
  <c r="AU343" i="2" s="1"/>
  <c r="AU351" i="2" s="1"/>
  <c r="O328" i="2"/>
  <c r="P370" i="2" s="1"/>
  <c r="U328" i="2"/>
  <c r="M336" i="2" s="1"/>
  <c r="AD343" i="2" s="1"/>
  <c r="AD351" i="2" s="1"/>
  <c r="J335" i="2"/>
  <c r="U343" i="2" s="1"/>
  <c r="U351" i="2" s="1"/>
  <c r="Y370" i="2"/>
  <c r="O370" i="2"/>
  <c r="L334" i="2"/>
  <c r="Q343" i="2" s="1"/>
  <c r="Q351" i="2" s="1"/>
  <c r="O332" i="2"/>
  <c r="H343" i="2" s="1"/>
  <c r="H351" i="2" s="1"/>
  <c r="J332" i="2"/>
  <c r="C343" i="2" s="1"/>
  <c r="C351" i="2" s="1"/>
  <c r="K338" i="2"/>
  <c r="AN343" i="2" s="1"/>
  <c r="AN351" i="2" s="1"/>
  <c r="K333" i="2"/>
  <c r="J343" i="2" s="1"/>
  <c r="J351" i="2" s="1"/>
  <c r="AI370" i="2"/>
  <c r="N335" i="2"/>
  <c r="Y343" i="2" s="1"/>
  <c r="Y351" i="2" s="1"/>
  <c r="AB370" i="2"/>
  <c r="AH370" i="2"/>
  <c r="L338" i="2"/>
  <c r="AO343" i="2" s="1"/>
  <c r="AO351" i="2" s="1"/>
  <c r="S370" i="2"/>
  <c r="V328" i="2"/>
  <c r="W370" i="2" s="1"/>
  <c r="P328" i="2"/>
  <c r="E328" i="2"/>
  <c r="M332" i="2" s="1"/>
  <c r="F343" i="2" s="1"/>
  <c r="F351" i="2" s="1"/>
  <c r="K328" i="2"/>
  <c r="K334" i="2" s="1"/>
  <c r="P343" i="2" s="1"/>
  <c r="P351" i="2" s="1"/>
  <c r="Z328" i="2"/>
  <c r="J328" i="2"/>
  <c r="D328" i="2"/>
  <c r="W328" i="2"/>
  <c r="X370" i="2" s="1"/>
  <c r="AC328" i="2"/>
  <c r="M338" i="2" s="1"/>
  <c r="AP343" i="2" s="1"/>
  <c r="AP351" i="2" s="1"/>
  <c r="M328" i="2"/>
  <c r="I328" i="2"/>
  <c r="J370" i="2" s="1"/>
  <c r="AS354" i="2"/>
  <c r="I370" i="2"/>
  <c r="L333" i="2"/>
  <c r="K343" i="2" s="1"/>
  <c r="K351" i="2" s="1"/>
  <c r="Z370" i="2"/>
  <c r="R370" i="2"/>
  <c r="M335" i="2"/>
  <c r="X343" i="2" s="1"/>
  <c r="X351" i="2" s="1"/>
  <c r="K339" i="2"/>
  <c r="AT343" i="2" s="1"/>
  <c r="AT351" i="2" s="1"/>
  <c r="G370" i="2"/>
  <c r="J333" i="2"/>
  <c r="I343" i="2" s="1"/>
  <c r="I351" i="2" s="1"/>
  <c r="N332" i="2"/>
  <c r="G343" i="2" s="1"/>
  <c r="G351" i="2" s="1"/>
  <c r="O335" i="2"/>
  <c r="Z343" i="2" s="1"/>
  <c r="Z351" i="2" s="1"/>
  <c r="AF370" i="2"/>
  <c r="T370" i="2"/>
  <c r="O334" i="2" l="1"/>
  <c r="T343" i="2" s="1"/>
  <c r="T351" i="2" s="1"/>
  <c r="K335" i="2"/>
  <c r="V343" i="2" s="1"/>
  <c r="V351" i="2" s="1"/>
  <c r="AG370" i="2"/>
  <c r="V370" i="2"/>
  <c r="J337" i="2"/>
  <c r="AG343" i="2" s="1"/>
  <c r="AG351" i="2" s="1"/>
  <c r="C354" i="2"/>
  <c r="L370" i="2"/>
  <c r="AD370" i="2"/>
  <c r="N336" i="2"/>
  <c r="AE343" i="2" s="1"/>
  <c r="AE351" i="2" s="1"/>
  <c r="U354" i="2"/>
  <c r="AS353" i="2"/>
  <c r="AS356" i="2" s="1"/>
  <c r="AV358" i="2" s="1"/>
  <c r="AM353" i="2"/>
  <c r="K337" i="2"/>
  <c r="AH343" i="2" s="1"/>
  <c r="AH351" i="2" s="1"/>
  <c r="L332" i="2"/>
  <c r="E343" i="2" s="1"/>
  <c r="E351" i="2" s="1"/>
  <c r="E370" i="2"/>
  <c r="F370" i="2"/>
  <c r="O336" i="2"/>
  <c r="AF343" i="2" s="1"/>
  <c r="AF351" i="2" s="1"/>
  <c r="N370" i="2"/>
  <c r="M334" i="2"/>
  <c r="R343" i="2" s="1"/>
  <c r="R351" i="2" s="1"/>
  <c r="N333" i="2"/>
  <c r="M343" i="2" s="1"/>
  <c r="M351" i="2" s="1"/>
  <c r="K370" i="2"/>
  <c r="J334" i="2"/>
  <c r="O343" i="2" s="1"/>
  <c r="O351" i="2" s="1"/>
  <c r="L335" i="2"/>
  <c r="W343" i="2" s="1"/>
  <c r="W351" i="2" s="1"/>
  <c r="Q370" i="2"/>
  <c r="O333" i="2"/>
  <c r="N343" i="2" s="1"/>
  <c r="N351" i="2" s="1"/>
  <c r="M333" i="2"/>
  <c r="L343" i="2" s="1"/>
  <c r="L351" i="2" s="1"/>
  <c r="J338" i="2"/>
  <c r="AM343" i="2" s="1"/>
  <c r="AM351" i="2" s="1"/>
  <c r="N337" i="2"/>
  <c r="AK343" i="2" s="1"/>
  <c r="AK351" i="2" s="1"/>
  <c r="AA370" i="2"/>
  <c r="AG354" i="2" l="1"/>
  <c r="AU358" i="2"/>
  <c r="AU359" i="2" s="1"/>
  <c r="AG361" i="2" s="1"/>
  <c r="F364" i="2" s="1"/>
  <c r="G373" i="2" s="1"/>
  <c r="AA353" i="2"/>
  <c r="AS358" i="2"/>
  <c r="AS359" i="2" s="1"/>
  <c r="AE361" i="2" s="1"/>
  <c r="X364" i="2" s="1"/>
  <c r="Y373" i="2" s="1"/>
  <c r="I353" i="2"/>
  <c r="O354" i="2"/>
  <c r="C353" i="2"/>
  <c r="C356" i="2" s="1"/>
  <c r="D358" i="2" s="1"/>
  <c r="AM354" i="2"/>
  <c r="AM356" i="2" s="1"/>
  <c r="U353" i="2"/>
  <c r="U356" i="2" s="1"/>
  <c r="U358" i="2" s="1"/>
  <c r="O353" i="2"/>
  <c r="I354" i="2"/>
  <c r="AA354" i="2"/>
  <c r="AG353" i="2"/>
  <c r="AV359" i="2"/>
  <c r="AH361" i="2" s="1"/>
  <c r="AA364" i="2" s="1"/>
  <c r="AB373" i="2" s="1"/>
  <c r="AT358" i="2"/>
  <c r="AG356" i="2" l="1"/>
  <c r="AG358" i="2" s="1"/>
  <c r="AG359" i="2" s="1"/>
  <c r="W361" i="2" s="1"/>
  <c r="AH364" i="2" s="1"/>
  <c r="AI373" i="2" s="1"/>
  <c r="AA356" i="2"/>
  <c r="AD358" i="2" s="1"/>
  <c r="AD359" i="2" s="1"/>
  <c r="V361" i="2" s="1"/>
  <c r="P364" i="2" s="1"/>
  <c r="Q373" i="2" s="1"/>
  <c r="C358" i="2"/>
  <c r="C359" i="2" s="1"/>
  <c r="C361" i="2" s="1"/>
  <c r="R364" i="2" s="1"/>
  <c r="S373" i="2" s="1"/>
  <c r="E358" i="2"/>
  <c r="E359" i="2" s="1"/>
  <c r="E361" i="2" s="1"/>
  <c r="V364" i="2" s="1"/>
  <c r="W373" i="2" s="1"/>
  <c r="I356" i="2"/>
  <c r="J358" i="2" s="1"/>
  <c r="J359" i="2" s="1"/>
  <c r="H361" i="2" s="1"/>
  <c r="N364" i="2" s="1"/>
  <c r="O373" i="2" s="1"/>
  <c r="F358" i="2"/>
  <c r="F359" i="2" s="1"/>
  <c r="F361" i="2" s="1"/>
  <c r="W364" i="2" s="1"/>
  <c r="X373" i="2" s="1"/>
  <c r="X377" i="2"/>
  <c r="Y419" i="2" s="1"/>
  <c r="F377" i="2"/>
  <c r="G419" i="2" s="1"/>
  <c r="AA377" i="2"/>
  <c r="X358" i="2"/>
  <c r="V358" i="2"/>
  <c r="AM358" i="2"/>
  <c r="AP358" i="2"/>
  <c r="AO358" i="2"/>
  <c r="AN358" i="2"/>
  <c r="AT359" i="2"/>
  <c r="AF361" i="2" s="1"/>
  <c r="M364" i="2" s="1"/>
  <c r="N373" i="2" s="1"/>
  <c r="D359" i="2"/>
  <c r="D361" i="2" s="1"/>
  <c r="I364" i="2" s="1"/>
  <c r="J373" i="2" s="1"/>
  <c r="W358" i="2"/>
  <c r="O356" i="2"/>
  <c r="U359" i="2"/>
  <c r="O361" i="2" s="1"/>
  <c r="G364" i="2" s="1"/>
  <c r="H373" i="2" s="1"/>
  <c r="AH358" i="2" l="1"/>
  <c r="AH359" i="2" s="1"/>
  <c r="X361" i="2" s="1"/>
  <c r="AC364" i="2" s="1"/>
  <c r="AD373" i="2" s="1"/>
  <c r="AI358" i="2"/>
  <c r="AJ358" i="2"/>
  <c r="AA358" i="2"/>
  <c r="AA359" i="2" s="1"/>
  <c r="S361" i="2" s="1"/>
  <c r="D364" i="2" s="1"/>
  <c r="E373" i="2" s="1"/>
  <c r="AC358" i="2"/>
  <c r="AC359" i="2" s="1"/>
  <c r="U361" i="2" s="1"/>
  <c r="Z364" i="2" s="1"/>
  <c r="AA373" i="2" s="1"/>
  <c r="AB358" i="2"/>
  <c r="AB359" i="2" s="1"/>
  <c r="T361" i="2" s="1"/>
  <c r="J364" i="2" s="1"/>
  <c r="K373" i="2" s="1"/>
  <c r="K358" i="2"/>
  <c r="K359" i="2" s="1"/>
  <c r="I361" i="2" s="1"/>
  <c r="AD364" i="2" s="1"/>
  <c r="AE373" i="2" s="1"/>
  <c r="I358" i="2"/>
  <c r="I359" i="2" s="1"/>
  <c r="G361" i="2" s="1"/>
  <c r="AE364" i="2" s="1"/>
  <c r="AF373" i="2" s="1"/>
  <c r="L386" i="2"/>
  <c r="AI392" i="2" s="1"/>
  <c r="AI400" i="2" s="1"/>
  <c r="L358" i="2"/>
  <c r="L359" i="2" s="1"/>
  <c r="J361" i="2" s="1"/>
  <c r="S364" i="2" s="1"/>
  <c r="T373" i="2" s="1"/>
  <c r="R377" i="2"/>
  <c r="N384" i="2" s="1"/>
  <c r="Y392" i="2" s="1"/>
  <c r="Y400" i="2" s="1"/>
  <c r="G377" i="2"/>
  <c r="I377" i="2"/>
  <c r="V377" i="2"/>
  <c r="J386" i="2" s="1"/>
  <c r="AG392" i="2" s="1"/>
  <c r="AG400" i="2" s="1"/>
  <c r="W377" i="2"/>
  <c r="X419" i="2" s="1"/>
  <c r="AH377" i="2"/>
  <c r="J381" i="2" s="1"/>
  <c r="C392" i="2" s="1"/>
  <c r="C400" i="2" s="1"/>
  <c r="M377" i="2"/>
  <c r="P377" i="2"/>
  <c r="N377" i="2"/>
  <c r="O419" i="2" s="1"/>
  <c r="AO359" i="2"/>
  <c r="AC361" i="2" s="1"/>
  <c r="AF364" i="2" s="1"/>
  <c r="AG373" i="2" s="1"/>
  <c r="AI359" i="2"/>
  <c r="Y361" i="2" s="1"/>
  <c r="E364" i="2" s="1"/>
  <c r="F373" i="2" s="1"/>
  <c r="AP359" i="2"/>
  <c r="AD361" i="2" s="1"/>
  <c r="H364" i="2" s="1"/>
  <c r="I373" i="2" s="1"/>
  <c r="O358" i="2"/>
  <c r="Q358" i="2"/>
  <c r="R358" i="2"/>
  <c r="P358" i="2"/>
  <c r="AM359" i="2"/>
  <c r="AA361" i="2" s="1"/>
  <c r="U364" i="2" s="1"/>
  <c r="V373" i="2" s="1"/>
  <c r="J382" i="2"/>
  <c r="I392" i="2" s="1"/>
  <c r="I400" i="2" s="1"/>
  <c r="N381" i="2"/>
  <c r="G392" i="2" s="1"/>
  <c r="G400" i="2" s="1"/>
  <c r="AJ359" i="2"/>
  <c r="Z361" i="2" s="1"/>
  <c r="K364" i="2" s="1"/>
  <c r="L373" i="2" s="1"/>
  <c r="W359" i="2"/>
  <c r="Q361" i="2" s="1"/>
  <c r="AG364" i="2" s="1"/>
  <c r="AH373" i="2" s="1"/>
  <c r="AN359" i="2"/>
  <c r="AB361" i="2" s="1"/>
  <c r="O364" i="2" s="1"/>
  <c r="P373" i="2" s="1"/>
  <c r="V359" i="2"/>
  <c r="P361" i="2" s="1"/>
  <c r="T364" i="2" s="1"/>
  <c r="U373" i="2" s="1"/>
  <c r="AB419" i="2"/>
  <c r="K387" i="2"/>
  <c r="AN392" i="2" s="1"/>
  <c r="AN400" i="2" s="1"/>
  <c r="O386" i="2"/>
  <c r="AL392" i="2" s="1"/>
  <c r="AL400" i="2" s="1"/>
  <c r="X359" i="2"/>
  <c r="R361" i="2" s="1"/>
  <c r="L364" i="2" s="1"/>
  <c r="M373" i="2" s="1"/>
  <c r="D377" i="2" l="1"/>
  <c r="E419" i="2" s="1"/>
  <c r="N385" i="2"/>
  <c r="AE392" i="2" s="1"/>
  <c r="AE400" i="2" s="1"/>
  <c r="J377" i="2"/>
  <c r="S419" i="2"/>
  <c r="J385" i="2"/>
  <c r="AA392" i="2" s="1"/>
  <c r="AA400" i="2" s="1"/>
  <c r="J384" i="2"/>
  <c r="U392" i="2" s="1"/>
  <c r="U400" i="2" s="1"/>
  <c r="N383" i="2"/>
  <c r="S392" i="2" s="1"/>
  <c r="S400" i="2" s="1"/>
  <c r="O385" i="2"/>
  <c r="AF392" i="2" s="1"/>
  <c r="AF400" i="2" s="1"/>
  <c r="K386" i="2"/>
  <c r="AH392" i="2" s="1"/>
  <c r="AH400" i="2" s="1"/>
  <c r="W419" i="2"/>
  <c r="K377" i="2"/>
  <c r="L419" i="2" s="1"/>
  <c r="U377" i="2"/>
  <c r="H377" i="2"/>
  <c r="T377" i="2"/>
  <c r="S377" i="2"/>
  <c r="T419" i="2" s="1"/>
  <c r="AC377" i="2"/>
  <c r="O377" i="2"/>
  <c r="Z377" i="2"/>
  <c r="AG377" i="2"/>
  <c r="AF377" i="2"/>
  <c r="L377" i="2"/>
  <c r="AE377" i="2"/>
  <c r="AF419" i="2" s="1"/>
  <c r="E377" i="2"/>
  <c r="M381" i="2" s="1"/>
  <c r="F392" i="2" s="1"/>
  <c r="F400" i="2" s="1"/>
  <c r="AD377" i="2"/>
  <c r="AE419" i="2" s="1"/>
  <c r="AG403" i="2"/>
  <c r="P359" i="2"/>
  <c r="L361" i="2" s="1"/>
  <c r="Q364" i="2" s="1"/>
  <c r="R373" i="2" s="1"/>
  <c r="O381" i="2"/>
  <c r="H392" i="2" s="1"/>
  <c r="H400" i="2" s="1"/>
  <c r="H419" i="2"/>
  <c r="K382" i="2"/>
  <c r="J392" i="2" s="1"/>
  <c r="J400" i="2" s="1"/>
  <c r="O359" i="2"/>
  <c r="K361" i="2" s="1"/>
  <c r="C364" i="2" s="1"/>
  <c r="D373" i="2" s="1"/>
  <c r="J419" i="2"/>
  <c r="M382" i="2"/>
  <c r="L392" i="2" s="1"/>
  <c r="L400" i="2" s="1"/>
  <c r="N388" i="2"/>
  <c r="AW392" i="2" s="1"/>
  <c r="AW400" i="2" s="1"/>
  <c r="AI419" i="2"/>
  <c r="R359" i="2"/>
  <c r="N361" i="2" s="1"/>
  <c r="AB364" i="2" s="1"/>
  <c r="AC373" i="2" s="1"/>
  <c r="L384" i="2"/>
  <c r="W392" i="2" s="1"/>
  <c r="W400" i="2" s="1"/>
  <c r="Q419" i="2"/>
  <c r="Q359" i="2"/>
  <c r="M361" i="2" s="1"/>
  <c r="Y364" i="2" s="1"/>
  <c r="Z373" i="2" s="1"/>
  <c r="M383" i="2"/>
  <c r="R392" i="2" s="1"/>
  <c r="R400" i="2" s="1"/>
  <c r="N419" i="2"/>
  <c r="L381" i="2" l="1"/>
  <c r="E392" i="2" s="1"/>
  <c r="E400" i="2" s="1"/>
  <c r="N387" i="2"/>
  <c r="AQ392" i="2" s="1"/>
  <c r="AQ400" i="2" s="1"/>
  <c r="K419" i="2"/>
  <c r="J383" i="2"/>
  <c r="O392" i="2" s="1"/>
  <c r="O400" i="2" s="1"/>
  <c r="N382" i="2"/>
  <c r="M392" i="2" s="1"/>
  <c r="M400" i="2" s="1"/>
  <c r="J388" i="2"/>
  <c r="AS392" i="2" s="1"/>
  <c r="AS400" i="2" s="1"/>
  <c r="AA403" i="2"/>
  <c r="K383" i="2"/>
  <c r="P392" i="2" s="1"/>
  <c r="P400" i="2" s="1"/>
  <c r="O387" i="2"/>
  <c r="AR392" i="2" s="1"/>
  <c r="AR400" i="2" s="1"/>
  <c r="AB377" i="2"/>
  <c r="Y377" i="2"/>
  <c r="C377" i="2"/>
  <c r="Q377" i="2"/>
  <c r="C403" i="2"/>
  <c r="AH419" i="2"/>
  <c r="M388" i="2"/>
  <c r="AV392" i="2" s="1"/>
  <c r="AV400" i="2" s="1"/>
  <c r="O382" i="2"/>
  <c r="N392" i="2" s="1"/>
  <c r="N400" i="2" s="1"/>
  <c r="AA419" i="2"/>
  <c r="J387" i="2"/>
  <c r="AM392" i="2" s="1"/>
  <c r="AM400" i="2" s="1"/>
  <c r="N386" i="2"/>
  <c r="AK392" i="2" s="1"/>
  <c r="AK400" i="2" s="1"/>
  <c r="U419" i="2"/>
  <c r="L385" i="2"/>
  <c r="AC392" i="2" s="1"/>
  <c r="AC400" i="2" s="1"/>
  <c r="K385" i="2"/>
  <c r="AB392" i="2" s="1"/>
  <c r="AB400" i="2" s="1"/>
  <c r="K388" i="2"/>
  <c r="AT392" i="2" s="1"/>
  <c r="AT400" i="2" s="1"/>
  <c r="M419" i="2"/>
  <c r="L383" i="2"/>
  <c r="Q392" i="2" s="1"/>
  <c r="Q400" i="2" s="1"/>
  <c r="K384" i="2"/>
  <c r="V392" i="2" s="1"/>
  <c r="V400" i="2" s="1"/>
  <c r="P419" i="2"/>
  <c r="O383" i="2"/>
  <c r="T392" i="2" s="1"/>
  <c r="T400" i="2" s="1"/>
  <c r="I419" i="2"/>
  <c r="L382" i="2"/>
  <c r="K392" i="2" s="1"/>
  <c r="K400" i="2" s="1"/>
  <c r="O384" i="2"/>
  <c r="Z392" i="2" s="1"/>
  <c r="Z400" i="2" s="1"/>
  <c r="F419" i="2"/>
  <c r="L388" i="2"/>
  <c r="AU392" i="2" s="1"/>
  <c r="AU400" i="2" s="1"/>
  <c r="AG419" i="2"/>
  <c r="M387" i="2"/>
  <c r="AP392" i="2" s="1"/>
  <c r="AP400" i="2" s="1"/>
  <c r="AD419" i="2"/>
  <c r="V419" i="2"/>
  <c r="M385" i="2"/>
  <c r="AD392" i="2" s="1"/>
  <c r="AD400" i="2" s="1"/>
  <c r="AS402" i="2" l="1"/>
  <c r="AM403" i="2"/>
  <c r="O402" i="2"/>
  <c r="U403" i="2"/>
  <c r="I402" i="2"/>
  <c r="AA402" i="2"/>
  <c r="AA405" i="2" s="1"/>
  <c r="AB407" i="2" s="1"/>
  <c r="O403" i="2"/>
  <c r="I403" i="2"/>
  <c r="M386" i="2"/>
  <c r="AJ392" i="2" s="1"/>
  <c r="AJ400" i="2" s="1"/>
  <c r="Z419" i="2"/>
  <c r="O388" i="2"/>
  <c r="AX392" i="2" s="1"/>
  <c r="AX400" i="2" s="1"/>
  <c r="K381" i="2"/>
  <c r="D392" i="2" s="1"/>
  <c r="D400" i="2" s="1"/>
  <c r="D419" i="2"/>
  <c r="R419" i="2"/>
  <c r="M384" i="2"/>
  <c r="X392" i="2" s="1"/>
  <c r="X400" i="2" s="1"/>
  <c r="AC419" i="2"/>
  <c r="L387" i="2"/>
  <c r="AO392" i="2" s="1"/>
  <c r="AO400" i="2" s="1"/>
  <c r="AD407" i="2" l="1"/>
  <c r="AD408" i="2" s="1"/>
  <c r="V410" i="2" s="1"/>
  <c r="P413" i="2" s="1"/>
  <c r="Q422" i="2" s="1"/>
  <c r="AA407" i="2"/>
  <c r="AA408" i="2" s="1"/>
  <c r="S410" i="2" s="1"/>
  <c r="D413" i="2" s="1"/>
  <c r="E422" i="2" s="1"/>
  <c r="I405" i="2"/>
  <c r="K407" i="2" s="1"/>
  <c r="K408" i="2" s="1"/>
  <c r="I410" i="2" s="1"/>
  <c r="AD413" i="2" s="1"/>
  <c r="AE422" i="2" s="1"/>
  <c r="U402" i="2"/>
  <c r="U405" i="2" s="1"/>
  <c r="AS403" i="2"/>
  <c r="AS405" i="2" s="1"/>
  <c r="AV407" i="2" s="1"/>
  <c r="AM402" i="2"/>
  <c r="AM405" i="2" s="1"/>
  <c r="AN407" i="2" s="1"/>
  <c r="AG402" i="2"/>
  <c r="AG405" i="2" s="1"/>
  <c r="C402" i="2"/>
  <c r="C405" i="2" s="1"/>
  <c r="O405" i="2"/>
  <c r="AB408" i="2"/>
  <c r="T410" i="2" s="1"/>
  <c r="J413" i="2" s="1"/>
  <c r="K422" i="2" s="1"/>
  <c r="AC407" i="2"/>
  <c r="AM407" i="2" l="1"/>
  <c r="AM408" i="2" s="1"/>
  <c r="AA410" i="2" s="1"/>
  <c r="U413" i="2" s="1"/>
  <c r="V422" i="2" s="1"/>
  <c r="AU407" i="2"/>
  <c r="AU408" i="2" s="1"/>
  <c r="AG410" i="2" s="1"/>
  <c r="F413" i="2" s="1"/>
  <c r="G422" i="2" s="1"/>
  <c r="L407" i="2"/>
  <c r="L408" i="2" s="1"/>
  <c r="J410" i="2" s="1"/>
  <c r="S413" i="2" s="1"/>
  <c r="T422" i="2" s="1"/>
  <c r="J407" i="2"/>
  <c r="J408" i="2" s="1"/>
  <c r="H410" i="2" s="1"/>
  <c r="N413" i="2" s="1"/>
  <c r="O422" i="2" s="1"/>
  <c r="I407" i="2"/>
  <c r="I408" i="2" s="1"/>
  <c r="G410" i="2" s="1"/>
  <c r="AE413" i="2" s="1"/>
  <c r="AF422" i="2" s="1"/>
  <c r="AS407" i="2"/>
  <c r="AS408" i="2" s="1"/>
  <c r="AE410" i="2" s="1"/>
  <c r="X413" i="2" s="1"/>
  <c r="Y422" i="2" s="1"/>
  <c r="AT407" i="2"/>
  <c r="AT408" i="2" s="1"/>
  <c r="AF410" i="2" s="1"/>
  <c r="M413" i="2" s="1"/>
  <c r="N422" i="2" s="1"/>
  <c r="J426" i="2"/>
  <c r="P426" i="2"/>
  <c r="L433" i="2" s="1"/>
  <c r="W441" i="2" s="1"/>
  <c r="W449" i="2" s="1"/>
  <c r="AD426" i="2"/>
  <c r="AE468" i="2" s="1"/>
  <c r="D426" i="2"/>
  <c r="E468" i="2" s="1"/>
  <c r="AG407" i="2"/>
  <c r="AJ407" i="2"/>
  <c r="AH407" i="2"/>
  <c r="AI407" i="2"/>
  <c r="AC408" i="2"/>
  <c r="U410" i="2" s="1"/>
  <c r="Z413" i="2" s="1"/>
  <c r="AA422" i="2" s="1"/>
  <c r="AN408" i="2"/>
  <c r="AB410" i="2" s="1"/>
  <c r="O413" i="2" s="1"/>
  <c r="P422" i="2" s="1"/>
  <c r="AP407" i="2"/>
  <c r="W407" i="2"/>
  <c r="U407" i="2"/>
  <c r="V407" i="2"/>
  <c r="X407" i="2"/>
  <c r="R407" i="2"/>
  <c r="P407" i="2"/>
  <c r="Q407" i="2"/>
  <c r="O407" i="2"/>
  <c r="AV408" i="2"/>
  <c r="AH410" i="2" s="1"/>
  <c r="AA413" i="2" s="1"/>
  <c r="AB422" i="2" s="1"/>
  <c r="AO407" i="2"/>
  <c r="C407" i="2"/>
  <c r="F407" i="2"/>
  <c r="D407" i="2"/>
  <c r="E407" i="2"/>
  <c r="L430" i="2" l="1"/>
  <c r="E441" i="2" s="1"/>
  <c r="E449" i="2" s="1"/>
  <c r="J437" i="2"/>
  <c r="AS441" i="2" s="1"/>
  <c r="AS449" i="2" s="1"/>
  <c r="N436" i="2"/>
  <c r="AQ441" i="2" s="1"/>
  <c r="AQ449" i="2" s="1"/>
  <c r="Q468" i="2"/>
  <c r="AE426" i="2"/>
  <c r="AF468" i="2" s="1"/>
  <c r="N426" i="2"/>
  <c r="N432" i="2" s="1"/>
  <c r="S441" i="2" s="1"/>
  <c r="S449" i="2" s="1"/>
  <c r="S426" i="2"/>
  <c r="M426" i="2"/>
  <c r="N468" i="2" s="1"/>
  <c r="X426" i="2"/>
  <c r="Y468" i="2" s="1"/>
  <c r="O426" i="2"/>
  <c r="U426" i="2"/>
  <c r="V468" i="2" s="1"/>
  <c r="AA426" i="2"/>
  <c r="Z426" i="2"/>
  <c r="F426" i="2"/>
  <c r="G468" i="2" s="1"/>
  <c r="C408" i="2"/>
  <c r="C410" i="2" s="1"/>
  <c r="R413" i="2" s="1"/>
  <c r="S422" i="2" s="1"/>
  <c r="AP408" i="2"/>
  <c r="AD410" i="2" s="1"/>
  <c r="H413" i="2" s="1"/>
  <c r="I422" i="2" s="1"/>
  <c r="AJ408" i="2"/>
  <c r="Z410" i="2" s="1"/>
  <c r="K413" i="2" s="1"/>
  <c r="L422" i="2" s="1"/>
  <c r="X408" i="2"/>
  <c r="R410" i="2" s="1"/>
  <c r="L413" i="2" s="1"/>
  <c r="M422" i="2" s="1"/>
  <c r="E408" i="2"/>
  <c r="E410" i="2" s="1"/>
  <c r="V413" i="2" s="1"/>
  <c r="W422" i="2" s="1"/>
  <c r="V408" i="2"/>
  <c r="P410" i="2" s="1"/>
  <c r="T413" i="2" s="1"/>
  <c r="U422" i="2" s="1"/>
  <c r="D408" i="2"/>
  <c r="D410" i="2" s="1"/>
  <c r="I413" i="2" s="1"/>
  <c r="J422" i="2" s="1"/>
  <c r="P408" i="2"/>
  <c r="L410" i="2" s="1"/>
  <c r="Q413" i="2" s="1"/>
  <c r="R422" i="2" s="1"/>
  <c r="U408" i="2"/>
  <c r="O410" i="2" s="1"/>
  <c r="G413" i="2" s="1"/>
  <c r="H422" i="2" s="1"/>
  <c r="AG408" i="2"/>
  <c r="W410" i="2" s="1"/>
  <c r="AH413" i="2" s="1"/>
  <c r="AI422" i="2" s="1"/>
  <c r="O408" i="2"/>
  <c r="K410" i="2" s="1"/>
  <c r="C413" i="2" s="1"/>
  <c r="D422" i="2" s="1"/>
  <c r="AH408" i="2"/>
  <c r="X410" i="2" s="1"/>
  <c r="AC413" i="2" s="1"/>
  <c r="AD422" i="2" s="1"/>
  <c r="AO408" i="2"/>
  <c r="AC410" i="2" s="1"/>
  <c r="AF413" i="2" s="1"/>
  <c r="AG422" i="2" s="1"/>
  <c r="Q408" i="2"/>
  <c r="M410" i="2" s="1"/>
  <c r="Y413" i="2" s="1"/>
  <c r="Z422" i="2" s="1"/>
  <c r="F408" i="2"/>
  <c r="F410" i="2" s="1"/>
  <c r="W413" i="2" s="1"/>
  <c r="X422" i="2" s="1"/>
  <c r="R408" i="2"/>
  <c r="N410" i="2" s="1"/>
  <c r="AB413" i="2" s="1"/>
  <c r="AC422" i="2" s="1"/>
  <c r="W408" i="2"/>
  <c r="Q410" i="2" s="1"/>
  <c r="AG413" i="2" s="1"/>
  <c r="AH422" i="2" s="1"/>
  <c r="AI408" i="2"/>
  <c r="Y410" i="2" s="1"/>
  <c r="E413" i="2" s="1"/>
  <c r="F422" i="2" s="1"/>
  <c r="K468" i="2"/>
  <c r="N431" i="2"/>
  <c r="M441" i="2" s="1"/>
  <c r="M449" i="2" s="1"/>
  <c r="J432" i="2"/>
  <c r="O441" i="2" s="1"/>
  <c r="O449" i="2" s="1"/>
  <c r="O468" i="2" l="1"/>
  <c r="L435" i="2"/>
  <c r="AI441" i="2" s="1"/>
  <c r="AI449" i="2" s="1"/>
  <c r="O436" i="2"/>
  <c r="AR441" i="2" s="1"/>
  <c r="AR449" i="2" s="1"/>
  <c r="J433" i="2"/>
  <c r="U441" i="2" s="1"/>
  <c r="U449" i="2" s="1"/>
  <c r="K437" i="2"/>
  <c r="AT441" i="2" s="1"/>
  <c r="AT449" i="2" s="1"/>
  <c r="M432" i="2"/>
  <c r="R441" i="2" s="1"/>
  <c r="R449" i="2" s="1"/>
  <c r="T468" i="2"/>
  <c r="O433" i="2"/>
  <c r="Z441" i="2" s="1"/>
  <c r="Z449" i="2" s="1"/>
  <c r="K434" i="2"/>
  <c r="AB441" i="2" s="1"/>
  <c r="AB449" i="2" s="1"/>
  <c r="J431" i="2"/>
  <c r="I441" i="2" s="1"/>
  <c r="I449" i="2" s="1"/>
  <c r="M434" i="2"/>
  <c r="AD441" i="2" s="1"/>
  <c r="AD449" i="2" s="1"/>
  <c r="N430" i="2"/>
  <c r="G441" i="2" s="1"/>
  <c r="G449" i="2" s="1"/>
  <c r="E426" i="2"/>
  <c r="Y426" i="2"/>
  <c r="Q426" i="2"/>
  <c r="L426" i="2"/>
  <c r="K426" i="2"/>
  <c r="AG426" i="2"/>
  <c r="AF426" i="2"/>
  <c r="I426" i="2"/>
  <c r="AB426" i="2"/>
  <c r="AC426" i="2"/>
  <c r="AH426" i="2"/>
  <c r="T426" i="2"/>
  <c r="W426" i="2"/>
  <c r="C426" i="2"/>
  <c r="G426" i="2"/>
  <c r="V426" i="2"/>
  <c r="R426" i="2"/>
  <c r="H426" i="2"/>
  <c r="K436" i="2"/>
  <c r="AN441" i="2" s="1"/>
  <c r="AN449" i="2" s="1"/>
  <c r="O435" i="2"/>
  <c r="AL441" i="2" s="1"/>
  <c r="AL449" i="2" s="1"/>
  <c r="AB468" i="2"/>
  <c r="P468" i="2"/>
  <c r="K433" i="2"/>
  <c r="V441" i="2" s="1"/>
  <c r="V449" i="2" s="1"/>
  <c r="O432" i="2"/>
  <c r="T441" i="2" s="1"/>
  <c r="T449" i="2" s="1"/>
  <c r="AA468" i="2"/>
  <c r="J436" i="2"/>
  <c r="AM441" i="2" s="1"/>
  <c r="AM449" i="2" s="1"/>
  <c r="N435" i="2"/>
  <c r="AK441" i="2" s="1"/>
  <c r="AK449" i="2" s="1"/>
  <c r="U452" i="2" l="1"/>
  <c r="AM452" i="2"/>
  <c r="O452" i="2"/>
  <c r="D468" i="2"/>
  <c r="K430" i="2"/>
  <c r="D441" i="2" s="1"/>
  <c r="D449" i="2" s="1"/>
  <c r="O437" i="2"/>
  <c r="AX441" i="2" s="1"/>
  <c r="AX449" i="2" s="1"/>
  <c r="AD468" i="2"/>
  <c r="M436" i="2"/>
  <c r="AP441" i="2" s="1"/>
  <c r="AP449" i="2" s="1"/>
  <c r="AH468" i="2"/>
  <c r="M437" i="2"/>
  <c r="AV441" i="2" s="1"/>
  <c r="AV449" i="2" s="1"/>
  <c r="M435" i="2"/>
  <c r="AJ441" i="2" s="1"/>
  <c r="AJ449" i="2" s="1"/>
  <c r="Z468" i="2"/>
  <c r="L431" i="2"/>
  <c r="K441" i="2" s="1"/>
  <c r="K449" i="2" s="1"/>
  <c r="I468" i="2"/>
  <c r="S468" i="2"/>
  <c r="N433" i="2"/>
  <c r="Y441" i="2" s="1"/>
  <c r="Y449" i="2" s="1"/>
  <c r="J434" i="2"/>
  <c r="AA441" i="2" s="1"/>
  <c r="AA449" i="2" s="1"/>
  <c r="X468" i="2"/>
  <c r="K435" i="2"/>
  <c r="AH441" i="2" s="1"/>
  <c r="AH449" i="2" s="1"/>
  <c r="O434" i="2"/>
  <c r="AF441" i="2" s="1"/>
  <c r="AF449" i="2" s="1"/>
  <c r="L436" i="2"/>
  <c r="AO441" i="2" s="1"/>
  <c r="AO449" i="2" s="1"/>
  <c r="AC468" i="2"/>
  <c r="L468" i="2"/>
  <c r="O431" i="2"/>
  <c r="N441" i="2" s="1"/>
  <c r="N449" i="2" s="1"/>
  <c r="K432" i="2"/>
  <c r="P441" i="2" s="1"/>
  <c r="P449" i="2" s="1"/>
  <c r="M430" i="2"/>
  <c r="F441" i="2" s="1"/>
  <c r="F449" i="2" s="1"/>
  <c r="F468" i="2"/>
  <c r="W468" i="2"/>
  <c r="J435" i="2"/>
  <c r="AG441" i="2" s="1"/>
  <c r="AG449" i="2" s="1"/>
  <c r="N434" i="2"/>
  <c r="AE441" i="2" s="1"/>
  <c r="AE449" i="2" s="1"/>
  <c r="U468" i="2"/>
  <c r="L434" i="2"/>
  <c r="AC441" i="2" s="1"/>
  <c r="AC449" i="2" s="1"/>
  <c r="M431" i="2"/>
  <c r="L441" i="2" s="1"/>
  <c r="L449" i="2" s="1"/>
  <c r="J468" i="2"/>
  <c r="M468" i="2"/>
  <c r="L432" i="2"/>
  <c r="Q441" i="2" s="1"/>
  <c r="Q449" i="2" s="1"/>
  <c r="O430" i="2"/>
  <c r="H441" i="2" s="1"/>
  <c r="H449" i="2" s="1"/>
  <c r="H468" i="2"/>
  <c r="K431" i="2"/>
  <c r="J441" i="2" s="1"/>
  <c r="J449" i="2" s="1"/>
  <c r="AI468" i="2"/>
  <c r="J430" i="2"/>
  <c r="C441" i="2" s="1"/>
  <c r="C449" i="2" s="1"/>
  <c r="N437" i="2"/>
  <c r="AW441" i="2" s="1"/>
  <c r="AW449" i="2" s="1"/>
  <c r="L437" i="2"/>
  <c r="AU441" i="2" s="1"/>
  <c r="AU449" i="2" s="1"/>
  <c r="AG468" i="2"/>
  <c r="M433" i="2"/>
  <c r="X441" i="2" s="1"/>
  <c r="X449" i="2" s="1"/>
  <c r="R468" i="2"/>
  <c r="U451" i="2" l="1"/>
  <c r="U454" i="2" s="1"/>
  <c r="C452" i="2"/>
  <c r="O451" i="2"/>
  <c r="O454" i="2" s="1"/>
  <c r="AM451" i="2"/>
  <c r="AM454" i="2" s="1"/>
  <c r="AA452" i="2"/>
  <c r="C451" i="2"/>
  <c r="AA451" i="2"/>
  <c r="I452" i="2"/>
  <c r="AS451" i="2"/>
  <c r="I451" i="2"/>
  <c r="AG451" i="2"/>
  <c r="AS452" i="2"/>
  <c r="AG452" i="2"/>
  <c r="C454" i="2" l="1"/>
  <c r="C456" i="2" s="1"/>
  <c r="AP456" i="2"/>
  <c r="AN456" i="2"/>
  <c r="AO456" i="2"/>
  <c r="AM456" i="2"/>
  <c r="X456" i="2"/>
  <c r="W456" i="2"/>
  <c r="V456" i="2"/>
  <c r="U456" i="2"/>
  <c r="AS454" i="2"/>
  <c r="I454" i="2"/>
  <c r="AG454" i="2"/>
  <c r="AA454" i="2"/>
  <c r="Q456" i="2"/>
  <c r="P456" i="2"/>
  <c r="O456" i="2"/>
  <c r="R456" i="2"/>
  <c r="D456" i="2" l="1"/>
  <c r="D457" i="2" s="1"/>
  <c r="D459" i="2" s="1"/>
  <c r="I462" i="2" s="1"/>
  <c r="J471" i="2" s="1"/>
  <c r="E456" i="2"/>
  <c r="E457" i="2" s="1"/>
  <c r="E459" i="2" s="1"/>
  <c r="V462" i="2" s="1"/>
  <c r="W471" i="2" s="1"/>
  <c r="F456" i="2"/>
  <c r="F457" i="2" s="1"/>
  <c r="F459" i="2" s="1"/>
  <c r="W462" i="2" s="1"/>
  <c r="X471" i="2" s="1"/>
  <c r="J456" i="2"/>
  <c r="L456" i="2"/>
  <c r="I456" i="2"/>
  <c r="K456" i="2"/>
  <c r="P457" i="2"/>
  <c r="L459" i="2" s="1"/>
  <c r="Q462" i="2" s="1"/>
  <c r="R471" i="2" s="1"/>
  <c r="Q457" i="2"/>
  <c r="M459" i="2" s="1"/>
  <c r="Y462" i="2" s="1"/>
  <c r="Z471" i="2" s="1"/>
  <c r="AT456" i="2"/>
  <c r="AS456" i="2"/>
  <c r="AU456" i="2"/>
  <c r="AV456" i="2"/>
  <c r="X457" i="2"/>
  <c r="R459" i="2" s="1"/>
  <c r="L462" i="2" s="1"/>
  <c r="M471" i="2" s="1"/>
  <c r="R457" i="2"/>
  <c r="N459" i="2" s="1"/>
  <c r="AB462" i="2" s="1"/>
  <c r="AC471" i="2" s="1"/>
  <c r="AD456" i="2"/>
  <c r="AA456" i="2"/>
  <c r="AC456" i="2"/>
  <c r="AB456" i="2"/>
  <c r="U457" i="2"/>
  <c r="O459" i="2" s="1"/>
  <c r="G462" i="2" s="1"/>
  <c r="H471" i="2" s="1"/>
  <c r="AM457" i="2"/>
  <c r="AA459" i="2" s="1"/>
  <c r="U462" i="2" s="1"/>
  <c r="V471" i="2" s="1"/>
  <c r="O457" i="2"/>
  <c r="K459" i="2" s="1"/>
  <c r="C462" i="2" s="1"/>
  <c r="D471" i="2" s="1"/>
  <c r="AJ456" i="2"/>
  <c r="AG456" i="2"/>
  <c r="AH456" i="2"/>
  <c r="AI456" i="2"/>
  <c r="V457" i="2"/>
  <c r="P459" i="2" s="1"/>
  <c r="T462" i="2" s="1"/>
  <c r="U471" i="2" s="1"/>
  <c r="C457" i="2"/>
  <c r="C459" i="2" s="1"/>
  <c r="R462" i="2" s="1"/>
  <c r="S471" i="2" s="1"/>
  <c r="AO457" i="2"/>
  <c r="AC459" i="2" s="1"/>
  <c r="AF462" i="2" s="1"/>
  <c r="AG471" i="2" s="1"/>
  <c r="W457" i="2"/>
  <c r="Q459" i="2" s="1"/>
  <c r="AG462" i="2" s="1"/>
  <c r="AH471" i="2" s="1"/>
  <c r="AN457" i="2"/>
  <c r="AB459" i="2" s="1"/>
  <c r="O462" i="2" s="1"/>
  <c r="P471" i="2" s="1"/>
  <c r="AP457" i="2"/>
  <c r="AD459" i="2" s="1"/>
  <c r="H462" i="2" s="1"/>
  <c r="I471" i="2" s="1"/>
  <c r="R475" i="2" l="1"/>
  <c r="L475" i="2"/>
  <c r="AG475" i="2"/>
  <c r="AB475" i="2"/>
  <c r="H475" i="2"/>
  <c r="W475" i="2"/>
  <c r="C475" i="2"/>
  <c r="I475" i="2"/>
  <c r="V475" i="2"/>
  <c r="Y475" i="2"/>
  <c r="O475" i="2"/>
  <c r="AF475" i="2"/>
  <c r="U475" i="2"/>
  <c r="Q475" i="2"/>
  <c r="T475" i="2"/>
  <c r="G475" i="2"/>
  <c r="AD457" i="2"/>
  <c r="V459" i="2" s="1"/>
  <c r="P462" i="2" s="1"/>
  <c r="Q471" i="2" s="1"/>
  <c r="AJ457" i="2"/>
  <c r="Z459" i="2" s="1"/>
  <c r="K462" i="2" s="1"/>
  <c r="L471" i="2" s="1"/>
  <c r="AU457" i="2"/>
  <c r="AG459" i="2" s="1"/>
  <c r="F462" i="2" s="1"/>
  <c r="G471" i="2" s="1"/>
  <c r="AI457" i="2"/>
  <c r="Y459" i="2" s="1"/>
  <c r="E462" i="2" s="1"/>
  <c r="F471" i="2" s="1"/>
  <c r="AB457" i="2"/>
  <c r="T459" i="2" s="1"/>
  <c r="J462" i="2" s="1"/>
  <c r="K471" i="2" s="1"/>
  <c r="AS457" i="2"/>
  <c r="AE459" i="2" s="1"/>
  <c r="X462" i="2" s="1"/>
  <c r="Y471" i="2" s="1"/>
  <c r="K457" i="2"/>
  <c r="I459" i="2" s="1"/>
  <c r="AD462" i="2" s="1"/>
  <c r="AE471" i="2" s="1"/>
  <c r="AH457" i="2"/>
  <c r="X459" i="2" s="1"/>
  <c r="AC462" i="2" s="1"/>
  <c r="AD471" i="2" s="1"/>
  <c r="AC457" i="2"/>
  <c r="U459" i="2" s="1"/>
  <c r="Z462" i="2" s="1"/>
  <c r="AA471" i="2" s="1"/>
  <c r="AT457" i="2"/>
  <c r="AF459" i="2" s="1"/>
  <c r="M462" i="2" s="1"/>
  <c r="N471" i="2" s="1"/>
  <c r="I457" i="2"/>
  <c r="G459" i="2" s="1"/>
  <c r="AE462" i="2" s="1"/>
  <c r="AF471" i="2" s="1"/>
  <c r="AG457" i="2"/>
  <c r="W459" i="2" s="1"/>
  <c r="AH462" i="2" s="1"/>
  <c r="AI471" i="2" s="1"/>
  <c r="AA457" i="2"/>
  <c r="S459" i="2" s="1"/>
  <c r="D462" i="2" s="1"/>
  <c r="E471" i="2" s="1"/>
  <c r="AV457" i="2"/>
  <c r="AH459" i="2" s="1"/>
  <c r="AA462" i="2" s="1"/>
  <c r="AB471" i="2" s="1"/>
  <c r="L457" i="2"/>
  <c r="J459" i="2" s="1"/>
  <c r="S462" i="2" s="1"/>
  <c r="T471" i="2" s="1"/>
  <c r="J457" i="2"/>
  <c r="H459" i="2" s="1"/>
  <c r="N462" i="2" s="1"/>
  <c r="O471" i="2" s="1"/>
  <c r="N475" i="2" l="1"/>
  <c r="AH475" i="2"/>
  <c r="AC475" i="2"/>
  <c r="S475" i="2"/>
  <c r="AE475" i="2"/>
  <c r="K475" i="2"/>
  <c r="AA475" i="2"/>
  <c r="M475" i="2"/>
  <c r="E475" i="2"/>
  <c r="D475" i="2"/>
  <c r="Z475" i="2"/>
  <c r="X475" i="2"/>
  <c r="AD475" i="2"/>
  <c r="J475" i="2"/>
  <c r="F475" i="2"/>
  <c r="P475" i="2"/>
  <c r="AC517" i="2"/>
  <c r="L485" i="2"/>
  <c r="AO490" i="2" s="1"/>
  <c r="AO498" i="2" s="1"/>
  <c r="R517" i="2"/>
  <c r="M482" i="2"/>
  <c r="X490" i="2" s="1"/>
  <c r="X498" i="2" s="1"/>
  <c r="M484" i="2"/>
  <c r="AJ490" i="2" s="1"/>
  <c r="AJ498" i="2" s="1"/>
  <c r="Z517" i="2"/>
  <c r="O483" i="2"/>
  <c r="AF490" i="2" s="1"/>
  <c r="AF498" i="2" s="1"/>
  <c r="X517" i="2"/>
  <c r="K484" i="2"/>
  <c r="AH490" i="2" s="1"/>
  <c r="AH498" i="2" s="1"/>
  <c r="M517" i="2"/>
  <c r="L481" i="2"/>
  <c r="Q490" i="2" s="1"/>
  <c r="Q498" i="2" s="1"/>
  <c r="H517" i="2"/>
  <c r="K480" i="2"/>
  <c r="J490" i="2" s="1"/>
  <c r="J498" i="2" s="1"/>
  <c r="O479" i="2"/>
  <c r="H490" i="2" s="1"/>
  <c r="H498" i="2" s="1"/>
  <c r="L486" i="2"/>
  <c r="AU490" i="2" s="1"/>
  <c r="AU498" i="2" s="1"/>
  <c r="AG517" i="2"/>
  <c r="J517" i="2"/>
  <c r="M480" i="2"/>
  <c r="L490" i="2" s="1"/>
  <c r="L498" i="2" s="1"/>
  <c r="L483" i="2"/>
  <c r="AC490" i="2" s="1"/>
  <c r="AC498" i="2" s="1"/>
  <c r="U517" i="2"/>
  <c r="P517" i="2"/>
  <c r="O481" i="2"/>
  <c r="T490" i="2" s="1"/>
  <c r="T498" i="2" s="1"/>
  <c r="K482" i="2"/>
  <c r="V490" i="2" s="1"/>
  <c r="V498" i="2" s="1"/>
  <c r="O486" i="2"/>
  <c r="AX490" i="2" s="1"/>
  <c r="AX498" i="2" s="1"/>
  <c r="D517" i="2"/>
  <c r="K479" i="2"/>
  <c r="D490" i="2" s="1"/>
  <c r="D498" i="2" s="1"/>
  <c r="M486" i="2"/>
  <c r="AV490" i="2" s="1"/>
  <c r="AV498" i="2" s="1"/>
  <c r="AH517" i="2"/>
  <c r="V517" i="2"/>
  <c r="M483" i="2"/>
  <c r="AD490" i="2" s="1"/>
  <c r="AD498" i="2" s="1"/>
  <c r="W517" i="2"/>
  <c r="J484" i="2"/>
  <c r="AG490" i="2" s="1"/>
  <c r="AG498" i="2" s="1"/>
  <c r="N483" i="2"/>
  <c r="AE490" i="2" s="1"/>
  <c r="AE498" i="2" s="1"/>
  <c r="I517" i="2"/>
  <c r="L480" i="2"/>
  <c r="K490" i="2" s="1"/>
  <c r="K498" i="2" s="1"/>
  <c r="S517" i="2"/>
  <c r="J483" i="2"/>
  <c r="AA490" i="2" s="1"/>
  <c r="AA498" i="2" s="1"/>
  <c r="N482" i="2"/>
  <c r="Y490" i="2" s="1"/>
  <c r="Y498" i="2" s="1"/>
  <c r="AA501" i="2" l="1"/>
  <c r="E517" i="2"/>
  <c r="L479" i="2"/>
  <c r="E490" i="2" s="1"/>
  <c r="E498" i="2" s="1"/>
  <c r="K517" i="2"/>
  <c r="N480" i="2"/>
  <c r="M490" i="2" s="1"/>
  <c r="M498" i="2" s="1"/>
  <c r="J481" i="2"/>
  <c r="O490" i="2" s="1"/>
  <c r="O498" i="2" s="1"/>
  <c r="K481" i="2"/>
  <c r="P490" i="2" s="1"/>
  <c r="P498" i="2" s="1"/>
  <c r="O480" i="2"/>
  <c r="N490" i="2" s="1"/>
  <c r="N498" i="2" s="1"/>
  <c r="L517" i="2"/>
  <c r="J486" i="2"/>
  <c r="AS490" i="2" s="1"/>
  <c r="AS498" i="2" s="1"/>
  <c r="N485" i="2"/>
  <c r="AQ490" i="2" s="1"/>
  <c r="AQ498" i="2" s="1"/>
  <c r="AE517" i="2"/>
  <c r="F517" i="2"/>
  <c r="M479" i="2"/>
  <c r="F490" i="2" s="1"/>
  <c r="F498" i="2" s="1"/>
  <c r="O485" i="2"/>
  <c r="AR490" i="2" s="1"/>
  <c r="AR498" i="2" s="1"/>
  <c r="AF517" i="2"/>
  <c r="K486" i="2"/>
  <c r="AT490" i="2" s="1"/>
  <c r="AT498" i="2" s="1"/>
  <c r="O517" i="2"/>
  <c r="N481" i="2"/>
  <c r="S490" i="2" s="1"/>
  <c r="S498" i="2" s="1"/>
  <c r="J482" i="2"/>
  <c r="U490" i="2" s="1"/>
  <c r="U498" i="2" s="1"/>
  <c r="Q517" i="2"/>
  <c r="L482" i="2"/>
  <c r="W490" i="2" s="1"/>
  <c r="W498" i="2" s="1"/>
  <c r="Y517" i="2"/>
  <c r="L484" i="2"/>
  <c r="AI490" i="2" s="1"/>
  <c r="AI498" i="2" s="1"/>
  <c r="M481" i="2"/>
  <c r="R490" i="2" s="1"/>
  <c r="R498" i="2" s="1"/>
  <c r="N517" i="2"/>
  <c r="K483" i="2"/>
  <c r="AB490" i="2" s="1"/>
  <c r="AB498" i="2" s="1"/>
  <c r="T517" i="2"/>
  <c r="O482" i="2"/>
  <c r="Z490" i="2" s="1"/>
  <c r="Z498" i="2" s="1"/>
  <c r="G517" i="2"/>
  <c r="N479" i="2"/>
  <c r="G490" i="2" s="1"/>
  <c r="G498" i="2" s="1"/>
  <c r="J480" i="2"/>
  <c r="I490" i="2" s="1"/>
  <c r="I498" i="2" s="1"/>
  <c r="J485" i="2"/>
  <c r="AM490" i="2" s="1"/>
  <c r="AM498" i="2" s="1"/>
  <c r="AA517" i="2"/>
  <c r="N484" i="2"/>
  <c r="AK490" i="2" s="1"/>
  <c r="AK498" i="2" s="1"/>
  <c r="K485" i="2"/>
  <c r="AN490" i="2" s="1"/>
  <c r="AN498" i="2" s="1"/>
  <c r="AB517" i="2"/>
  <c r="O484" i="2"/>
  <c r="AL490" i="2" s="1"/>
  <c r="AL498" i="2" s="1"/>
  <c r="AD517" i="2"/>
  <c r="M485" i="2"/>
  <c r="AP490" i="2" s="1"/>
  <c r="AP498" i="2" s="1"/>
  <c r="J479" i="2"/>
  <c r="C490" i="2" s="1"/>
  <c r="C498" i="2" s="1"/>
  <c r="N486" i="2"/>
  <c r="AW490" i="2" s="1"/>
  <c r="AW498" i="2" s="1"/>
  <c r="AI517" i="2"/>
  <c r="AS501" i="2" l="1"/>
  <c r="O501" i="2"/>
  <c r="AA500" i="2"/>
  <c r="AA503" i="2" s="1"/>
  <c r="O500" i="2"/>
  <c r="C500" i="2"/>
  <c r="AG501" i="2"/>
  <c r="U500" i="2"/>
  <c r="C501" i="2"/>
  <c r="AM501" i="2"/>
  <c r="AS500" i="2"/>
  <c r="I500" i="2"/>
  <c r="AM500" i="2"/>
  <c r="I501" i="2"/>
  <c r="AG500" i="2"/>
  <c r="U501" i="2"/>
  <c r="I503" i="2" l="1"/>
  <c r="J505" i="2" s="1"/>
  <c r="AM503" i="2"/>
  <c r="C503" i="2"/>
  <c r="U503" i="2"/>
  <c r="AD505" i="2"/>
  <c r="AB505" i="2"/>
  <c r="AC505" i="2"/>
  <c r="AA505" i="2"/>
  <c r="AS503" i="2"/>
  <c r="AG503" i="2"/>
  <c r="O503" i="2"/>
  <c r="I505" i="2" l="1"/>
  <c r="I506" i="2" s="1"/>
  <c r="G508" i="2" s="1"/>
  <c r="AE511" i="2" s="1"/>
  <c r="AF520" i="2" s="1"/>
  <c r="L505" i="2"/>
  <c r="L506" i="2" s="1"/>
  <c r="J508" i="2" s="1"/>
  <c r="S511" i="2" s="1"/>
  <c r="T520" i="2" s="1"/>
  <c r="K505" i="2"/>
  <c r="K506" i="2" s="1"/>
  <c r="I508" i="2" s="1"/>
  <c r="AD511" i="2" s="1"/>
  <c r="AE520" i="2" s="1"/>
  <c r="U505" i="2"/>
  <c r="W505" i="2"/>
  <c r="V505" i="2"/>
  <c r="X505" i="2"/>
  <c r="AD506" i="2"/>
  <c r="V508" i="2" s="1"/>
  <c r="P511" i="2" s="1"/>
  <c r="Q520" i="2" s="1"/>
  <c r="AA506" i="2"/>
  <c r="S508" i="2" s="1"/>
  <c r="D511" i="2" s="1"/>
  <c r="E520" i="2" s="1"/>
  <c r="Q505" i="2"/>
  <c r="O505" i="2"/>
  <c r="P505" i="2"/>
  <c r="R505" i="2"/>
  <c r="AC506" i="2"/>
  <c r="U508" i="2" s="1"/>
  <c r="Z511" i="2" s="1"/>
  <c r="AA520" i="2" s="1"/>
  <c r="E505" i="2"/>
  <c r="F505" i="2"/>
  <c r="C505" i="2"/>
  <c r="D505" i="2"/>
  <c r="AS505" i="2"/>
  <c r="AT505" i="2"/>
  <c r="AV505" i="2"/>
  <c r="AU505" i="2"/>
  <c r="AJ505" i="2"/>
  <c r="AI505" i="2"/>
  <c r="AH505" i="2"/>
  <c r="AG505" i="2"/>
  <c r="AB506" i="2"/>
  <c r="T508" i="2" s="1"/>
  <c r="J511" i="2" s="1"/>
  <c r="K520" i="2" s="1"/>
  <c r="AP505" i="2"/>
  <c r="AN505" i="2"/>
  <c r="AM505" i="2"/>
  <c r="AO505" i="2"/>
  <c r="J506" i="2"/>
  <c r="H508" i="2" s="1"/>
  <c r="N511" i="2" s="1"/>
  <c r="O520" i="2" s="1"/>
  <c r="J524" i="2" l="1"/>
  <c r="AE524" i="2"/>
  <c r="AD524" i="2"/>
  <c r="P524" i="2"/>
  <c r="Z524" i="2"/>
  <c r="S524" i="2"/>
  <c r="N524" i="2"/>
  <c r="D524" i="2"/>
  <c r="AT506" i="2"/>
  <c r="AF508" i="2" s="1"/>
  <c r="M511" i="2" s="1"/>
  <c r="N520" i="2" s="1"/>
  <c r="AU506" i="2"/>
  <c r="AG508" i="2" s="1"/>
  <c r="F511" i="2" s="1"/>
  <c r="G520" i="2" s="1"/>
  <c r="X506" i="2"/>
  <c r="R508" i="2" s="1"/>
  <c r="L511" i="2" s="1"/>
  <c r="M520" i="2" s="1"/>
  <c r="AI506" i="2"/>
  <c r="Y508" i="2" s="1"/>
  <c r="E511" i="2" s="1"/>
  <c r="F520" i="2" s="1"/>
  <c r="O506" i="2"/>
  <c r="K508" i="2" s="1"/>
  <c r="C511" i="2" s="1"/>
  <c r="D520" i="2" s="1"/>
  <c r="AM506" i="2"/>
  <c r="AA508" i="2" s="1"/>
  <c r="U511" i="2" s="1"/>
  <c r="V520" i="2" s="1"/>
  <c r="AJ506" i="2"/>
  <c r="Z508" i="2" s="1"/>
  <c r="K511" i="2" s="1"/>
  <c r="L520" i="2" s="1"/>
  <c r="AS506" i="2"/>
  <c r="AE508" i="2" s="1"/>
  <c r="X511" i="2" s="1"/>
  <c r="Y520" i="2" s="1"/>
  <c r="Q506" i="2"/>
  <c r="M508" i="2" s="1"/>
  <c r="Y511" i="2" s="1"/>
  <c r="Z520" i="2" s="1"/>
  <c r="AN506" i="2"/>
  <c r="AB508" i="2" s="1"/>
  <c r="O511" i="2" s="1"/>
  <c r="P520" i="2" s="1"/>
  <c r="AG506" i="2"/>
  <c r="W508" i="2" s="1"/>
  <c r="AH511" i="2" s="1"/>
  <c r="AI520" i="2" s="1"/>
  <c r="F506" i="2"/>
  <c r="F508" i="2" s="1"/>
  <c r="W511" i="2" s="1"/>
  <c r="X520" i="2" s="1"/>
  <c r="R506" i="2"/>
  <c r="N508" i="2" s="1"/>
  <c r="AB511" i="2" s="1"/>
  <c r="AC520" i="2" s="1"/>
  <c r="AP506" i="2"/>
  <c r="AD508" i="2" s="1"/>
  <c r="H511" i="2" s="1"/>
  <c r="I520" i="2" s="1"/>
  <c r="AH506" i="2"/>
  <c r="X508" i="2" s="1"/>
  <c r="AC511" i="2" s="1"/>
  <c r="AD520" i="2" s="1"/>
  <c r="AV506" i="2"/>
  <c r="AH508" i="2" s="1"/>
  <c r="AA511" i="2" s="1"/>
  <c r="AB520" i="2" s="1"/>
  <c r="E506" i="2"/>
  <c r="E508" i="2" s="1"/>
  <c r="V511" i="2" s="1"/>
  <c r="W520" i="2" s="1"/>
  <c r="P506" i="2"/>
  <c r="L508" i="2" s="1"/>
  <c r="Q511" i="2" s="1"/>
  <c r="R520" i="2" s="1"/>
  <c r="V506" i="2"/>
  <c r="P508" i="2" s="1"/>
  <c r="T511" i="2" s="1"/>
  <c r="U520" i="2" s="1"/>
  <c r="W506" i="2"/>
  <c r="Q508" i="2" s="1"/>
  <c r="AG511" i="2" s="1"/>
  <c r="AH520" i="2" s="1"/>
  <c r="AO506" i="2"/>
  <c r="AC508" i="2" s="1"/>
  <c r="AF511" i="2" s="1"/>
  <c r="AG520" i="2" s="1"/>
  <c r="D506" i="2"/>
  <c r="D508" i="2" s="1"/>
  <c r="I511" i="2" s="1"/>
  <c r="J520" i="2" s="1"/>
  <c r="C506" i="2"/>
  <c r="C508" i="2" s="1"/>
  <c r="R511" i="2" s="1"/>
  <c r="S520" i="2" s="1"/>
  <c r="U506" i="2"/>
  <c r="O508" i="2" s="1"/>
  <c r="G511" i="2" s="1"/>
  <c r="H520" i="2" s="1"/>
  <c r="R524" i="2" l="1"/>
  <c r="T524" i="2"/>
  <c r="AC524" i="2"/>
  <c r="AH524" i="2"/>
  <c r="K524" i="2"/>
  <c r="L524" i="2"/>
  <c r="I524" i="2"/>
  <c r="Q524" i="2"/>
  <c r="H524" i="2"/>
  <c r="O524" i="2"/>
  <c r="U524" i="2"/>
  <c r="F524" i="2"/>
  <c r="AF524" i="2"/>
  <c r="V524" i="2"/>
  <c r="AB524" i="2"/>
  <c r="Y524" i="2"/>
  <c r="C524" i="2"/>
  <c r="M524" i="2"/>
  <c r="G524" i="2"/>
  <c r="AG524" i="2"/>
  <c r="AA524" i="2"/>
  <c r="W524" i="2"/>
  <c r="X524" i="2"/>
  <c r="E524" i="2"/>
  <c r="E566" i="2"/>
  <c r="L528" i="2"/>
  <c r="E539" i="2" s="1"/>
  <c r="E547" i="2" s="1"/>
  <c r="Q566" i="2"/>
  <c r="L531" i="2"/>
  <c r="W539" i="2" s="1"/>
  <c r="W547" i="2" s="1"/>
  <c r="N533" i="2"/>
  <c r="AK539" i="2" s="1"/>
  <c r="AK547" i="2" s="1"/>
  <c r="AA566" i="2"/>
  <c r="J534" i="2"/>
  <c r="AM539" i="2" s="1"/>
  <c r="AM547" i="2" s="1"/>
  <c r="J531" i="2"/>
  <c r="U539" i="2" s="1"/>
  <c r="U547" i="2" s="1"/>
  <c r="O566" i="2"/>
  <c r="N530" i="2"/>
  <c r="S539" i="2" s="1"/>
  <c r="S547" i="2" s="1"/>
  <c r="N534" i="2"/>
  <c r="AQ539" i="2" s="1"/>
  <c r="AQ547" i="2" s="1"/>
  <c r="J535" i="2"/>
  <c r="AS539" i="2" s="1"/>
  <c r="AS547" i="2" s="1"/>
  <c r="AE566" i="2"/>
  <c r="O531" i="2"/>
  <c r="Z539" i="2" s="1"/>
  <c r="Z547" i="2" s="1"/>
  <c r="T566" i="2"/>
  <c r="K532" i="2"/>
  <c r="AB539" i="2" s="1"/>
  <c r="AB547" i="2" s="1"/>
  <c r="K535" i="2"/>
  <c r="AT539" i="2" s="1"/>
  <c r="AT547" i="2" s="1"/>
  <c r="O534" i="2"/>
  <c r="AR539" i="2" s="1"/>
  <c r="AR547" i="2" s="1"/>
  <c r="AF566" i="2"/>
  <c r="J530" i="2"/>
  <c r="O539" i="2" s="1"/>
  <c r="O547" i="2" s="1"/>
  <c r="N529" i="2"/>
  <c r="M539" i="2" s="1"/>
  <c r="M547" i="2" s="1"/>
  <c r="K566" i="2"/>
  <c r="U550" i="2" l="1"/>
  <c r="AM550" i="2"/>
  <c r="M566" i="2"/>
  <c r="L530" i="2"/>
  <c r="Q539" i="2" s="1"/>
  <c r="Q547" i="2" s="1"/>
  <c r="M533" i="2"/>
  <c r="AJ539" i="2" s="1"/>
  <c r="AJ547" i="2" s="1"/>
  <c r="Z566" i="2"/>
  <c r="M531" i="2"/>
  <c r="X539" i="2" s="1"/>
  <c r="X547" i="2" s="1"/>
  <c r="R566" i="2"/>
  <c r="AI566" i="2"/>
  <c r="N535" i="2"/>
  <c r="AW539" i="2" s="1"/>
  <c r="AW547" i="2" s="1"/>
  <c r="J528" i="2"/>
  <c r="C539" i="2" s="1"/>
  <c r="C547" i="2" s="1"/>
  <c r="K533" i="2"/>
  <c r="AH539" i="2" s="1"/>
  <c r="AH547" i="2" s="1"/>
  <c r="O532" i="2"/>
  <c r="AF539" i="2" s="1"/>
  <c r="AF547" i="2" s="1"/>
  <c r="X566" i="2"/>
  <c r="N566" i="2"/>
  <c r="M530" i="2"/>
  <c r="R539" i="2" s="1"/>
  <c r="R547" i="2" s="1"/>
  <c r="W566" i="2"/>
  <c r="N532" i="2"/>
  <c r="AE539" i="2" s="1"/>
  <c r="AE547" i="2" s="1"/>
  <c r="J533" i="2"/>
  <c r="AG539" i="2" s="1"/>
  <c r="AG547" i="2" s="1"/>
  <c r="K531" i="2"/>
  <c r="V539" i="2" s="1"/>
  <c r="V547" i="2" s="1"/>
  <c r="P566" i="2"/>
  <c r="O530" i="2"/>
  <c r="T539" i="2" s="1"/>
  <c r="T547" i="2" s="1"/>
  <c r="U566" i="2"/>
  <c r="L532" i="2"/>
  <c r="AC539" i="2" s="1"/>
  <c r="AC547" i="2" s="1"/>
  <c r="K534" i="2"/>
  <c r="AN539" i="2" s="1"/>
  <c r="AN547" i="2" s="1"/>
  <c r="AB566" i="2"/>
  <c r="O533" i="2"/>
  <c r="AL539" i="2" s="1"/>
  <c r="AL547" i="2" s="1"/>
  <c r="K528" i="2"/>
  <c r="D539" i="2" s="1"/>
  <c r="D547" i="2" s="1"/>
  <c r="O535" i="2"/>
  <c r="AX539" i="2" s="1"/>
  <c r="AX547" i="2" s="1"/>
  <c r="D566" i="2"/>
  <c r="L535" i="2"/>
  <c r="AU539" i="2" s="1"/>
  <c r="AU547" i="2" s="1"/>
  <c r="AG566" i="2"/>
  <c r="I566" i="2"/>
  <c r="L529" i="2"/>
  <c r="K539" i="2" s="1"/>
  <c r="K547" i="2" s="1"/>
  <c r="K530" i="2"/>
  <c r="P539" i="2" s="1"/>
  <c r="P547" i="2" s="1"/>
  <c r="O529" i="2"/>
  <c r="N539" i="2" s="1"/>
  <c r="N547" i="2" s="1"/>
  <c r="L566" i="2"/>
  <c r="S566" i="2"/>
  <c r="J532" i="2"/>
  <c r="AA539" i="2" s="1"/>
  <c r="AA547" i="2" s="1"/>
  <c r="N531" i="2"/>
  <c r="Y539" i="2" s="1"/>
  <c r="Y547" i="2" s="1"/>
  <c r="F566" i="2"/>
  <c r="M528" i="2"/>
  <c r="F539" i="2" s="1"/>
  <c r="F547" i="2" s="1"/>
  <c r="AH566" i="2"/>
  <c r="M535" i="2"/>
  <c r="AV539" i="2" s="1"/>
  <c r="AV547" i="2" s="1"/>
  <c r="J529" i="2"/>
  <c r="I539" i="2" s="1"/>
  <c r="I547" i="2" s="1"/>
  <c r="G566" i="2"/>
  <c r="N528" i="2"/>
  <c r="G539" i="2" s="1"/>
  <c r="G547" i="2" s="1"/>
  <c r="Y566" i="2"/>
  <c r="L533" i="2"/>
  <c r="AI539" i="2" s="1"/>
  <c r="AI547" i="2" s="1"/>
  <c r="O528" i="2"/>
  <c r="H539" i="2" s="1"/>
  <c r="H547" i="2" s="1"/>
  <c r="H566" i="2"/>
  <c r="K529" i="2"/>
  <c r="J539" i="2" s="1"/>
  <c r="J547" i="2" s="1"/>
  <c r="L534" i="2"/>
  <c r="AO539" i="2" s="1"/>
  <c r="AO547" i="2" s="1"/>
  <c r="AC566" i="2"/>
  <c r="V566" i="2"/>
  <c r="M532" i="2"/>
  <c r="AD539" i="2" s="1"/>
  <c r="AD547" i="2" s="1"/>
  <c r="M529" i="2"/>
  <c r="L539" i="2" s="1"/>
  <c r="L547" i="2" s="1"/>
  <c r="J566" i="2"/>
  <c r="AD566" i="2"/>
  <c r="M534" i="2"/>
  <c r="AP539" i="2" s="1"/>
  <c r="AP547" i="2" s="1"/>
  <c r="AM549" i="2" l="1"/>
  <c r="AM552" i="2" s="1"/>
  <c r="I549" i="2"/>
  <c r="AA549" i="2"/>
  <c r="O550" i="2"/>
  <c r="I550" i="2"/>
  <c r="AS550" i="2"/>
  <c r="C549" i="2"/>
  <c r="U549" i="2"/>
  <c r="U552" i="2" s="1"/>
  <c r="AG549" i="2"/>
  <c r="AA550" i="2"/>
  <c r="O549" i="2"/>
  <c r="AS549" i="2"/>
  <c r="AG550" i="2"/>
  <c r="C550" i="2"/>
  <c r="AG552" i="2" l="1"/>
  <c r="AJ554" i="2" s="1"/>
  <c r="O552" i="2"/>
  <c r="O554" i="2" s="1"/>
  <c r="C552" i="2"/>
  <c r="D554" i="2" s="1"/>
  <c r="AA552" i="2"/>
  <c r="AC554" i="2" s="1"/>
  <c r="AP554" i="2"/>
  <c r="AN554" i="2"/>
  <c r="AM554" i="2"/>
  <c r="AO554" i="2"/>
  <c r="I552" i="2"/>
  <c r="AS552" i="2"/>
  <c r="X554" i="2"/>
  <c r="U554" i="2"/>
  <c r="W554" i="2"/>
  <c r="V554" i="2"/>
  <c r="AH554" i="2" l="1"/>
  <c r="AH555" i="2" s="1"/>
  <c r="X557" i="2" s="1"/>
  <c r="AC560" i="2" s="1"/>
  <c r="AD569" i="2" s="1"/>
  <c r="AI554" i="2"/>
  <c r="AI555" i="2" s="1"/>
  <c r="Y557" i="2" s="1"/>
  <c r="E560" i="2" s="1"/>
  <c r="F569" i="2" s="1"/>
  <c r="AG554" i="2"/>
  <c r="AG555" i="2" s="1"/>
  <c r="W557" i="2" s="1"/>
  <c r="AH560" i="2" s="1"/>
  <c r="AI569" i="2" s="1"/>
  <c r="E554" i="2"/>
  <c r="E555" i="2" s="1"/>
  <c r="E557" i="2" s="1"/>
  <c r="V560" i="2" s="1"/>
  <c r="W569" i="2" s="1"/>
  <c r="P554" i="2"/>
  <c r="P555" i="2" s="1"/>
  <c r="L557" i="2" s="1"/>
  <c r="Q560" i="2" s="1"/>
  <c r="R569" i="2" s="1"/>
  <c r="R554" i="2"/>
  <c r="R555" i="2" s="1"/>
  <c r="N557" i="2" s="1"/>
  <c r="AB560" i="2" s="1"/>
  <c r="AC569" i="2" s="1"/>
  <c r="Q554" i="2"/>
  <c r="Q555" i="2" s="1"/>
  <c r="M557" i="2" s="1"/>
  <c r="Y560" i="2" s="1"/>
  <c r="Z569" i="2" s="1"/>
  <c r="C554" i="2"/>
  <c r="C555" i="2" s="1"/>
  <c r="C557" i="2" s="1"/>
  <c r="R560" i="2" s="1"/>
  <c r="S569" i="2" s="1"/>
  <c r="AD554" i="2"/>
  <c r="AD555" i="2" s="1"/>
  <c r="V557" i="2" s="1"/>
  <c r="P560" i="2" s="1"/>
  <c r="Q569" i="2" s="1"/>
  <c r="F554" i="2"/>
  <c r="F555" i="2" s="1"/>
  <c r="F557" i="2" s="1"/>
  <c r="W560" i="2" s="1"/>
  <c r="X569" i="2" s="1"/>
  <c r="AB554" i="2"/>
  <c r="AB555" i="2" s="1"/>
  <c r="T557" i="2" s="1"/>
  <c r="J560" i="2" s="1"/>
  <c r="K569" i="2" s="1"/>
  <c r="AA554" i="2"/>
  <c r="AA555" i="2" s="1"/>
  <c r="S557" i="2" s="1"/>
  <c r="D560" i="2" s="1"/>
  <c r="E569" i="2" s="1"/>
  <c r="AT554" i="2"/>
  <c r="AS554" i="2"/>
  <c r="AV554" i="2"/>
  <c r="AU554" i="2"/>
  <c r="W555" i="2"/>
  <c r="Q557" i="2" s="1"/>
  <c r="AG560" i="2" s="1"/>
  <c r="AH569" i="2" s="1"/>
  <c r="I554" i="2"/>
  <c r="L554" i="2"/>
  <c r="K554" i="2"/>
  <c r="J554" i="2"/>
  <c r="D555" i="2"/>
  <c r="D557" i="2" s="1"/>
  <c r="I560" i="2" s="1"/>
  <c r="J569" i="2" s="1"/>
  <c r="U555" i="2"/>
  <c r="O557" i="2" s="1"/>
  <c r="G560" i="2" s="1"/>
  <c r="H569" i="2" s="1"/>
  <c r="O555" i="2"/>
  <c r="K557" i="2" s="1"/>
  <c r="C560" i="2" s="1"/>
  <c r="D569" i="2" s="1"/>
  <c r="AO555" i="2"/>
  <c r="AC557" i="2" s="1"/>
  <c r="AF560" i="2" s="1"/>
  <c r="AG569" i="2" s="1"/>
  <c r="X555" i="2"/>
  <c r="R557" i="2" s="1"/>
  <c r="L560" i="2" s="1"/>
  <c r="M569" i="2" s="1"/>
  <c r="AJ555" i="2"/>
  <c r="Z557" i="2" s="1"/>
  <c r="K560" i="2" s="1"/>
  <c r="L569" i="2" s="1"/>
  <c r="AC555" i="2"/>
  <c r="U557" i="2" s="1"/>
  <c r="Z560" i="2" s="1"/>
  <c r="AA569" i="2" s="1"/>
  <c r="AM555" i="2"/>
  <c r="AA557" i="2" s="1"/>
  <c r="U560" i="2" s="1"/>
  <c r="V569" i="2" s="1"/>
  <c r="AN555" i="2"/>
  <c r="AB557" i="2" s="1"/>
  <c r="O560" i="2" s="1"/>
  <c r="P569" i="2" s="1"/>
  <c r="V555" i="2"/>
  <c r="P557" i="2" s="1"/>
  <c r="T560" i="2" s="1"/>
  <c r="U569" i="2" s="1"/>
  <c r="AP555" i="2"/>
  <c r="AD557" i="2" s="1"/>
  <c r="H560" i="2" s="1"/>
  <c r="I569" i="2" s="1"/>
  <c r="AC573" i="2" l="1"/>
  <c r="C573" i="2"/>
  <c r="E573" i="2"/>
  <c r="O573" i="2"/>
  <c r="L573" i="2"/>
  <c r="I573" i="2"/>
  <c r="H573" i="2"/>
  <c r="Z573" i="2"/>
  <c r="G573" i="2"/>
  <c r="Q573" i="2"/>
  <c r="D573" i="2"/>
  <c r="P573" i="2"/>
  <c r="T573" i="2"/>
  <c r="AB573" i="2"/>
  <c r="U573" i="2"/>
  <c r="V573" i="2"/>
  <c r="K573" i="2"/>
  <c r="AF573" i="2"/>
  <c r="W573" i="2"/>
  <c r="AH573" i="2"/>
  <c r="Y573" i="2"/>
  <c r="J573" i="2"/>
  <c r="AG573" i="2"/>
  <c r="R573" i="2"/>
  <c r="L555" i="2"/>
  <c r="J557" i="2" s="1"/>
  <c r="S560" i="2" s="1"/>
  <c r="T569" i="2" s="1"/>
  <c r="AS555" i="2"/>
  <c r="AE557" i="2" s="1"/>
  <c r="X560" i="2" s="1"/>
  <c r="Y569" i="2" s="1"/>
  <c r="I555" i="2"/>
  <c r="G557" i="2" s="1"/>
  <c r="AE560" i="2" s="1"/>
  <c r="AF569" i="2" s="1"/>
  <c r="AT555" i="2"/>
  <c r="AF557" i="2" s="1"/>
  <c r="M560" i="2" s="1"/>
  <c r="N569" i="2" s="1"/>
  <c r="J555" i="2"/>
  <c r="H557" i="2" s="1"/>
  <c r="N560" i="2" s="1"/>
  <c r="O569" i="2" s="1"/>
  <c r="AU555" i="2"/>
  <c r="AG557" i="2" s="1"/>
  <c r="F560" i="2" s="1"/>
  <c r="G569" i="2" s="1"/>
  <c r="K555" i="2"/>
  <c r="I557" i="2" s="1"/>
  <c r="AD560" i="2" s="1"/>
  <c r="AE569" i="2" s="1"/>
  <c r="AV555" i="2"/>
  <c r="AH557" i="2" s="1"/>
  <c r="AA560" i="2" s="1"/>
  <c r="AB569" i="2" s="1"/>
  <c r="AA573" i="2" l="1"/>
  <c r="M573" i="2"/>
  <c r="AD573" i="2"/>
  <c r="AE573" i="2"/>
  <c r="F573" i="2"/>
  <c r="X573" i="2"/>
  <c r="N573" i="2"/>
  <c r="S573" i="2"/>
  <c r="L584" i="2"/>
  <c r="AU588" i="2" s="1"/>
  <c r="AU596" i="2" s="1"/>
  <c r="AG615" i="2"/>
  <c r="M580" i="2"/>
  <c r="X588" i="2" s="1"/>
  <c r="X596" i="2" s="1"/>
  <c r="R615" i="2"/>
  <c r="J615" i="2"/>
  <c r="M578" i="2"/>
  <c r="L588" i="2" s="1"/>
  <c r="L596" i="2" s="1"/>
  <c r="D615" i="2"/>
  <c r="K577" i="2"/>
  <c r="D588" i="2" s="1"/>
  <c r="D596" i="2" s="1"/>
  <c r="O584" i="2"/>
  <c r="AX588" i="2" s="1"/>
  <c r="AX596" i="2" s="1"/>
  <c r="S615" i="2"/>
  <c r="J581" i="2"/>
  <c r="AA588" i="2" s="1"/>
  <c r="AA596" i="2" s="1"/>
  <c r="N580" i="2"/>
  <c r="Y588" i="2" s="1"/>
  <c r="Y596" i="2" s="1"/>
  <c r="N584" i="2"/>
  <c r="AW588" i="2" s="1"/>
  <c r="AW596" i="2" s="1"/>
  <c r="J577" i="2"/>
  <c r="C588" i="2" s="1"/>
  <c r="C596" i="2" s="1"/>
  <c r="AI615" i="2"/>
  <c r="J582" i="2"/>
  <c r="AG588" i="2" s="1"/>
  <c r="AG596" i="2" s="1"/>
  <c r="N581" i="2"/>
  <c r="AE588" i="2" s="1"/>
  <c r="AE596" i="2" s="1"/>
  <c r="W615" i="2"/>
  <c r="L580" i="2"/>
  <c r="W588" i="2" s="1"/>
  <c r="W596" i="2" s="1"/>
  <c r="Q615" i="2"/>
  <c r="AA615" i="2"/>
  <c r="J583" i="2"/>
  <c r="AM588" i="2" s="1"/>
  <c r="AM596" i="2" s="1"/>
  <c r="N582" i="2"/>
  <c r="AK588" i="2" s="1"/>
  <c r="AK596" i="2" s="1"/>
  <c r="O579" i="2"/>
  <c r="T588" i="2" s="1"/>
  <c r="T596" i="2" s="1"/>
  <c r="K580" i="2"/>
  <c r="V588" i="2" s="1"/>
  <c r="V596" i="2" s="1"/>
  <c r="P615" i="2"/>
  <c r="AH615" i="2"/>
  <c r="M584" i="2"/>
  <c r="AV588" i="2" s="1"/>
  <c r="AV596" i="2" s="1"/>
  <c r="X615" i="2"/>
  <c r="K582" i="2"/>
  <c r="AH588" i="2" s="1"/>
  <c r="AH596" i="2" s="1"/>
  <c r="O581" i="2"/>
  <c r="AF588" i="2" s="1"/>
  <c r="AF596" i="2" s="1"/>
  <c r="M581" i="2"/>
  <c r="AD588" i="2" s="1"/>
  <c r="AD596" i="2" s="1"/>
  <c r="V615" i="2"/>
  <c r="L577" i="2"/>
  <c r="E588" i="2" s="1"/>
  <c r="E596" i="2" s="1"/>
  <c r="E615" i="2"/>
  <c r="L578" i="2"/>
  <c r="K588" i="2" s="1"/>
  <c r="K596" i="2" s="1"/>
  <c r="I615" i="2"/>
  <c r="F615" i="2"/>
  <c r="M577" i="2"/>
  <c r="F588" i="2" s="1"/>
  <c r="F596" i="2" s="1"/>
  <c r="J579" i="2"/>
  <c r="O588" i="2" s="1"/>
  <c r="O596" i="2" s="1"/>
  <c r="N578" i="2"/>
  <c r="M588" i="2" s="1"/>
  <c r="M596" i="2" s="1"/>
  <c r="K615" i="2"/>
  <c r="AC615" i="2"/>
  <c r="L583" i="2"/>
  <c r="AO588" i="2" s="1"/>
  <c r="AO596" i="2" s="1"/>
  <c r="M582" i="2"/>
  <c r="AJ588" i="2" s="1"/>
  <c r="AJ596" i="2" s="1"/>
  <c r="Z615" i="2"/>
  <c r="L615" i="2"/>
  <c r="K579" i="2"/>
  <c r="P588" i="2" s="1"/>
  <c r="P596" i="2" s="1"/>
  <c r="O578" i="2"/>
  <c r="N588" i="2" s="1"/>
  <c r="N596" i="2" s="1"/>
  <c r="L581" i="2"/>
  <c r="AC588" i="2" s="1"/>
  <c r="AC596" i="2" s="1"/>
  <c r="U615" i="2"/>
  <c r="H615" i="2"/>
  <c r="K578" i="2"/>
  <c r="J588" i="2" s="1"/>
  <c r="J596" i="2" s="1"/>
  <c r="O577" i="2"/>
  <c r="H588" i="2" s="1"/>
  <c r="H596" i="2" s="1"/>
  <c r="M615" i="2"/>
  <c r="L579" i="2"/>
  <c r="Q588" i="2" s="1"/>
  <c r="Q596" i="2" s="1"/>
  <c r="M583" i="2"/>
  <c r="AP588" i="2" s="1"/>
  <c r="AP596" i="2" s="1"/>
  <c r="AD615" i="2"/>
  <c r="C599" i="2" l="1"/>
  <c r="I598" i="2"/>
  <c r="U598" i="2"/>
  <c r="O599" i="2"/>
  <c r="AA599" i="2"/>
  <c r="O580" i="2"/>
  <c r="Z588" i="2" s="1"/>
  <c r="Z596" i="2" s="1"/>
  <c r="K581" i="2"/>
  <c r="AB588" i="2" s="1"/>
  <c r="AB596" i="2" s="1"/>
  <c r="T615" i="2"/>
  <c r="K584" i="2"/>
  <c r="AT588" i="2" s="1"/>
  <c r="AT596" i="2" s="1"/>
  <c r="O583" i="2"/>
  <c r="AR588" i="2" s="1"/>
  <c r="AR596" i="2" s="1"/>
  <c r="AF615" i="2"/>
  <c r="J578" i="2"/>
  <c r="I588" i="2" s="1"/>
  <c r="I596" i="2" s="1"/>
  <c r="G615" i="2"/>
  <c r="N577" i="2"/>
  <c r="G588" i="2" s="1"/>
  <c r="G596" i="2" s="1"/>
  <c r="N579" i="2"/>
  <c r="S588" i="2" s="1"/>
  <c r="S596" i="2" s="1"/>
  <c r="J580" i="2"/>
  <c r="U588" i="2" s="1"/>
  <c r="U596" i="2" s="1"/>
  <c r="O615" i="2"/>
  <c r="J584" i="2"/>
  <c r="AS588" i="2" s="1"/>
  <c r="AS596" i="2" s="1"/>
  <c r="AE615" i="2"/>
  <c r="N583" i="2"/>
  <c r="AQ588" i="2" s="1"/>
  <c r="AQ596" i="2" s="1"/>
  <c r="L582" i="2"/>
  <c r="AI588" i="2" s="1"/>
  <c r="AI596" i="2" s="1"/>
  <c r="Y615" i="2"/>
  <c r="M579" i="2"/>
  <c r="R588" i="2" s="1"/>
  <c r="R596" i="2" s="1"/>
  <c r="N615" i="2"/>
  <c r="O582" i="2"/>
  <c r="AL588" i="2" s="1"/>
  <c r="AL596" i="2" s="1"/>
  <c r="AB615" i="2"/>
  <c r="K583" i="2"/>
  <c r="AN588" i="2" s="1"/>
  <c r="AN596" i="2" s="1"/>
  <c r="AG599" i="2" l="1"/>
  <c r="AG598" i="2"/>
  <c r="AS598" i="2"/>
  <c r="AM598" i="2"/>
  <c r="O598" i="2"/>
  <c r="O601" i="2" s="1"/>
  <c r="AA598" i="2"/>
  <c r="AA601" i="2" s="1"/>
  <c r="AS599" i="2"/>
  <c r="C598" i="2"/>
  <c r="C601" i="2" s="1"/>
  <c r="AM599" i="2"/>
  <c r="U599" i="2"/>
  <c r="U601" i="2" s="1"/>
  <c r="I599" i="2"/>
  <c r="I601" i="2" s="1"/>
  <c r="AS601" i="2" l="1"/>
  <c r="AV603" i="2" s="1"/>
  <c r="AM601" i="2"/>
  <c r="AN603" i="2" s="1"/>
  <c r="D603" i="2"/>
  <c r="C603" i="2"/>
  <c r="E603" i="2"/>
  <c r="F603" i="2"/>
  <c r="P603" i="2"/>
  <c r="Q603" i="2"/>
  <c r="R603" i="2"/>
  <c r="O603" i="2"/>
  <c r="W603" i="2"/>
  <c r="U603" i="2"/>
  <c r="V603" i="2"/>
  <c r="X603" i="2"/>
  <c r="I603" i="2"/>
  <c r="K603" i="2"/>
  <c r="L603" i="2"/>
  <c r="J603" i="2"/>
  <c r="AA603" i="2"/>
  <c r="AB603" i="2"/>
  <c r="AC603" i="2"/>
  <c r="AD603" i="2"/>
  <c r="AG601" i="2"/>
  <c r="AS603" i="2" l="1"/>
  <c r="AS604" i="2" s="1"/>
  <c r="AE606" i="2" s="1"/>
  <c r="X609" i="2" s="1"/>
  <c r="Y618" i="2" s="1"/>
  <c r="AU603" i="2"/>
  <c r="AU604" i="2" s="1"/>
  <c r="AG606" i="2" s="1"/>
  <c r="F609" i="2" s="1"/>
  <c r="G618" i="2" s="1"/>
  <c r="AT603" i="2"/>
  <c r="AT604" i="2" s="1"/>
  <c r="AF606" i="2" s="1"/>
  <c r="M609" i="2" s="1"/>
  <c r="N618" i="2" s="1"/>
  <c r="AP603" i="2"/>
  <c r="AP604" i="2" s="1"/>
  <c r="AD606" i="2" s="1"/>
  <c r="H609" i="2" s="1"/>
  <c r="I618" i="2" s="1"/>
  <c r="AM603" i="2"/>
  <c r="AM604" i="2" s="1"/>
  <c r="AA606" i="2" s="1"/>
  <c r="U609" i="2" s="1"/>
  <c r="V618" i="2" s="1"/>
  <c r="AO603" i="2"/>
  <c r="AO604" i="2" s="1"/>
  <c r="AC606" i="2" s="1"/>
  <c r="AF609" i="2" s="1"/>
  <c r="AG618" i="2" s="1"/>
  <c r="AD604" i="2"/>
  <c r="V606" i="2" s="1"/>
  <c r="P609" i="2" s="1"/>
  <c r="Q618" i="2" s="1"/>
  <c r="AV604" i="2"/>
  <c r="AH606" i="2" s="1"/>
  <c r="AA609" i="2" s="1"/>
  <c r="AB618" i="2" s="1"/>
  <c r="J604" i="2"/>
  <c r="H606" i="2" s="1"/>
  <c r="N609" i="2" s="1"/>
  <c r="O618" i="2" s="1"/>
  <c r="X604" i="2"/>
  <c r="R606" i="2" s="1"/>
  <c r="L609" i="2" s="1"/>
  <c r="M618" i="2" s="1"/>
  <c r="O604" i="2"/>
  <c r="K606" i="2" s="1"/>
  <c r="C609" i="2" s="1"/>
  <c r="D618" i="2" s="1"/>
  <c r="F604" i="2"/>
  <c r="F606" i="2" s="1"/>
  <c r="W609" i="2" s="1"/>
  <c r="X618" i="2" s="1"/>
  <c r="AC604" i="2"/>
  <c r="U606" i="2" s="1"/>
  <c r="Z609" i="2" s="1"/>
  <c r="AA618" i="2" s="1"/>
  <c r="L604" i="2"/>
  <c r="J606" i="2" s="1"/>
  <c r="S609" i="2" s="1"/>
  <c r="T618" i="2" s="1"/>
  <c r="V604" i="2"/>
  <c r="P606" i="2" s="1"/>
  <c r="T609" i="2" s="1"/>
  <c r="U618" i="2" s="1"/>
  <c r="R604" i="2"/>
  <c r="N606" i="2" s="1"/>
  <c r="AB609" i="2" s="1"/>
  <c r="AC618" i="2" s="1"/>
  <c r="E604" i="2"/>
  <c r="E606" i="2" s="1"/>
  <c r="V609" i="2" s="1"/>
  <c r="W618" i="2" s="1"/>
  <c r="AB604" i="2"/>
  <c r="T606" i="2" s="1"/>
  <c r="J609" i="2" s="1"/>
  <c r="K618" i="2" s="1"/>
  <c r="K604" i="2"/>
  <c r="I606" i="2" s="1"/>
  <c r="AD609" i="2" s="1"/>
  <c r="AE618" i="2" s="1"/>
  <c r="U604" i="2"/>
  <c r="O606" i="2" s="1"/>
  <c r="G609" i="2" s="1"/>
  <c r="H618" i="2" s="1"/>
  <c r="AN604" i="2"/>
  <c r="AB606" i="2" s="1"/>
  <c r="O609" i="2" s="1"/>
  <c r="P618" i="2" s="1"/>
  <c r="Q604" i="2"/>
  <c r="M606" i="2" s="1"/>
  <c r="Y609" i="2" s="1"/>
  <c r="Z618" i="2" s="1"/>
  <c r="C604" i="2"/>
  <c r="C606" i="2" s="1"/>
  <c r="R609" i="2" s="1"/>
  <c r="S618" i="2" s="1"/>
  <c r="AG603" i="2"/>
  <c r="AH603" i="2"/>
  <c r="AI603" i="2"/>
  <c r="AJ603" i="2"/>
  <c r="AA604" i="2"/>
  <c r="S606" i="2" s="1"/>
  <c r="D609" i="2" s="1"/>
  <c r="E618" i="2" s="1"/>
  <c r="I604" i="2"/>
  <c r="G606" i="2" s="1"/>
  <c r="AE609" i="2" s="1"/>
  <c r="AF618" i="2" s="1"/>
  <c r="W604" i="2"/>
  <c r="Q606" i="2" s="1"/>
  <c r="AG609" i="2" s="1"/>
  <c r="AH618" i="2" s="1"/>
  <c r="P604" i="2"/>
  <c r="L606" i="2" s="1"/>
  <c r="Q609" i="2" s="1"/>
  <c r="R618" i="2" s="1"/>
  <c r="D604" i="2"/>
  <c r="D606" i="2" s="1"/>
  <c r="I609" i="2" s="1"/>
  <c r="J618" i="2" s="1"/>
  <c r="H622" i="2" l="1"/>
  <c r="G622" i="2"/>
  <c r="S622" i="2"/>
  <c r="AA622" i="2"/>
  <c r="I622" i="2"/>
  <c r="Y622" i="2"/>
  <c r="AF622" i="2"/>
  <c r="L622" i="2"/>
  <c r="D622" i="2"/>
  <c r="V622" i="2"/>
  <c r="C622" i="2"/>
  <c r="AE622" i="2"/>
  <c r="F622" i="2"/>
  <c r="Z622" i="2"/>
  <c r="Q622" i="2"/>
  <c r="AG622" i="2"/>
  <c r="M622" i="2"/>
  <c r="R622" i="2"/>
  <c r="O622" i="2"/>
  <c r="AD622" i="2"/>
  <c r="J622" i="2"/>
  <c r="AB622" i="2"/>
  <c r="T622" i="2"/>
  <c r="X622" i="2"/>
  <c r="W622" i="2"/>
  <c r="U622" i="2"/>
  <c r="N622" i="2"/>
  <c r="P622" i="2"/>
  <c r="AH604" i="2"/>
  <c r="X606" i="2" s="1"/>
  <c r="AC609" i="2" s="1"/>
  <c r="AD618" i="2" s="1"/>
  <c r="AG604" i="2"/>
  <c r="W606" i="2" s="1"/>
  <c r="AH609" i="2" s="1"/>
  <c r="AI618" i="2" s="1"/>
  <c r="AJ604" i="2"/>
  <c r="Z606" i="2" s="1"/>
  <c r="K609" i="2" s="1"/>
  <c r="L618" i="2" s="1"/>
  <c r="AI604" i="2"/>
  <c r="Y606" i="2" s="1"/>
  <c r="E609" i="2" s="1"/>
  <c r="F618" i="2" s="1"/>
  <c r="E622" i="2" l="1"/>
  <c r="AH622" i="2"/>
  <c r="K622" i="2"/>
  <c r="AC622" i="2"/>
  <c r="O630" i="2"/>
  <c r="AF637" i="2" s="1"/>
  <c r="AF645" i="2" s="1"/>
  <c r="X664" i="2"/>
  <c r="K631" i="2"/>
  <c r="AH637" i="2" s="1"/>
  <c r="AH645" i="2" s="1"/>
  <c r="J628" i="2"/>
  <c r="O637" i="2" s="1"/>
  <c r="O645" i="2" s="1"/>
  <c r="N627" i="2"/>
  <c r="M637" i="2" s="1"/>
  <c r="M645" i="2" s="1"/>
  <c r="K664" i="2"/>
  <c r="N664" i="2"/>
  <c r="M628" i="2"/>
  <c r="R637" i="2" s="1"/>
  <c r="R645" i="2" s="1"/>
  <c r="G664" i="2"/>
  <c r="N626" i="2"/>
  <c r="G637" i="2" s="1"/>
  <c r="G645" i="2" s="1"/>
  <c r="J627" i="2"/>
  <c r="I637" i="2" s="1"/>
  <c r="I645" i="2" s="1"/>
  <c r="L626" i="2"/>
  <c r="E637" i="2" s="1"/>
  <c r="E645" i="2" s="1"/>
  <c r="E664" i="2"/>
  <c r="J664" i="2"/>
  <c r="M627" i="2"/>
  <c r="L637" i="2" s="1"/>
  <c r="L645" i="2" s="1"/>
  <c r="Q664" i="2"/>
  <c r="L629" i="2"/>
  <c r="W637" i="2" s="1"/>
  <c r="W645" i="2" s="1"/>
  <c r="L631" i="2"/>
  <c r="AI637" i="2" s="1"/>
  <c r="AI645" i="2" s="1"/>
  <c r="Y664" i="2"/>
  <c r="N632" i="2"/>
  <c r="AQ637" i="2" s="1"/>
  <c r="AQ645" i="2" s="1"/>
  <c r="AE664" i="2"/>
  <c r="J633" i="2"/>
  <c r="AS637" i="2" s="1"/>
  <c r="AS645" i="2" s="1"/>
  <c r="AH664" i="2"/>
  <c r="M633" i="2"/>
  <c r="AV637" i="2" s="1"/>
  <c r="AV645" i="2" s="1"/>
  <c r="O632" i="2"/>
  <c r="AR637" i="2" s="1"/>
  <c r="AR645" i="2" s="1"/>
  <c r="AF664" i="2"/>
  <c r="K633" i="2"/>
  <c r="AT637" i="2" s="1"/>
  <c r="AT645" i="2" s="1"/>
  <c r="M664" i="2"/>
  <c r="L628" i="2"/>
  <c r="Q637" i="2" s="1"/>
  <c r="Q645" i="2" s="1"/>
  <c r="O631" i="2"/>
  <c r="AL637" i="2" s="1"/>
  <c r="AL645" i="2" s="1"/>
  <c r="K632" i="2"/>
  <c r="AN637" i="2" s="1"/>
  <c r="AN645" i="2" s="1"/>
  <c r="AB664" i="2"/>
  <c r="O664" i="2"/>
  <c r="J629" i="2"/>
  <c r="U637" i="2" s="1"/>
  <c r="U645" i="2" s="1"/>
  <c r="N628" i="2"/>
  <c r="S637" i="2" s="1"/>
  <c r="S645" i="2" s="1"/>
  <c r="L630" i="2"/>
  <c r="AC637" i="2" s="1"/>
  <c r="AC645" i="2" s="1"/>
  <c r="U664" i="2"/>
  <c r="K629" i="2"/>
  <c r="V637" i="2" s="1"/>
  <c r="V645" i="2" s="1"/>
  <c r="P664" i="2"/>
  <c r="O628" i="2"/>
  <c r="T637" i="2" s="1"/>
  <c r="T645" i="2" s="1"/>
  <c r="M629" i="2"/>
  <c r="X637" i="2" s="1"/>
  <c r="X645" i="2" s="1"/>
  <c r="R664" i="2"/>
  <c r="D664" i="2"/>
  <c r="O633" i="2"/>
  <c r="AX637" i="2" s="1"/>
  <c r="AX645" i="2" s="1"/>
  <c r="K626" i="2"/>
  <c r="D637" i="2" s="1"/>
  <c r="D645" i="2" s="1"/>
  <c r="AG664" i="2"/>
  <c r="L633" i="2"/>
  <c r="AU637" i="2" s="1"/>
  <c r="AU645" i="2" s="1"/>
  <c r="K630" i="2"/>
  <c r="AB637" i="2" s="1"/>
  <c r="AB645" i="2" s="1"/>
  <c r="T664" i="2"/>
  <c r="O629" i="2"/>
  <c r="Z637" i="2" s="1"/>
  <c r="Z645" i="2" s="1"/>
  <c r="V664" i="2"/>
  <c r="M630" i="2"/>
  <c r="AD637" i="2" s="1"/>
  <c r="AD645" i="2" s="1"/>
  <c r="L632" i="2"/>
  <c r="AO637" i="2" s="1"/>
  <c r="AO645" i="2" s="1"/>
  <c r="AC664" i="2"/>
  <c r="N629" i="2"/>
  <c r="Y637" i="2" s="1"/>
  <c r="Y645" i="2" s="1"/>
  <c r="J630" i="2"/>
  <c r="AA637" i="2" s="1"/>
  <c r="AA645" i="2" s="1"/>
  <c r="S664" i="2"/>
  <c r="AA664" i="2"/>
  <c r="J632" i="2"/>
  <c r="AM637" i="2" s="1"/>
  <c r="AM645" i="2" s="1"/>
  <c r="N631" i="2"/>
  <c r="AK637" i="2" s="1"/>
  <c r="AK645" i="2" s="1"/>
  <c r="W664" i="2"/>
  <c r="J631" i="2"/>
  <c r="AG637" i="2" s="1"/>
  <c r="AG645" i="2" s="1"/>
  <c r="N630" i="2"/>
  <c r="AE637" i="2" s="1"/>
  <c r="AE645" i="2" s="1"/>
  <c r="Z664" i="2"/>
  <c r="M631" i="2"/>
  <c r="AJ637" i="2" s="1"/>
  <c r="AJ645" i="2" s="1"/>
  <c r="O626" i="2"/>
  <c r="H637" i="2" s="1"/>
  <c r="H645" i="2" s="1"/>
  <c r="K627" i="2"/>
  <c r="J637" i="2" s="1"/>
  <c r="J645" i="2" s="1"/>
  <c r="H664" i="2"/>
  <c r="I664" i="2"/>
  <c r="L627" i="2"/>
  <c r="K637" i="2" s="1"/>
  <c r="K645" i="2" s="1"/>
  <c r="AA647" i="2" l="1"/>
  <c r="AG647" i="2"/>
  <c r="AA648" i="2"/>
  <c r="O648" i="2"/>
  <c r="I647" i="2"/>
  <c r="AM648" i="2"/>
  <c r="AG648" i="2"/>
  <c r="U647" i="2"/>
  <c r="U648" i="2"/>
  <c r="AS648" i="2"/>
  <c r="K628" i="2"/>
  <c r="P637" i="2" s="1"/>
  <c r="P645" i="2" s="1"/>
  <c r="L664" i="2"/>
  <c r="O627" i="2"/>
  <c r="N637" i="2" s="1"/>
  <c r="N645" i="2" s="1"/>
  <c r="M632" i="2"/>
  <c r="AP637" i="2" s="1"/>
  <c r="AP645" i="2" s="1"/>
  <c r="AD664" i="2"/>
  <c r="J626" i="2"/>
  <c r="C637" i="2" s="1"/>
  <c r="C645" i="2" s="1"/>
  <c r="AI664" i="2"/>
  <c r="N633" i="2"/>
  <c r="AW637" i="2" s="1"/>
  <c r="AW645" i="2" s="1"/>
  <c r="M626" i="2"/>
  <c r="F637" i="2" s="1"/>
  <c r="F645" i="2" s="1"/>
  <c r="F664" i="2"/>
  <c r="AG650" i="2" l="1"/>
  <c r="AG652" i="2" s="1"/>
  <c r="U650" i="2"/>
  <c r="X652" i="2" s="1"/>
  <c r="I648" i="2"/>
  <c r="I650" i="2" s="1"/>
  <c r="C648" i="2"/>
  <c r="C647" i="2"/>
  <c r="O647" i="2"/>
  <c r="O650" i="2" s="1"/>
  <c r="AS647" i="2"/>
  <c r="AS650" i="2" s="1"/>
  <c r="AM647" i="2"/>
  <c r="AM650" i="2" s="1"/>
  <c r="AA650" i="2"/>
  <c r="AI652" i="2" l="1"/>
  <c r="AI653" i="2" s="1"/>
  <c r="Y655" i="2" s="1"/>
  <c r="E658" i="2" s="1"/>
  <c r="F667" i="2" s="1"/>
  <c r="V652" i="2"/>
  <c r="V653" i="2" s="1"/>
  <c r="P655" i="2" s="1"/>
  <c r="T658" i="2" s="1"/>
  <c r="U667" i="2" s="1"/>
  <c r="W652" i="2"/>
  <c r="W653" i="2" s="1"/>
  <c r="Q655" i="2" s="1"/>
  <c r="AG658" i="2" s="1"/>
  <c r="AH667" i="2" s="1"/>
  <c r="U652" i="2"/>
  <c r="U653" i="2" s="1"/>
  <c r="O655" i="2" s="1"/>
  <c r="G658" i="2" s="1"/>
  <c r="H667" i="2" s="1"/>
  <c r="AJ652" i="2"/>
  <c r="AJ653" i="2" s="1"/>
  <c r="Z655" i="2" s="1"/>
  <c r="K658" i="2" s="1"/>
  <c r="L667" i="2" s="1"/>
  <c r="AH652" i="2"/>
  <c r="AH653" i="2" s="1"/>
  <c r="X655" i="2" s="1"/>
  <c r="AC658" i="2" s="1"/>
  <c r="AD667" i="2" s="1"/>
  <c r="K652" i="2"/>
  <c r="L652" i="2"/>
  <c r="J652" i="2"/>
  <c r="I652" i="2"/>
  <c r="AB652" i="2"/>
  <c r="AD652" i="2"/>
  <c r="AA652" i="2"/>
  <c r="AC652" i="2"/>
  <c r="AG653" i="2"/>
  <c r="W655" i="2" s="1"/>
  <c r="AH658" i="2" s="1"/>
  <c r="AI667" i="2" s="1"/>
  <c r="X653" i="2"/>
  <c r="R655" i="2" s="1"/>
  <c r="L658" i="2" s="1"/>
  <c r="M667" i="2" s="1"/>
  <c r="R652" i="2"/>
  <c r="Q652" i="2"/>
  <c r="P652" i="2"/>
  <c r="O652" i="2"/>
  <c r="C650" i="2"/>
  <c r="AO652" i="2"/>
  <c r="AP652" i="2"/>
  <c r="AM652" i="2"/>
  <c r="AN652" i="2"/>
  <c r="AS652" i="2"/>
  <c r="AV652" i="2"/>
  <c r="AT652" i="2"/>
  <c r="AU652" i="2"/>
  <c r="L671" i="2" l="1"/>
  <c r="AC671" i="2"/>
  <c r="K671" i="2"/>
  <c r="AH671" i="2"/>
  <c r="AG671" i="2"/>
  <c r="E671" i="2"/>
  <c r="T671" i="2"/>
  <c r="G671" i="2"/>
  <c r="J653" i="2"/>
  <c r="H655" i="2" s="1"/>
  <c r="N658" i="2" s="1"/>
  <c r="O667" i="2" s="1"/>
  <c r="AO653" i="2"/>
  <c r="AC655" i="2" s="1"/>
  <c r="AF658" i="2" s="1"/>
  <c r="AG667" i="2" s="1"/>
  <c r="I653" i="2"/>
  <c r="G655" i="2" s="1"/>
  <c r="AE658" i="2" s="1"/>
  <c r="AF667" i="2" s="1"/>
  <c r="AV653" i="2"/>
  <c r="AH655" i="2" s="1"/>
  <c r="AA658" i="2" s="1"/>
  <c r="AB667" i="2" s="1"/>
  <c r="AN653" i="2"/>
  <c r="AB655" i="2" s="1"/>
  <c r="O658" i="2" s="1"/>
  <c r="P667" i="2" s="1"/>
  <c r="P653" i="2"/>
  <c r="L655" i="2" s="1"/>
  <c r="Q658" i="2" s="1"/>
  <c r="R667" i="2" s="1"/>
  <c r="AM653" i="2"/>
  <c r="AA655" i="2" s="1"/>
  <c r="U658" i="2" s="1"/>
  <c r="V667" i="2" s="1"/>
  <c r="Q653" i="2"/>
  <c r="M655" i="2" s="1"/>
  <c r="Y658" i="2" s="1"/>
  <c r="Z667" i="2" s="1"/>
  <c r="AD653" i="2"/>
  <c r="V655" i="2" s="1"/>
  <c r="P658" i="2" s="1"/>
  <c r="Q667" i="2" s="1"/>
  <c r="L653" i="2"/>
  <c r="J655" i="2" s="1"/>
  <c r="S658" i="2" s="1"/>
  <c r="T667" i="2" s="1"/>
  <c r="AT653" i="2"/>
  <c r="AF655" i="2" s="1"/>
  <c r="M658" i="2" s="1"/>
  <c r="N667" i="2" s="1"/>
  <c r="O653" i="2"/>
  <c r="K655" i="2" s="1"/>
  <c r="C658" i="2" s="1"/>
  <c r="D667" i="2" s="1"/>
  <c r="AC653" i="2"/>
  <c r="U655" i="2" s="1"/>
  <c r="Z658" i="2" s="1"/>
  <c r="AA667" i="2" s="1"/>
  <c r="D652" i="2"/>
  <c r="E652" i="2"/>
  <c r="F652" i="2"/>
  <c r="C652" i="2"/>
  <c r="AA653" i="2"/>
  <c r="S655" i="2" s="1"/>
  <c r="D658" i="2" s="1"/>
  <c r="E667" i="2" s="1"/>
  <c r="AS653" i="2"/>
  <c r="AE655" i="2" s="1"/>
  <c r="X658" i="2" s="1"/>
  <c r="Y667" i="2" s="1"/>
  <c r="AU653" i="2"/>
  <c r="AG655" i="2" s="1"/>
  <c r="F658" i="2" s="1"/>
  <c r="G667" i="2" s="1"/>
  <c r="AP653" i="2"/>
  <c r="AD655" i="2" s="1"/>
  <c r="H658" i="2" s="1"/>
  <c r="I667" i="2" s="1"/>
  <c r="R653" i="2"/>
  <c r="N655" i="2" s="1"/>
  <c r="AB658" i="2" s="1"/>
  <c r="AC667" i="2" s="1"/>
  <c r="AB653" i="2"/>
  <c r="T655" i="2" s="1"/>
  <c r="J658" i="2" s="1"/>
  <c r="K667" i="2" s="1"/>
  <c r="K653" i="2"/>
  <c r="I655" i="2" s="1"/>
  <c r="AD658" i="2" s="1"/>
  <c r="AE667" i="2" s="1"/>
  <c r="AB671" i="2" l="1"/>
  <c r="D671" i="2"/>
  <c r="S671" i="2"/>
  <c r="Q671" i="2"/>
  <c r="AF671" i="2"/>
  <c r="H671" i="2"/>
  <c r="P671" i="2"/>
  <c r="O671" i="2"/>
  <c r="N671" i="2"/>
  <c r="AD671" i="2"/>
  <c r="F671" i="2"/>
  <c r="C671" i="2"/>
  <c r="Y671" i="2"/>
  <c r="AA671" i="2"/>
  <c r="J671" i="2"/>
  <c r="X671" i="2"/>
  <c r="M671" i="2"/>
  <c r="U671" i="2"/>
  <c r="AE671" i="2"/>
  <c r="Z671" i="2"/>
  <c r="E653" i="2"/>
  <c r="E655" i="2" s="1"/>
  <c r="V658" i="2" s="1"/>
  <c r="W667" i="2" s="1"/>
  <c r="AD713" i="2"/>
  <c r="M681" i="2"/>
  <c r="AP686" i="2" s="1"/>
  <c r="AP694" i="2" s="1"/>
  <c r="H713" i="2"/>
  <c r="K676" i="2"/>
  <c r="J686" i="2" s="1"/>
  <c r="J694" i="2" s="1"/>
  <c r="O675" i="2"/>
  <c r="H686" i="2" s="1"/>
  <c r="H694" i="2" s="1"/>
  <c r="N682" i="2"/>
  <c r="AW686" i="2" s="1"/>
  <c r="AW694" i="2" s="1"/>
  <c r="AI713" i="2"/>
  <c r="J675" i="2"/>
  <c r="C686" i="2" s="1"/>
  <c r="C694" i="2" s="1"/>
  <c r="D653" i="2"/>
  <c r="D655" i="2" s="1"/>
  <c r="I658" i="2" s="1"/>
  <c r="J667" i="2" s="1"/>
  <c r="U713" i="2"/>
  <c r="L679" i="2"/>
  <c r="AC686" i="2" s="1"/>
  <c r="AC694" i="2" s="1"/>
  <c r="O676" i="2"/>
  <c r="N686" i="2" s="1"/>
  <c r="N694" i="2" s="1"/>
  <c r="K677" i="2"/>
  <c r="P686" i="2" s="1"/>
  <c r="P694" i="2" s="1"/>
  <c r="L713" i="2"/>
  <c r="C653" i="2"/>
  <c r="C655" i="2" s="1"/>
  <c r="R658" i="2" s="1"/>
  <c r="S667" i="2" s="1"/>
  <c r="M675" i="2"/>
  <c r="F686" i="2" s="1"/>
  <c r="F694" i="2" s="1"/>
  <c r="F713" i="2"/>
  <c r="F653" i="2"/>
  <c r="F655" i="2" s="1"/>
  <c r="W658" i="2" s="1"/>
  <c r="X667" i="2" s="1"/>
  <c r="M682" i="2"/>
  <c r="AV686" i="2" s="1"/>
  <c r="AV694" i="2" s="1"/>
  <c r="AH713" i="2"/>
  <c r="L677" i="2"/>
  <c r="Q686" i="2" s="1"/>
  <c r="Q694" i="2" s="1"/>
  <c r="M713" i="2"/>
  <c r="R671" i="2" l="1"/>
  <c r="W671" i="2"/>
  <c r="I671" i="2"/>
  <c r="C697" i="2"/>
  <c r="V671" i="2"/>
  <c r="N680" i="2"/>
  <c r="AK686" i="2" s="1"/>
  <c r="AK694" i="2" s="1"/>
  <c r="AA713" i="2"/>
  <c r="J681" i="2"/>
  <c r="AM686" i="2" s="1"/>
  <c r="AM694" i="2" s="1"/>
  <c r="L680" i="2"/>
  <c r="AI686" i="2" s="1"/>
  <c r="AI694" i="2" s="1"/>
  <c r="Y713" i="2"/>
  <c r="D713" i="2"/>
  <c r="K675" i="2"/>
  <c r="D686" i="2" s="1"/>
  <c r="D694" i="2" s="1"/>
  <c r="O682" i="2"/>
  <c r="AX686" i="2" s="1"/>
  <c r="AX694" i="2" s="1"/>
  <c r="O677" i="2"/>
  <c r="T686" i="2" s="1"/>
  <c r="T694" i="2" s="1"/>
  <c r="P713" i="2"/>
  <c r="K678" i="2"/>
  <c r="V686" i="2" s="1"/>
  <c r="V694" i="2" s="1"/>
  <c r="R713" i="2"/>
  <c r="M678" i="2"/>
  <c r="X686" i="2" s="1"/>
  <c r="X694" i="2" s="1"/>
  <c r="AF713" i="2"/>
  <c r="O681" i="2"/>
  <c r="AR686" i="2" s="1"/>
  <c r="AR694" i="2" s="1"/>
  <c r="K682" i="2"/>
  <c r="AT686" i="2" s="1"/>
  <c r="AT694" i="2" s="1"/>
  <c r="J677" i="2"/>
  <c r="O686" i="2" s="1"/>
  <c r="O694" i="2" s="1"/>
  <c r="K713" i="2"/>
  <c r="N676" i="2"/>
  <c r="M686" i="2" s="1"/>
  <c r="M694" i="2" s="1"/>
  <c r="J676" i="2"/>
  <c r="I686" i="2" s="1"/>
  <c r="I694" i="2" s="1"/>
  <c r="G713" i="2"/>
  <c r="N675" i="2"/>
  <c r="G686" i="2" s="1"/>
  <c r="G694" i="2" s="1"/>
  <c r="Q713" i="2"/>
  <c r="L678" i="2"/>
  <c r="W686" i="2" s="1"/>
  <c r="W694" i="2" s="1"/>
  <c r="O678" i="2"/>
  <c r="Z686" i="2" s="1"/>
  <c r="Z694" i="2" s="1"/>
  <c r="K679" i="2"/>
  <c r="AB686" i="2" s="1"/>
  <c r="AB694" i="2" s="1"/>
  <c r="T713" i="2"/>
  <c r="V713" i="2"/>
  <c r="M679" i="2"/>
  <c r="AD686" i="2" s="1"/>
  <c r="AD694" i="2" s="1"/>
  <c r="AB713" i="2"/>
  <c r="O680" i="2"/>
  <c r="AL686" i="2" s="1"/>
  <c r="AL694" i="2" s="1"/>
  <c r="K681" i="2"/>
  <c r="AN686" i="2" s="1"/>
  <c r="AN694" i="2" s="1"/>
  <c r="N681" i="2"/>
  <c r="AQ686" i="2" s="1"/>
  <c r="AQ694" i="2" s="1"/>
  <c r="J682" i="2"/>
  <c r="AS686" i="2" s="1"/>
  <c r="AS694" i="2" s="1"/>
  <c r="AE713" i="2"/>
  <c r="L676" i="2"/>
  <c r="K686" i="2" s="1"/>
  <c r="K694" i="2" s="1"/>
  <c r="I713" i="2"/>
  <c r="L675" i="2"/>
  <c r="E686" i="2" s="1"/>
  <c r="E694" i="2" s="1"/>
  <c r="E713" i="2"/>
  <c r="M677" i="2"/>
  <c r="R686" i="2" s="1"/>
  <c r="R694" i="2" s="1"/>
  <c r="N713" i="2"/>
  <c r="Z713" i="2"/>
  <c r="M680" i="2"/>
  <c r="AJ686" i="2" s="1"/>
  <c r="AJ694" i="2" s="1"/>
  <c r="O713" i="2"/>
  <c r="J678" i="2"/>
  <c r="U686" i="2" s="1"/>
  <c r="U694" i="2" s="1"/>
  <c r="N677" i="2"/>
  <c r="S686" i="2" s="1"/>
  <c r="S694" i="2" s="1"/>
  <c r="L682" i="2"/>
  <c r="AU686" i="2" s="1"/>
  <c r="AU694" i="2" s="1"/>
  <c r="AG713" i="2"/>
  <c r="L681" i="2"/>
  <c r="AO686" i="2" s="1"/>
  <c r="AO694" i="2" s="1"/>
  <c r="AC713" i="2"/>
  <c r="AS697" i="2" l="1"/>
  <c r="U697" i="2"/>
  <c r="O697" i="2"/>
  <c r="O696" i="2"/>
  <c r="AM696" i="2"/>
  <c r="I697" i="2"/>
  <c r="AS696" i="2"/>
  <c r="C696" i="2"/>
  <c r="C699" i="2" s="1"/>
  <c r="AM697" i="2"/>
  <c r="J680" i="2"/>
  <c r="AG686" i="2" s="1"/>
  <c r="AG694" i="2" s="1"/>
  <c r="W713" i="2"/>
  <c r="N679" i="2"/>
  <c r="AE686" i="2" s="1"/>
  <c r="AE694" i="2" s="1"/>
  <c r="M676" i="2"/>
  <c r="L686" i="2" s="1"/>
  <c r="L694" i="2" s="1"/>
  <c r="J713" i="2"/>
  <c r="O679" i="2"/>
  <c r="AF686" i="2" s="1"/>
  <c r="AF694" i="2" s="1"/>
  <c r="K680" i="2"/>
  <c r="AH686" i="2" s="1"/>
  <c r="AH694" i="2" s="1"/>
  <c r="X713" i="2"/>
  <c r="J679" i="2"/>
  <c r="AA686" i="2" s="1"/>
  <c r="AA694" i="2" s="1"/>
  <c r="N678" i="2"/>
  <c r="Y686" i="2" s="1"/>
  <c r="Y694" i="2" s="1"/>
  <c r="S713" i="2"/>
  <c r="AM699" i="2" l="1"/>
  <c r="AO701" i="2" s="1"/>
  <c r="AS699" i="2"/>
  <c r="AS701" i="2" s="1"/>
  <c r="AA697" i="2"/>
  <c r="AG697" i="2"/>
  <c r="I696" i="2"/>
  <c r="I699" i="2" s="1"/>
  <c r="AG696" i="2"/>
  <c r="AA696" i="2"/>
  <c r="U696" i="2"/>
  <c r="U699" i="2" s="1"/>
  <c r="AN701" i="2"/>
  <c r="O699" i="2"/>
  <c r="E701" i="2"/>
  <c r="D701" i="2"/>
  <c r="C701" i="2"/>
  <c r="F701" i="2"/>
  <c r="AP701" i="2" l="1"/>
  <c r="AM701" i="2"/>
  <c r="AA699" i="2"/>
  <c r="AB701" i="2" s="1"/>
  <c r="AT701" i="2"/>
  <c r="AT702" i="2" s="1"/>
  <c r="AF704" i="2" s="1"/>
  <c r="M707" i="2" s="1"/>
  <c r="N716" i="2" s="1"/>
  <c r="AV701" i="2"/>
  <c r="AV702" i="2" s="1"/>
  <c r="AH704" i="2" s="1"/>
  <c r="AA707" i="2" s="1"/>
  <c r="AB716" i="2" s="1"/>
  <c r="AU701" i="2"/>
  <c r="AU702" i="2" s="1"/>
  <c r="AG704" i="2" s="1"/>
  <c r="F707" i="2" s="1"/>
  <c r="G716" i="2" s="1"/>
  <c r="AG699" i="2"/>
  <c r="AG701" i="2" s="1"/>
  <c r="E702" i="2"/>
  <c r="E704" i="2" s="1"/>
  <c r="V707" i="2" s="1"/>
  <c r="W716" i="2" s="1"/>
  <c r="AO702" i="2"/>
  <c r="AC704" i="2" s="1"/>
  <c r="AF707" i="2" s="1"/>
  <c r="AG716" i="2" s="1"/>
  <c r="F702" i="2"/>
  <c r="F704" i="2" s="1"/>
  <c r="W707" i="2" s="1"/>
  <c r="X716" i="2" s="1"/>
  <c r="R701" i="2"/>
  <c r="Q701" i="2"/>
  <c r="O701" i="2"/>
  <c r="P701" i="2"/>
  <c r="AN702" i="2"/>
  <c r="AB704" i="2" s="1"/>
  <c r="O707" i="2" s="1"/>
  <c r="P716" i="2" s="1"/>
  <c r="J701" i="2"/>
  <c r="K701" i="2"/>
  <c r="I701" i="2"/>
  <c r="L701" i="2"/>
  <c r="AP702" i="2"/>
  <c r="AD704" i="2" s="1"/>
  <c r="H707" i="2" s="1"/>
  <c r="I716" i="2" s="1"/>
  <c r="W701" i="2"/>
  <c r="X701" i="2"/>
  <c r="V701" i="2"/>
  <c r="U701" i="2"/>
  <c r="C702" i="2"/>
  <c r="C704" i="2" s="1"/>
  <c r="R707" i="2" s="1"/>
  <c r="S716" i="2" s="1"/>
  <c r="AS702" i="2"/>
  <c r="AE704" i="2" s="1"/>
  <c r="X707" i="2" s="1"/>
  <c r="Y716" i="2" s="1"/>
  <c r="D702" i="2"/>
  <c r="D704" i="2" s="1"/>
  <c r="I707" i="2" s="1"/>
  <c r="J716" i="2" s="1"/>
  <c r="AM702" i="2"/>
  <c r="AA704" i="2" s="1"/>
  <c r="U707" i="2" s="1"/>
  <c r="V716" i="2" s="1"/>
  <c r="AA701" i="2" l="1"/>
  <c r="AA702" i="2" s="1"/>
  <c r="S704" i="2" s="1"/>
  <c r="D707" i="2" s="1"/>
  <c r="E716" i="2" s="1"/>
  <c r="AC701" i="2"/>
  <c r="AC702" i="2" s="1"/>
  <c r="U704" i="2" s="1"/>
  <c r="Z707" i="2" s="1"/>
  <c r="AA716" i="2" s="1"/>
  <c r="AD701" i="2"/>
  <c r="AD702" i="2" s="1"/>
  <c r="V704" i="2" s="1"/>
  <c r="P707" i="2" s="1"/>
  <c r="Q716" i="2" s="1"/>
  <c r="AJ701" i="2"/>
  <c r="AJ702" i="2" s="1"/>
  <c r="Z704" i="2" s="1"/>
  <c r="K707" i="2" s="1"/>
  <c r="L716" i="2" s="1"/>
  <c r="AH701" i="2"/>
  <c r="AH702" i="2" s="1"/>
  <c r="X704" i="2" s="1"/>
  <c r="AC707" i="2" s="1"/>
  <c r="AD716" i="2" s="1"/>
  <c r="AI701" i="2"/>
  <c r="AI702" i="2" s="1"/>
  <c r="Y704" i="2" s="1"/>
  <c r="E707" i="2" s="1"/>
  <c r="F716" i="2" s="1"/>
  <c r="X720" i="2"/>
  <c r="M720" i="2"/>
  <c r="U720" i="2"/>
  <c r="AA720" i="2"/>
  <c r="O720" i="2"/>
  <c r="F720" i="2"/>
  <c r="I720" i="2"/>
  <c r="R720" i="2"/>
  <c r="H720" i="2"/>
  <c r="W720" i="2"/>
  <c r="AF720" i="2"/>
  <c r="V720" i="2"/>
  <c r="X702" i="2"/>
  <c r="R704" i="2" s="1"/>
  <c r="L707" i="2" s="1"/>
  <c r="M716" i="2" s="1"/>
  <c r="Q702" i="2"/>
  <c r="M704" i="2" s="1"/>
  <c r="Y707" i="2" s="1"/>
  <c r="Z716" i="2" s="1"/>
  <c r="W702" i="2"/>
  <c r="Q704" i="2" s="1"/>
  <c r="AG707" i="2" s="1"/>
  <c r="AH716" i="2" s="1"/>
  <c r="L702" i="2"/>
  <c r="J704" i="2" s="1"/>
  <c r="S707" i="2" s="1"/>
  <c r="T716" i="2" s="1"/>
  <c r="I702" i="2"/>
  <c r="G704" i="2" s="1"/>
  <c r="AE707" i="2" s="1"/>
  <c r="AF716" i="2" s="1"/>
  <c r="R702" i="2"/>
  <c r="N704" i="2" s="1"/>
  <c r="AB707" i="2" s="1"/>
  <c r="AC716" i="2" s="1"/>
  <c r="U702" i="2"/>
  <c r="O704" i="2" s="1"/>
  <c r="G707" i="2" s="1"/>
  <c r="H716" i="2" s="1"/>
  <c r="K702" i="2"/>
  <c r="I704" i="2" s="1"/>
  <c r="AD707" i="2" s="1"/>
  <c r="AE716" i="2" s="1"/>
  <c r="P702" i="2"/>
  <c r="L704" i="2" s="1"/>
  <c r="Q707" i="2" s="1"/>
  <c r="R716" i="2" s="1"/>
  <c r="AB702" i="2"/>
  <c r="T704" i="2" s="1"/>
  <c r="J707" i="2" s="1"/>
  <c r="K716" i="2" s="1"/>
  <c r="V702" i="2"/>
  <c r="P704" i="2" s="1"/>
  <c r="T707" i="2" s="1"/>
  <c r="U716" i="2" s="1"/>
  <c r="J702" i="2"/>
  <c r="H704" i="2" s="1"/>
  <c r="N707" i="2" s="1"/>
  <c r="O716" i="2" s="1"/>
  <c r="O702" i="2"/>
  <c r="K704" i="2" s="1"/>
  <c r="C707" i="2" s="1"/>
  <c r="D716" i="2" s="1"/>
  <c r="AG702" i="2"/>
  <c r="W704" i="2" s="1"/>
  <c r="AH707" i="2" s="1"/>
  <c r="AI716" i="2" s="1"/>
  <c r="AB720" i="2" l="1"/>
  <c r="L720" i="2"/>
  <c r="N720" i="2"/>
  <c r="G720" i="2"/>
  <c r="AG720" i="2"/>
  <c r="AH720" i="2"/>
  <c r="T720" i="2"/>
  <c r="Q720" i="2"/>
  <c r="S720" i="2"/>
  <c r="J720" i="2"/>
  <c r="P720" i="2"/>
  <c r="C720" i="2"/>
  <c r="K720" i="2"/>
  <c r="AD720" i="2"/>
  <c r="Z720" i="2"/>
  <c r="AE720" i="2"/>
  <c r="E720" i="2"/>
  <c r="AC720" i="2"/>
  <c r="Y720" i="2"/>
  <c r="D720" i="2"/>
  <c r="W762" i="2"/>
  <c r="N728" i="2"/>
  <c r="AE735" i="2" s="1"/>
  <c r="AE743" i="2" s="1"/>
  <c r="J729" i="2"/>
  <c r="AG735" i="2" s="1"/>
  <c r="AG743" i="2" s="1"/>
  <c r="J728" i="2"/>
  <c r="AA735" i="2" s="1"/>
  <c r="AA743" i="2" s="1"/>
  <c r="N727" i="2"/>
  <c r="Y735" i="2" s="1"/>
  <c r="Y743" i="2" s="1"/>
  <c r="S762" i="2"/>
  <c r="AB762" i="2"/>
  <c r="O729" i="2"/>
  <c r="AL735" i="2" s="1"/>
  <c r="AL743" i="2" s="1"/>
  <c r="K730" i="2"/>
  <c r="AN735" i="2" s="1"/>
  <c r="AN743" i="2" s="1"/>
  <c r="L731" i="2"/>
  <c r="AU735" i="2" s="1"/>
  <c r="AU743" i="2" s="1"/>
  <c r="AG762" i="2"/>
  <c r="M725" i="2"/>
  <c r="L735" i="2" s="1"/>
  <c r="L743" i="2" s="1"/>
  <c r="J762" i="2"/>
  <c r="M728" i="2"/>
  <c r="AD735" i="2" s="1"/>
  <c r="AD743" i="2" s="1"/>
  <c r="V762" i="2"/>
  <c r="O728" i="2"/>
  <c r="AF735" i="2" s="1"/>
  <c r="AF743" i="2" s="1"/>
  <c r="X762" i="2"/>
  <c r="K729" i="2"/>
  <c r="AH735" i="2" s="1"/>
  <c r="AH743" i="2" s="1"/>
  <c r="G762" i="2"/>
  <c r="N724" i="2"/>
  <c r="G735" i="2" s="1"/>
  <c r="G743" i="2" s="1"/>
  <c r="J725" i="2"/>
  <c r="I735" i="2" s="1"/>
  <c r="I743" i="2" s="1"/>
  <c r="M726" i="2"/>
  <c r="R735" i="2" s="1"/>
  <c r="R743" i="2" s="1"/>
  <c r="N762" i="2"/>
  <c r="I762" i="2"/>
  <c r="L725" i="2"/>
  <c r="K735" i="2" s="1"/>
  <c r="K743" i="2" s="1"/>
  <c r="O726" i="2"/>
  <c r="T735" i="2" s="1"/>
  <c r="T743" i="2" s="1"/>
  <c r="K727" i="2"/>
  <c r="V735" i="2" s="1"/>
  <c r="V743" i="2" s="1"/>
  <c r="P762" i="2"/>
  <c r="Y762" i="2"/>
  <c r="L729" i="2"/>
  <c r="AI735" i="2" s="1"/>
  <c r="AI743" i="2" s="1"/>
  <c r="AA746" i="2" l="1"/>
  <c r="AG746" i="2"/>
  <c r="K726" i="2"/>
  <c r="P735" i="2" s="1"/>
  <c r="P743" i="2" s="1"/>
  <c r="L762" i="2"/>
  <c r="O725" i="2"/>
  <c r="N735" i="2" s="1"/>
  <c r="N743" i="2" s="1"/>
  <c r="J727" i="2"/>
  <c r="U735" i="2" s="1"/>
  <c r="U743" i="2" s="1"/>
  <c r="N726" i="2"/>
  <c r="S735" i="2" s="1"/>
  <c r="S743" i="2" s="1"/>
  <c r="O762" i="2"/>
  <c r="M724" i="2"/>
  <c r="F735" i="2" s="1"/>
  <c r="F743" i="2" s="1"/>
  <c r="F762" i="2"/>
  <c r="O727" i="2"/>
  <c r="Z735" i="2" s="1"/>
  <c r="Z743" i="2" s="1"/>
  <c r="T762" i="2"/>
  <c r="K728" i="2"/>
  <c r="AB735" i="2" s="1"/>
  <c r="AB743" i="2" s="1"/>
  <c r="AH762" i="2"/>
  <c r="M731" i="2"/>
  <c r="AV735" i="2" s="1"/>
  <c r="AV743" i="2" s="1"/>
  <c r="L724" i="2"/>
  <c r="E735" i="2" s="1"/>
  <c r="E743" i="2" s="1"/>
  <c r="E762" i="2"/>
  <c r="K731" i="2"/>
  <c r="AT735" i="2" s="1"/>
  <c r="AT743" i="2" s="1"/>
  <c r="AF762" i="2"/>
  <c r="O730" i="2"/>
  <c r="AR735" i="2" s="1"/>
  <c r="AR743" i="2" s="1"/>
  <c r="K724" i="2"/>
  <c r="D735" i="2" s="1"/>
  <c r="D743" i="2" s="1"/>
  <c r="D762" i="2"/>
  <c r="O731" i="2"/>
  <c r="AX735" i="2" s="1"/>
  <c r="AX743" i="2" s="1"/>
  <c r="R762" i="2"/>
  <c r="M727" i="2"/>
  <c r="X735" i="2" s="1"/>
  <c r="X743" i="2" s="1"/>
  <c r="O724" i="2"/>
  <c r="H735" i="2" s="1"/>
  <c r="H743" i="2" s="1"/>
  <c r="H762" i="2"/>
  <c r="K725" i="2"/>
  <c r="J735" i="2" s="1"/>
  <c r="J743" i="2" s="1"/>
  <c r="M729" i="2"/>
  <c r="AJ735" i="2" s="1"/>
  <c r="AJ743" i="2" s="1"/>
  <c r="Z762" i="2"/>
  <c r="J730" i="2"/>
  <c r="AM735" i="2" s="1"/>
  <c r="AM743" i="2" s="1"/>
  <c r="AA762" i="2"/>
  <c r="N729" i="2"/>
  <c r="AK735" i="2" s="1"/>
  <c r="AK743" i="2" s="1"/>
  <c r="Q762" i="2"/>
  <c r="L727" i="2"/>
  <c r="W735" i="2" s="1"/>
  <c r="W743" i="2" s="1"/>
  <c r="U762" i="2"/>
  <c r="L728" i="2"/>
  <c r="AC735" i="2" s="1"/>
  <c r="AC743" i="2" s="1"/>
  <c r="AD762" i="2"/>
  <c r="M730" i="2"/>
  <c r="AP735" i="2" s="1"/>
  <c r="AP743" i="2" s="1"/>
  <c r="N730" i="2"/>
  <c r="AQ735" i="2" s="1"/>
  <c r="AQ743" i="2" s="1"/>
  <c r="AE762" i="2"/>
  <c r="J731" i="2"/>
  <c r="AS735" i="2" s="1"/>
  <c r="AS743" i="2" s="1"/>
  <c r="N725" i="2"/>
  <c r="M735" i="2" s="1"/>
  <c r="M743" i="2" s="1"/>
  <c r="K762" i="2"/>
  <c r="J726" i="2"/>
  <c r="O735" i="2" s="1"/>
  <c r="O743" i="2" s="1"/>
  <c r="AI762" i="2"/>
  <c r="N731" i="2"/>
  <c r="AW735" i="2" s="1"/>
  <c r="AW743" i="2" s="1"/>
  <c r="J724" i="2"/>
  <c r="C735" i="2" s="1"/>
  <c r="C743" i="2" s="1"/>
  <c r="L726" i="2"/>
  <c r="Q735" i="2" s="1"/>
  <c r="Q743" i="2" s="1"/>
  <c r="M762" i="2"/>
  <c r="AC762" i="2"/>
  <c r="L730" i="2"/>
  <c r="AO735" i="2" s="1"/>
  <c r="AO743" i="2" s="1"/>
  <c r="AS745" i="2" l="1"/>
  <c r="U746" i="2"/>
  <c r="AM745" i="2"/>
  <c r="C746" i="2"/>
  <c r="I745" i="2"/>
  <c r="U745" i="2"/>
  <c r="AM746" i="2"/>
  <c r="O745" i="2"/>
  <c r="AS746" i="2"/>
  <c r="O746" i="2"/>
  <c r="AG745" i="2"/>
  <c r="AG748" i="2" s="1"/>
  <c r="C745" i="2"/>
  <c r="AA745" i="2"/>
  <c r="AA748" i="2" s="1"/>
  <c r="I746" i="2"/>
  <c r="U748" i="2" l="1"/>
  <c r="V750" i="2" s="1"/>
  <c r="O748" i="2"/>
  <c r="P750" i="2" s="1"/>
  <c r="AA750" i="2"/>
  <c r="AB750" i="2"/>
  <c r="AC750" i="2"/>
  <c r="AD750" i="2"/>
  <c r="AS748" i="2"/>
  <c r="C748" i="2"/>
  <c r="AJ750" i="2"/>
  <c r="AG750" i="2"/>
  <c r="AH750" i="2"/>
  <c r="AI750" i="2"/>
  <c r="AM748" i="2"/>
  <c r="I748" i="2"/>
  <c r="U750" i="2" l="1"/>
  <c r="U751" i="2" s="1"/>
  <c r="O753" i="2" s="1"/>
  <c r="G756" i="2" s="1"/>
  <c r="H765" i="2" s="1"/>
  <c r="X750" i="2"/>
  <c r="X751" i="2" s="1"/>
  <c r="R753" i="2" s="1"/>
  <c r="L756" i="2" s="1"/>
  <c r="M765" i="2" s="1"/>
  <c r="W750" i="2"/>
  <c r="W751" i="2" s="1"/>
  <c r="Q753" i="2" s="1"/>
  <c r="AG756" i="2" s="1"/>
  <c r="AH765" i="2" s="1"/>
  <c r="O750" i="2"/>
  <c r="O751" i="2" s="1"/>
  <c r="K753" i="2" s="1"/>
  <c r="C756" i="2" s="1"/>
  <c r="D765" i="2" s="1"/>
  <c r="Q750" i="2"/>
  <c r="Q751" i="2" s="1"/>
  <c r="M753" i="2" s="1"/>
  <c r="Y756" i="2" s="1"/>
  <c r="Z765" i="2" s="1"/>
  <c r="R750" i="2"/>
  <c r="R751" i="2" s="1"/>
  <c r="N753" i="2" s="1"/>
  <c r="AB756" i="2" s="1"/>
  <c r="AC765" i="2" s="1"/>
  <c r="AI751" i="2"/>
  <c r="Y753" i="2" s="1"/>
  <c r="E756" i="2" s="1"/>
  <c r="F765" i="2" s="1"/>
  <c r="P751" i="2"/>
  <c r="L753" i="2" s="1"/>
  <c r="Q756" i="2" s="1"/>
  <c r="R765" i="2" s="1"/>
  <c r="AB751" i="2"/>
  <c r="T753" i="2" s="1"/>
  <c r="J756" i="2" s="1"/>
  <c r="K765" i="2" s="1"/>
  <c r="AH751" i="2"/>
  <c r="X753" i="2" s="1"/>
  <c r="AC756" i="2" s="1"/>
  <c r="AD765" i="2" s="1"/>
  <c r="AU750" i="2"/>
  <c r="AT750" i="2"/>
  <c r="AV750" i="2"/>
  <c r="AS750" i="2"/>
  <c r="AA751" i="2"/>
  <c r="S753" i="2" s="1"/>
  <c r="D756" i="2" s="1"/>
  <c r="E765" i="2" s="1"/>
  <c r="V751" i="2"/>
  <c r="P753" i="2" s="1"/>
  <c r="T756" i="2" s="1"/>
  <c r="U765" i="2" s="1"/>
  <c r="L750" i="2"/>
  <c r="J750" i="2"/>
  <c r="I750" i="2"/>
  <c r="K750" i="2"/>
  <c r="AG751" i="2"/>
  <c r="W753" i="2" s="1"/>
  <c r="AH756" i="2" s="1"/>
  <c r="AI765" i="2" s="1"/>
  <c r="AD751" i="2"/>
  <c r="V753" i="2" s="1"/>
  <c r="P756" i="2" s="1"/>
  <c r="Q765" i="2" s="1"/>
  <c r="AO750" i="2"/>
  <c r="AN750" i="2"/>
  <c r="AP750" i="2"/>
  <c r="AM750" i="2"/>
  <c r="AJ751" i="2"/>
  <c r="Z753" i="2" s="1"/>
  <c r="K756" i="2" s="1"/>
  <c r="L765" i="2" s="1"/>
  <c r="AC751" i="2"/>
  <c r="U753" i="2" s="1"/>
  <c r="Z756" i="2" s="1"/>
  <c r="AA765" i="2" s="1"/>
  <c r="D750" i="2"/>
  <c r="F750" i="2"/>
  <c r="C750" i="2"/>
  <c r="E750" i="2"/>
  <c r="Z769" i="2" l="1"/>
  <c r="P769" i="2"/>
  <c r="D769" i="2"/>
  <c r="J769" i="2"/>
  <c r="AB769" i="2"/>
  <c r="Y769" i="2"/>
  <c r="C769" i="2"/>
  <c r="Q769" i="2"/>
  <c r="K769" i="2"/>
  <c r="AH769" i="2"/>
  <c r="AC769" i="2"/>
  <c r="E769" i="2"/>
  <c r="AG769" i="2"/>
  <c r="L769" i="2"/>
  <c r="T769" i="2"/>
  <c r="G769" i="2"/>
  <c r="AS751" i="2"/>
  <c r="AE753" i="2" s="1"/>
  <c r="X756" i="2" s="1"/>
  <c r="Y765" i="2" s="1"/>
  <c r="AV751" i="2"/>
  <c r="AH753" i="2" s="1"/>
  <c r="AA756" i="2" s="1"/>
  <c r="AB765" i="2" s="1"/>
  <c r="D751" i="2"/>
  <c r="D753" i="2" s="1"/>
  <c r="I756" i="2" s="1"/>
  <c r="J765" i="2" s="1"/>
  <c r="F751" i="2"/>
  <c r="F753" i="2" s="1"/>
  <c r="W756" i="2" s="1"/>
  <c r="X765" i="2" s="1"/>
  <c r="AM751" i="2"/>
  <c r="AA753" i="2" s="1"/>
  <c r="U756" i="2" s="1"/>
  <c r="V765" i="2" s="1"/>
  <c r="K751" i="2"/>
  <c r="I753" i="2" s="1"/>
  <c r="AD756" i="2" s="1"/>
  <c r="AE765" i="2" s="1"/>
  <c r="AP751" i="2"/>
  <c r="AD753" i="2" s="1"/>
  <c r="H756" i="2" s="1"/>
  <c r="I765" i="2" s="1"/>
  <c r="I751" i="2"/>
  <c r="G753" i="2" s="1"/>
  <c r="AE756" i="2" s="1"/>
  <c r="AF765" i="2" s="1"/>
  <c r="E751" i="2"/>
  <c r="E753" i="2" s="1"/>
  <c r="V756" i="2" s="1"/>
  <c r="W765" i="2" s="1"/>
  <c r="AN751" i="2"/>
  <c r="AB753" i="2" s="1"/>
  <c r="O756" i="2" s="1"/>
  <c r="P765" i="2" s="1"/>
  <c r="J751" i="2"/>
  <c r="H753" i="2" s="1"/>
  <c r="N756" i="2" s="1"/>
  <c r="O765" i="2" s="1"/>
  <c r="AT751" i="2"/>
  <c r="AF753" i="2" s="1"/>
  <c r="M756" i="2" s="1"/>
  <c r="N765" i="2" s="1"/>
  <c r="C751" i="2"/>
  <c r="C753" i="2" s="1"/>
  <c r="R756" i="2" s="1"/>
  <c r="S765" i="2" s="1"/>
  <c r="AO751" i="2"/>
  <c r="AC753" i="2" s="1"/>
  <c r="AF756" i="2" s="1"/>
  <c r="AG765" i="2" s="1"/>
  <c r="L751" i="2"/>
  <c r="J753" i="2" s="1"/>
  <c r="S756" i="2" s="1"/>
  <c r="T765" i="2" s="1"/>
  <c r="AU751" i="2"/>
  <c r="AG753" i="2" s="1"/>
  <c r="F756" i="2" s="1"/>
  <c r="G765" i="2" s="1"/>
  <c r="O769" i="2" l="1"/>
  <c r="AA769" i="2"/>
  <c r="M769" i="2"/>
  <c r="W769" i="2"/>
  <c r="AF769" i="2"/>
  <c r="AD769" i="2"/>
  <c r="F769" i="2"/>
  <c r="AE769" i="2"/>
  <c r="S769" i="2"/>
  <c r="R769" i="2"/>
  <c r="N769" i="2"/>
  <c r="V769" i="2"/>
  <c r="H769" i="2"/>
  <c r="U769" i="2"/>
  <c r="I769" i="2"/>
  <c r="X769" i="2"/>
  <c r="H811" i="2"/>
  <c r="AM817" i="2" s="1"/>
  <c r="K826" i="2" s="1"/>
  <c r="AA837" i="2" s="1"/>
  <c r="O773" i="2"/>
  <c r="H784" i="2" s="1"/>
  <c r="H792" i="2" s="1"/>
  <c r="K774" i="2"/>
  <c r="J784" i="2" s="1"/>
  <c r="J792" i="2" s="1"/>
  <c r="M773" i="2"/>
  <c r="F784" i="2" s="1"/>
  <c r="F792" i="2" s="1"/>
  <c r="F811" i="2"/>
  <c r="AK817" i="2" s="1"/>
  <c r="K828" i="2" s="1"/>
  <c r="AQ837" i="2" s="1"/>
  <c r="M776" i="2"/>
  <c r="X784" i="2" s="1"/>
  <c r="X792" i="2" s="1"/>
  <c r="R811" i="2"/>
  <c r="AW817" i="2" s="1"/>
  <c r="M824" i="2" s="1"/>
  <c r="M837" i="2" s="1"/>
  <c r="M5" i="6" s="1"/>
  <c r="Q16" i="6" s="1"/>
  <c r="Q23" i="6" s="1"/>
  <c r="K811" i="2"/>
  <c r="AP817" i="2" s="1"/>
  <c r="K823" i="2" s="1"/>
  <c r="C837" i="2" s="1"/>
  <c r="J775" i="2"/>
  <c r="O784" i="2" s="1"/>
  <c r="O792" i="2" s="1"/>
  <c r="N774" i="2"/>
  <c r="M784" i="2" s="1"/>
  <c r="M792" i="2" s="1"/>
  <c r="L777" i="2"/>
  <c r="AC784" i="2" s="1"/>
  <c r="AC792" i="2" s="1"/>
  <c r="U811" i="2"/>
  <c r="AZ817" i="2" s="1"/>
  <c r="O829" i="2" s="1"/>
  <c r="BC837" i="2" s="1"/>
  <c r="BC5" i="6" s="1"/>
  <c r="L17" i="6" s="1"/>
  <c r="T23" i="6" s="1"/>
  <c r="AD811" i="2"/>
  <c r="BI817" i="2" s="1"/>
  <c r="Q828" i="2" s="1"/>
  <c r="AW837" i="2" s="1"/>
  <c r="AW5" i="6" s="1"/>
  <c r="M18" i="6" s="1"/>
  <c r="AC23" i="6" s="1"/>
  <c r="M779" i="2"/>
  <c r="AP784" i="2" s="1"/>
  <c r="AP792" i="2" s="1"/>
  <c r="O780" i="2"/>
  <c r="AX784" i="2" s="1"/>
  <c r="AX792" i="2" s="1"/>
  <c r="K773" i="2"/>
  <c r="D784" i="2" s="1"/>
  <c r="D792" i="2" s="1"/>
  <c r="D811" i="2"/>
  <c r="AI817" i="2" s="1"/>
  <c r="K830" i="2" s="1"/>
  <c r="BG837" i="2" s="1"/>
  <c r="BG5" i="6" s="1"/>
  <c r="K15" i="6" s="1"/>
  <c r="C23" i="6" s="1"/>
  <c r="L773" i="2"/>
  <c r="E784" i="2" s="1"/>
  <c r="E792" i="2" s="1"/>
  <c r="E811" i="2"/>
  <c r="AJ817" i="2" s="1"/>
  <c r="K829" i="2" s="1"/>
  <c r="AY837" i="2" s="1"/>
  <c r="M811" i="2"/>
  <c r="AR817" i="2" s="1"/>
  <c r="M829" i="2" s="1"/>
  <c r="BA837" i="2" s="1"/>
  <c r="BA5" i="6" s="1"/>
  <c r="L16" i="6" s="1"/>
  <c r="L23" i="6" s="1"/>
  <c r="L775" i="2"/>
  <c r="Q784" i="2" s="1"/>
  <c r="Q792" i="2" s="1"/>
  <c r="AI811" i="2"/>
  <c r="BN817" i="2" s="1"/>
  <c r="Q823" i="2" s="1"/>
  <c r="I837" i="2" s="1"/>
  <c r="I5" i="6" s="1"/>
  <c r="R18" i="6" s="1"/>
  <c r="AH23" i="6" s="1"/>
  <c r="N780" i="2"/>
  <c r="AW784" i="2" s="1"/>
  <c r="AW792" i="2" s="1"/>
  <c r="J773" i="2"/>
  <c r="C784" i="2" s="1"/>
  <c r="C792" i="2" s="1"/>
  <c r="Z811" i="2"/>
  <c r="BE817" i="2" s="1"/>
  <c r="O824" i="2" s="1"/>
  <c r="O837" i="2" s="1"/>
  <c r="O5" i="6" s="1"/>
  <c r="Q17" i="6" s="1"/>
  <c r="Y23" i="6" s="1"/>
  <c r="M778" i="2"/>
  <c r="AJ784" i="2" s="1"/>
  <c r="AJ792" i="2" s="1"/>
  <c r="Q811" i="2"/>
  <c r="AV817" i="2" s="1"/>
  <c r="M825" i="2" s="1"/>
  <c r="U837" i="2" s="1"/>
  <c r="U5" i="6" s="1"/>
  <c r="P16" i="6" s="1"/>
  <c r="P23" i="6" s="1"/>
  <c r="L776" i="2"/>
  <c r="W784" i="2" s="1"/>
  <c r="W792" i="2" s="1"/>
  <c r="M780" i="2"/>
  <c r="AV784" i="2" s="1"/>
  <c r="AV792" i="2" s="1"/>
  <c r="AH811" i="2"/>
  <c r="BM817" i="2" s="1"/>
  <c r="Q824" i="2" s="1"/>
  <c r="Q837" i="2" s="1"/>
  <c r="Q5" i="6" s="1"/>
  <c r="Q18" i="6" s="1"/>
  <c r="AG23" i="6" s="1"/>
  <c r="K775" i="2"/>
  <c r="P784" i="2" s="1"/>
  <c r="P792" i="2" s="1"/>
  <c r="L811" i="2"/>
  <c r="AQ817" i="2" s="1"/>
  <c r="M830" i="2" s="1"/>
  <c r="BI837" i="2" s="1"/>
  <c r="BI5" i="6" s="1"/>
  <c r="K16" i="6" s="1"/>
  <c r="K23" i="6" s="1"/>
  <c r="O774" i="2"/>
  <c r="N784" i="2" s="1"/>
  <c r="N792" i="2" s="1"/>
  <c r="L779" i="2"/>
  <c r="AO784" i="2" s="1"/>
  <c r="AO792" i="2" s="1"/>
  <c r="AC811" i="2"/>
  <c r="BH817" i="2" s="1"/>
  <c r="Q829" i="2" s="1"/>
  <c r="BE837" i="2" s="1"/>
  <c r="BE5" i="6" s="1"/>
  <c r="L18" i="6" s="1"/>
  <c r="AB23" i="6" s="1"/>
  <c r="N778" i="2"/>
  <c r="AK784" i="2" s="1"/>
  <c r="AK792" i="2" s="1"/>
  <c r="AA811" i="2"/>
  <c r="BF817" i="2" s="1"/>
  <c r="O823" i="2" s="1"/>
  <c r="G837" i="2" s="1"/>
  <c r="G5" i="6" s="1"/>
  <c r="R17" i="6" s="1"/>
  <c r="Z23" i="6" s="1"/>
  <c r="J779" i="2"/>
  <c r="AM784" i="2" s="1"/>
  <c r="AM792" i="2" s="1"/>
  <c r="C795" i="2" l="1"/>
  <c r="N36" i="6"/>
  <c r="AK42" i="6" s="1"/>
  <c r="AK50" i="6" s="1"/>
  <c r="AA69" i="6"/>
  <c r="J37" i="6"/>
  <c r="AM42" i="6" s="1"/>
  <c r="AM50" i="6" s="1"/>
  <c r="O38" i="6"/>
  <c r="AX42" i="6" s="1"/>
  <c r="AX50" i="6" s="1"/>
  <c r="K31" i="6"/>
  <c r="D42" i="6" s="1"/>
  <c r="D50" i="6" s="1"/>
  <c r="D69" i="6"/>
  <c r="AD69" i="6"/>
  <c r="M37" i="6"/>
  <c r="AP42" i="6" s="1"/>
  <c r="AP50" i="6" s="1"/>
  <c r="AA5" i="6"/>
  <c r="L774" i="2"/>
  <c r="K784" i="2" s="1"/>
  <c r="K792" i="2" s="1"/>
  <c r="I811" i="2"/>
  <c r="AN817" i="2" s="1"/>
  <c r="K825" i="2" s="1"/>
  <c r="S837" i="2" s="1"/>
  <c r="K777" i="2"/>
  <c r="AB784" i="2" s="1"/>
  <c r="AB792" i="2" s="1"/>
  <c r="O776" i="2"/>
  <c r="Z784" i="2" s="1"/>
  <c r="Z792" i="2" s="1"/>
  <c r="T811" i="2"/>
  <c r="AY817" i="2" s="1"/>
  <c r="O830" i="2" s="1"/>
  <c r="BK837" i="2" s="1"/>
  <c r="BK5" i="6" s="1"/>
  <c r="K17" i="6" s="1"/>
  <c r="S23" i="6" s="1"/>
  <c r="K33" i="6"/>
  <c r="P42" i="6" s="1"/>
  <c r="P50" i="6" s="1"/>
  <c r="L69" i="6"/>
  <c r="O32" i="6"/>
  <c r="M69" i="6"/>
  <c r="L33" i="6"/>
  <c r="Q42" i="6" s="1"/>
  <c r="Q50" i="6" s="1"/>
  <c r="U69" i="6"/>
  <c r="L35" i="6"/>
  <c r="AC42" i="6" s="1"/>
  <c r="AC50" i="6" s="1"/>
  <c r="C5" i="6"/>
  <c r="Y811" i="2"/>
  <c r="BD817" i="2" s="1"/>
  <c r="O825" i="2" s="1"/>
  <c r="W837" i="2" s="1"/>
  <c r="W5" i="6" s="1"/>
  <c r="P17" i="6" s="1"/>
  <c r="X23" i="6" s="1"/>
  <c r="L778" i="2"/>
  <c r="AI784" i="2" s="1"/>
  <c r="AI792" i="2" s="1"/>
  <c r="W811" i="2"/>
  <c r="BB817" i="2" s="1"/>
  <c r="O827" i="2" s="1"/>
  <c r="AM837" i="2" s="1"/>
  <c r="AM5" i="6" s="1"/>
  <c r="N17" i="6" s="1"/>
  <c r="V23" i="6" s="1"/>
  <c r="J778" i="2"/>
  <c r="AG784" i="2" s="1"/>
  <c r="AG792" i="2" s="1"/>
  <c r="N777" i="2"/>
  <c r="AE784" i="2" s="1"/>
  <c r="AE792" i="2" s="1"/>
  <c r="K780" i="2"/>
  <c r="AT784" i="2" s="1"/>
  <c r="AT792" i="2" s="1"/>
  <c r="AF811" i="2"/>
  <c r="BK817" i="2" s="1"/>
  <c r="Q826" i="2" s="1"/>
  <c r="AG837" i="2" s="1"/>
  <c r="AG5" i="6" s="1"/>
  <c r="O18" i="6" s="1"/>
  <c r="AE23" i="6" s="1"/>
  <c r="O779" i="2"/>
  <c r="AR784" i="2" s="1"/>
  <c r="AR792" i="2" s="1"/>
  <c r="O777" i="2"/>
  <c r="AF784" i="2" s="1"/>
  <c r="AF792" i="2" s="1"/>
  <c r="K778" i="2"/>
  <c r="AH784" i="2" s="1"/>
  <c r="AH792" i="2" s="1"/>
  <c r="X811" i="2"/>
  <c r="BC817" i="2" s="1"/>
  <c r="O826" i="2" s="1"/>
  <c r="AE837" i="2" s="1"/>
  <c r="AE5" i="6" s="1"/>
  <c r="O17" i="6" s="1"/>
  <c r="W23" i="6" s="1"/>
  <c r="L37" i="6"/>
  <c r="AO42" i="6" s="1"/>
  <c r="AO50" i="6" s="1"/>
  <c r="AC69" i="6"/>
  <c r="Q69" i="6"/>
  <c r="L34" i="6"/>
  <c r="W42" i="6" s="1"/>
  <c r="W50" i="6" s="1"/>
  <c r="AY5" i="6"/>
  <c r="R69" i="6"/>
  <c r="M34" i="6"/>
  <c r="X42" i="6" s="1"/>
  <c r="X50" i="6" s="1"/>
  <c r="M774" i="2"/>
  <c r="L784" i="2" s="1"/>
  <c r="L792" i="2" s="1"/>
  <c r="J811" i="2"/>
  <c r="AO817" i="2" s="1"/>
  <c r="K824" i="2" s="1"/>
  <c r="K837" i="2" s="1"/>
  <c r="N775" i="2"/>
  <c r="S784" i="2" s="1"/>
  <c r="S792" i="2" s="1"/>
  <c r="J776" i="2"/>
  <c r="U784" i="2" s="1"/>
  <c r="U792" i="2" s="1"/>
  <c r="O811" i="2"/>
  <c r="AT817" i="2" s="1"/>
  <c r="M827" i="2" s="1"/>
  <c r="AK837" i="2" s="1"/>
  <c r="AK5" i="6" s="1"/>
  <c r="N16" i="6" s="1"/>
  <c r="N23" i="6" s="1"/>
  <c r="N773" i="2"/>
  <c r="G784" i="2" s="1"/>
  <c r="G792" i="2" s="1"/>
  <c r="J774" i="2"/>
  <c r="I784" i="2" s="1"/>
  <c r="I792" i="2" s="1"/>
  <c r="G811" i="2"/>
  <c r="AL817" i="2" s="1"/>
  <c r="K827" i="2" s="1"/>
  <c r="AI837" i="2" s="1"/>
  <c r="N811" i="2"/>
  <c r="AS817" i="2" s="1"/>
  <c r="M828" i="2" s="1"/>
  <c r="AS837" i="2" s="1"/>
  <c r="AS5" i="6" s="1"/>
  <c r="M16" i="6" s="1"/>
  <c r="M23" i="6" s="1"/>
  <c r="M775" i="2"/>
  <c r="R784" i="2" s="1"/>
  <c r="R792" i="2" s="1"/>
  <c r="M36" i="6"/>
  <c r="AJ42" i="6" s="1"/>
  <c r="AJ50" i="6" s="1"/>
  <c r="Z69" i="6"/>
  <c r="AQ5" i="6"/>
  <c r="AG811" i="2"/>
  <c r="BL817" i="2" s="1"/>
  <c r="Q825" i="2" s="1"/>
  <c r="Y837" i="2" s="1"/>
  <c r="Y5" i="6" s="1"/>
  <c r="P18" i="6" s="1"/>
  <c r="AF23" i="6" s="1"/>
  <c r="L780" i="2"/>
  <c r="AU784" i="2" s="1"/>
  <c r="AU792" i="2" s="1"/>
  <c r="AH69" i="6"/>
  <c r="M38" i="6"/>
  <c r="AV42" i="6" s="1"/>
  <c r="AV50" i="6" s="1"/>
  <c r="J31" i="6"/>
  <c r="C42" i="6" s="1"/>
  <c r="C50" i="6" s="1"/>
  <c r="AI69" i="6"/>
  <c r="N38" i="6"/>
  <c r="AW42" i="6" s="1"/>
  <c r="AW50" i="6" s="1"/>
  <c r="M777" i="2"/>
  <c r="AD784" i="2" s="1"/>
  <c r="AD792" i="2" s="1"/>
  <c r="V811" i="2"/>
  <c r="BA817" i="2" s="1"/>
  <c r="O828" i="2" s="1"/>
  <c r="AU837" i="2" s="1"/>
  <c r="AU5" i="6" s="1"/>
  <c r="M17" i="6" s="1"/>
  <c r="U23" i="6" s="1"/>
  <c r="S811" i="2"/>
  <c r="AX817" i="2" s="1"/>
  <c r="M823" i="2" s="1"/>
  <c r="E837" i="2" s="1"/>
  <c r="E5" i="6" s="1"/>
  <c r="R16" i="6" s="1"/>
  <c r="R23" i="6" s="1"/>
  <c r="J777" i="2"/>
  <c r="AA784" i="2" s="1"/>
  <c r="AA792" i="2" s="1"/>
  <c r="N776" i="2"/>
  <c r="Y784" i="2" s="1"/>
  <c r="Y792" i="2" s="1"/>
  <c r="N779" i="2"/>
  <c r="AQ784" i="2" s="1"/>
  <c r="AQ792" i="2" s="1"/>
  <c r="J780" i="2"/>
  <c r="AS784" i="2" s="1"/>
  <c r="AS792" i="2" s="1"/>
  <c r="AE811" i="2"/>
  <c r="BJ817" i="2" s="1"/>
  <c r="Q827" i="2" s="1"/>
  <c r="AO837" i="2" s="1"/>
  <c r="AO5" i="6" s="1"/>
  <c r="N18" i="6" s="1"/>
  <c r="AD23" i="6" s="1"/>
  <c r="O778" i="2"/>
  <c r="AL784" i="2" s="1"/>
  <c r="AL792" i="2" s="1"/>
  <c r="K779" i="2"/>
  <c r="AN784" i="2" s="1"/>
  <c r="AN792" i="2" s="1"/>
  <c r="AB811" i="2"/>
  <c r="BG817" i="2" s="1"/>
  <c r="Q830" i="2" s="1"/>
  <c r="BM837" i="2" s="1"/>
  <c r="BM5" i="6" s="1"/>
  <c r="K18" i="6" s="1"/>
  <c r="AA23" i="6" s="1"/>
  <c r="P811" i="2"/>
  <c r="AU817" i="2" s="1"/>
  <c r="M826" i="2" s="1"/>
  <c r="AC837" i="2" s="1"/>
  <c r="AC5" i="6" s="1"/>
  <c r="O16" i="6" s="1"/>
  <c r="O23" i="6" s="1"/>
  <c r="O775" i="2"/>
  <c r="T784" i="2" s="1"/>
  <c r="T792" i="2" s="1"/>
  <c r="K776" i="2"/>
  <c r="V784" i="2" s="1"/>
  <c r="V792" i="2" s="1"/>
  <c r="AS795" i="2" l="1"/>
  <c r="U795" i="2"/>
  <c r="I794" i="2"/>
  <c r="U794" i="2"/>
  <c r="AM794" i="2"/>
  <c r="I795" i="2"/>
  <c r="AG794" i="2"/>
  <c r="AS794" i="2"/>
  <c r="O795" i="2"/>
  <c r="O794" i="2"/>
  <c r="C794" i="2"/>
  <c r="C797" i="2" s="1"/>
  <c r="AA794" i="2"/>
  <c r="AA795" i="2"/>
  <c r="AM795" i="2"/>
  <c r="AG795" i="2"/>
  <c r="AG797" i="2" s="1"/>
  <c r="N34" i="6"/>
  <c r="Y42" i="6" s="1"/>
  <c r="Y50" i="6" s="1"/>
  <c r="S69" i="6"/>
  <c r="J35" i="6"/>
  <c r="AA42" i="6" s="1"/>
  <c r="AA50" i="6" s="1"/>
  <c r="AI5" i="6"/>
  <c r="X69" i="6"/>
  <c r="K36" i="6"/>
  <c r="AH42" i="6" s="1"/>
  <c r="AH50" i="6" s="1"/>
  <c r="O35" i="6"/>
  <c r="AF42" i="6" s="1"/>
  <c r="AF50" i="6" s="1"/>
  <c r="O37" i="6"/>
  <c r="AR42" i="6" s="1"/>
  <c r="AR50" i="6" s="1"/>
  <c r="AF69" i="6"/>
  <c r="K38" i="6"/>
  <c r="AT42" i="6" s="1"/>
  <c r="AT50" i="6" s="1"/>
  <c r="R15" i="6"/>
  <c r="J23" i="6" s="1"/>
  <c r="O34" i="6"/>
  <c r="Z42" i="6" s="1"/>
  <c r="Z50" i="6" s="1"/>
  <c r="K35" i="6"/>
  <c r="AB42" i="6" s="1"/>
  <c r="AB50" i="6" s="1"/>
  <c r="T69" i="6"/>
  <c r="M35" i="6"/>
  <c r="AD42" i="6" s="1"/>
  <c r="AD50" i="6" s="1"/>
  <c r="V69" i="6"/>
  <c r="AG69" i="6"/>
  <c r="L38" i="6"/>
  <c r="AU42" i="6" s="1"/>
  <c r="AU50" i="6" s="1"/>
  <c r="K5" i="6"/>
  <c r="L36" i="6"/>
  <c r="AI42" i="6" s="1"/>
  <c r="AI50" i="6" s="1"/>
  <c r="Y69" i="6"/>
  <c r="O15" i="6"/>
  <c r="G23" i="6" s="1"/>
  <c r="P69" i="6"/>
  <c r="K34" i="6"/>
  <c r="V42" i="6" s="1"/>
  <c r="V50" i="6" s="1"/>
  <c r="O33" i="6"/>
  <c r="T42" i="6" s="1"/>
  <c r="T50" i="6" s="1"/>
  <c r="N37" i="6"/>
  <c r="AQ42" i="6" s="1"/>
  <c r="AQ50" i="6" s="1"/>
  <c r="AE69" i="6"/>
  <c r="J38" i="6"/>
  <c r="AS42" i="6" s="1"/>
  <c r="AS50" i="6" s="1"/>
  <c r="M15" i="6"/>
  <c r="E23" i="6" s="1"/>
  <c r="N69" i="6"/>
  <c r="M33" i="6"/>
  <c r="R42" i="6" s="1"/>
  <c r="R50" i="6" s="1"/>
  <c r="O69" i="6"/>
  <c r="J34" i="6"/>
  <c r="U42" i="6" s="1"/>
  <c r="U50" i="6" s="1"/>
  <c r="N33" i="6"/>
  <c r="S42" i="6" s="1"/>
  <c r="S50" i="6" s="1"/>
  <c r="L15" i="6"/>
  <c r="D23" i="6" s="1"/>
  <c r="S5" i="6"/>
  <c r="AB69" i="6"/>
  <c r="O36" i="6"/>
  <c r="AL42" i="6" s="1"/>
  <c r="AL50" i="6" s="1"/>
  <c r="K37" i="6"/>
  <c r="AN42" i="6" s="1"/>
  <c r="AN50" i="6" s="1"/>
  <c r="W69" i="6"/>
  <c r="N35" i="6"/>
  <c r="AE42" i="6" s="1"/>
  <c r="AE50" i="6" s="1"/>
  <c r="J36" i="6"/>
  <c r="AG42" i="6" s="1"/>
  <c r="AG50" i="6" s="1"/>
  <c r="I797" i="2" l="1"/>
  <c r="J799" i="2" s="1"/>
  <c r="O797" i="2"/>
  <c r="O799" i="2" s="1"/>
  <c r="AS797" i="2"/>
  <c r="AT799" i="2" s="1"/>
  <c r="AM52" i="6"/>
  <c r="U53" i="6"/>
  <c r="AG53" i="6"/>
  <c r="AM53" i="6"/>
  <c r="O52" i="6"/>
  <c r="AS53" i="6"/>
  <c r="U52" i="6"/>
  <c r="AA52" i="6"/>
  <c r="AS52" i="6"/>
  <c r="AG52" i="6"/>
  <c r="AA53" i="6"/>
  <c r="C799" i="2"/>
  <c r="F799" i="2"/>
  <c r="E799" i="2"/>
  <c r="D799" i="2"/>
  <c r="P15" i="6"/>
  <c r="H23" i="6" s="1"/>
  <c r="AH799" i="2"/>
  <c r="AI799" i="2"/>
  <c r="AG799" i="2"/>
  <c r="AJ799" i="2"/>
  <c r="F69" i="6"/>
  <c r="M31" i="6"/>
  <c r="F42" i="6" s="1"/>
  <c r="F50" i="6" s="1"/>
  <c r="K32" i="6"/>
  <c r="J42" i="6" s="1"/>
  <c r="J50" i="6" s="1"/>
  <c r="O31" i="6"/>
  <c r="H42" i="6" s="1"/>
  <c r="H50" i="6" s="1"/>
  <c r="H69" i="6"/>
  <c r="Q15" i="6"/>
  <c r="I23" i="6" s="1"/>
  <c r="AM797" i="2"/>
  <c r="E69" i="6"/>
  <c r="L31" i="6"/>
  <c r="E42" i="6" s="1"/>
  <c r="E50" i="6" s="1"/>
  <c r="K69" i="6"/>
  <c r="N32" i="6"/>
  <c r="M42" i="6" s="1"/>
  <c r="M50" i="6" s="1"/>
  <c r="J33" i="6"/>
  <c r="O42" i="6" s="1"/>
  <c r="O50" i="6" s="1"/>
  <c r="N15" i="6"/>
  <c r="F23" i="6" s="1"/>
  <c r="AA797" i="2"/>
  <c r="U797" i="2"/>
  <c r="AV799" i="2" l="1"/>
  <c r="AV800" i="2" s="1"/>
  <c r="AH802" i="2" s="1"/>
  <c r="AA805" i="2" s="1"/>
  <c r="AB814" i="2" s="1"/>
  <c r="P799" i="2"/>
  <c r="P800" i="2" s="1"/>
  <c r="L802" i="2" s="1"/>
  <c r="Q805" i="2" s="1"/>
  <c r="R814" i="2" s="1"/>
  <c r="R799" i="2"/>
  <c r="R800" i="2" s="1"/>
  <c r="N802" i="2" s="1"/>
  <c r="AB805" i="2" s="1"/>
  <c r="AC814" i="2" s="1"/>
  <c r="AU799" i="2"/>
  <c r="AU800" i="2" s="1"/>
  <c r="AG802" i="2" s="1"/>
  <c r="F805" i="2" s="1"/>
  <c r="G814" i="2" s="1"/>
  <c r="Q799" i="2"/>
  <c r="Q800" i="2" s="1"/>
  <c r="M802" i="2" s="1"/>
  <c r="Y805" i="2" s="1"/>
  <c r="Z814" i="2" s="1"/>
  <c r="AA55" i="6"/>
  <c r="AD57" i="6" s="1"/>
  <c r="AS799" i="2"/>
  <c r="AS800" i="2" s="1"/>
  <c r="AE802" i="2" s="1"/>
  <c r="X805" i="2" s="1"/>
  <c r="Y814" i="2" s="1"/>
  <c r="L799" i="2"/>
  <c r="L800" i="2" s="1"/>
  <c r="J802" i="2" s="1"/>
  <c r="S805" i="2" s="1"/>
  <c r="T814" i="2" s="1"/>
  <c r="K799" i="2"/>
  <c r="K800" i="2" s="1"/>
  <c r="I802" i="2" s="1"/>
  <c r="AD805" i="2" s="1"/>
  <c r="AE814" i="2" s="1"/>
  <c r="I799" i="2"/>
  <c r="I800" i="2" s="1"/>
  <c r="G802" i="2" s="1"/>
  <c r="AE805" i="2" s="1"/>
  <c r="AF814" i="2" s="1"/>
  <c r="U55" i="6"/>
  <c r="V57" i="6" s="1"/>
  <c r="O53" i="6"/>
  <c r="O55" i="6" s="1"/>
  <c r="C53" i="6"/>
  <c r="O800" i="2"/>
  <c r="K802" i="2" s="1"/>
  <c r="C805" i="2" s="1"/>
  <c r="D814" i="2" s="1"/>
  <c r="AT800" i="2"/>
  <c r="AF802" i="2" s="1"/>
  <c r="M805" i="2" s="1"/>
  <c r="N814" i="2" s="1"/>
  <c r="AD799" i="2"/>
  <c r="AC799" i="2"/>
  <c r="AB799" i="2"/>
  <c r="AA799" i="2"/>
  <c r="AN799" i="2"/>
  <c r="AO799" i="2"/>
  <c r="AM799" i="2"/>
  <c r="AP799" i="2"/>
  <c r="AG800" i="2"/>
  <c r="W802" i="2" s="1"/>
  <c r="AH805" i="2" s="1"/>
  <c r="AI814" i="2" s="1"/>
  <c r="I69" i="6"/>
  <c r="L32" i="6"/>
  <c r="K42" i="6" s="1"/>
  <c r="K50" i="6" s="1"/>
  <c r="C800" i="2"/>
  <c r="C802" i="2" s="1"/>
  <c r="R805" i="2" s="1"/>
  <c r="S814" i="2" s="1"/>
  <c r="G69" i="6"/>
  <c r="N31" i="6"/>
  <c r="G42" i="6" s="1"/>
  <c r="G50" i="6" s="1"/>
  <c r="J32" i="6"/>
  <c r="I42" i="6" s="1"/>
  <c r="I50" i="6" s="1"/>
  <c r="J69" i="6"/>
  <c r="M32" i="6"/>
  <c r="L42" i="6" s="1"/>
  <c r="L50" i="6" s="1"/>
  <c r="AI800" i="2"/>
  <c r="Y802" i="2" s="1"/>
  <c r="E805" i="2" s="1"/>
  <c r="F814" i="2" s="1"/>
  <c r="D800" i="2"/>
  <c r="D802" i="2" s="1"/>
  <c r="I805" i="2" s="1"/>
  <c r="J814" i="2" s="1"/>
  <c r="X799" i="2"/>
  <c r="V799" i="2"/>
  <c r="U799" i="2"/>
  <c r="W799" i="2"/>
  <c r="J800" i="2"/>
  <c r="H802" i="2" s="1"/>
  <c r="N805" i="2" s="1"/>
  <c r="O814" i="2" s="1"/>
  <c r="AH800" i="2"/>
  <c r="X802" i="2" s="1"/>
  <c r="AC805" i="2" s="1"/>
  <c r="AD814" i="2" s="1"/>
  <c r="E800" i="2"/>
  <c r="E802" i="2" s="1"/>
  <c r="V805" i="2" s="1"/>
  <c r="W814" i="2" s="1"/>
  <c r="AG55" i="6"/>
  <c r="AS55" i="6"/>
  <c r="AJ800" i="2"/>
  <c r="Z802" i="2" s="1"/>
  <c r="K805" i="2" s="1"/>
  <c r="L814" i="2" s="1"/>
  <c r="F800" i="2"/>
  <c r="F802" i="2" s="1"/>
  <c r="W805" i="2" s="1"/>
  <c r="X814" i="2" s="1"/>
  <c r="AM55" i="6"/>
  <c r="AD58" i="6" l="1"/>
  <c r="V60" i="6" s="1"/>
  <c r="P63" i="6" s="1"/>
  <c r="V58" i="6"/>
  <c r="P60" i="6" s="1"/>
  <c r="T63" i="6" s="1"/>
  <c r="AC57" i="6"/>
  <c r="AB57" i="6"/>
  <c r="AA57" i="6"/>
  <c r="U57" i="6"/>
  <c r="W57" i="6"/>
  <c r="X57" i="6"/>
  <c r="N817" i="2"/>
  <c r="N827" i="2" s="1"/>
  <c r="AL837" i="2" s="1"/>
  <c r="AL5" i="6" s="1"/>
  <c r="N12" i="6" s="1"/>
  <c r="N27" i="6" s="1"/>
  <c r="AE817" i="2"/>
  <c r="R826" i="2" s="1"/>
  <c r="AH837" i="2" s="1"/>
  <c r="AH5" i="6" s="1"/>
  <c r="O14" i="6" s="1"/>
  <c r="AE27" i="6" s="1"/>
  <c r="W817" i="2"/>
  <c r="P826" i="2" s="1"/>
  <c r="AF837" i="2" s="1"/>
  <c r="AF5" i="6" s="1"/>
  <c r="O13" i="6" s="1"/>
  <c r="W27" i="6" s="1"/>
  <c r="Q817" i="2"/>
  <c r="N824" i="2" s="1"/>
  <c r="N837" i="2" s="1"/>
  <c r="N5" i="6" s="1"/>
  <c r="Q12" i="6" s="1"/>
  <c r="Q27" i="6" s="1"/>
  <c r="AA817" i="2"/>
  <c r="R830" i="2" s="1"/>
  <c r="BN837" i="2" s="1"/>
  <c r="BN5" i="6" s="1"/>
  <c r="K14" i="6" s="1"/>
  <c r="AA27" i="6" s="1"/>
  <c r="K817" i="2"/>
  <c r="V817" i="2"/>
  <c r="P827" i="2" s="1"/>
  <c r="AN837" i="2" s="1"/>
  <c r="AN5" i="6" s="1"/>
  <c r="N13" i="6" s="1"/>
  <c r="V27" i="6" s="1"/>
  <c r="X817" i="2"/>
  <c r="P825" i="2" s="1"/>
  <c r="X837" i="2" s="1"/>
  <c r="X5" i="6" s="1"/>
  <c r="P13" i="6" s="1"/>
  <c r="X27" i="6" s="1"/>
  <c r="F817" i="2"/>
  <c r="L827" i="2" s="1"/>
  <c r="AJ837" i="2" s="1"/>
  <c r="S817" i="2"/>
  <c r="P830" i="2" s="1"/>
  <c r="BL837" i="2" s="1"/>
  <c r="BL5" i="6" s="1"/>
  <c r="K13" i="6" s="1"/>
  <c r="S27" i="6" s="1"/>
  <c r="AC817" i="2"/>
  <c r="R828" i="2" s="1"/>
  <c r="AX837" i="2" s="1"/>
  <c r="AX5" i="6" s="1"/>
  <c r="M14" i="6" s="1"/>
  <c r="AC27" i="6" s="1"/>
  <c r="I817" i="2"/>
  <c r="L824" i="2" s="1"/>
  <c r="L837" i="2" s="1"/>
  <c r="M817" i="2"/>
  <c r="N828" i="2" s="1"/>
  <c r="AT837" i="2" s="1"/>
  <c r="AT5" i="6" s="1"/>
  <c r="M12" i="6" s="1"/>
  <c r="M27" i="6" s="1"/>
  <c r="E817" i="2"/>
  <c r="L828" i="2" s="1"/>
  <c r="AR837" i="2" s="1"/>
  <c r="C52" i="6"/>
  <c r="C55" i="6" s="1"/>
  <c r="I52" i="6"/>
  <c r="AD817" i="2"/>
  <c r="R827" i="2" s="1"/>
  <c r="AP837" i="2" s="1"/>
  <c r="AP5" i="6" s="1"/>
  <c r="N14" i="6" s="1"/>
  <c r="AD27" i="6" s="1"/>
  <c r="R817" i="2"/>
  <c r="N823" i="2" s="1"/>
  <c r="F837" i="2" s="1"/>
  <c r="F5" i="6" s="1"/>
  <c r="R12" i="6" s="1"/>
  <c r="R27" i="6" s="1"/>
  <c r="AH817" i="2"/>
  <c r="R823" i="2" s="1"/>
  <c r="J837" i="2" s="1"/>
  <c r="J5" i="6" s="1"/>
  <c r="R14" i="6" s="1"/>
  <c r="AH27" i="6" s="1"/>
  <c r="Y817" i="2"/>
  <c r="P824" i="2" s="1"/>
  <c r="P837" i="2" s="1"/>
  <c r="P5" i="6" s="1"/>
  <c r="Q13" i="6" s="1"/>
  <c r="Y27" i="6" s="1"/>
  <c r="C817" i="2"/>
  <c r="L830" i="2" s="1"/>
  <c r="BH837" i="2" s="1"/>
  <c r="BH5" i="6" s="1"/>
  <c r="K11" i="6" s="1"/>
  <c r="C27" i="6" s="1"/>
  <c r="AB817" i="2"/>
  <c r="R829" i="2" s="1"/>
  <c r="BF837" i="2" s="1"/>
  <c r="BF5" i="6" s="1"/>
  <c r="L14" i="6" s="1"/>
  <c r="AB27" i="6" s="1"/>
  <c r="AA800" i="2"/>
  <c r="S802" i="2" s="1"/>
  <c r="D805" i="2" s="1"/>
  <c r="E814" i="2" s="1"/>
  <c r="O57" i="6"/>
  <c r="R57" i="6"/>
  <c r="P57" i="6"/>
  <c r="Q57" i="6"/>
  <c r="U800" i="2"/>
  <c r="O802" i="2" s="1"/>
  <c r="G805" i="2" s="1"/>
  <c r="H814" i="2" s="1"/>
  <c r="AP800" i="2"/>
  <c r="AD802" i="2" s="1"/>
  <c r="H805" i="2" s="1"/>
  <c r="I814" i="2" s="1"/>
  <c r="AU57" i="6"/>
  <c r="AV57" i="6"/>
  <c r="AS57" i="6"/>
  <c r="AT57" i="6"/>
  <c r="V800" i="2"/>
  <c r="P802" i="2" s="1"/>
  <c r="T805" i="2" s="1"/>
  <c r="U814" i="2" s="1"/>
  <c r="AM800" i="2"/>
  <c r="AA802" i="2" s="1"/>
  <c r="U805" i="2" s="1"/>
  <c r="V814" i="2" s="1"/>
  <c r="AB800" i="2"/>
  <c r="T802" i="2" s="1"/>
  <c r="J805" i="2" s="1"/>
  <c r="K814" i="2" s="1"/>
  <c r="AO57" i="6"/>
  <c r="AM57" i="6"/>
  <c r="AP57" i="6"/>
  <c r="AN57" i="6"/>
  <c r="AJ57" i="6"/>
  <c r="AG57" i="6"/>
  <c r="AH57" i="6"/>
  <c r="AI57" i="6"/>
  <c r="X800" i="2"/>
  <c r="R802" i="2" s="1"/>
  <c r="L805" i="2" s="1"/>
  <c r="M814" i="2" s="1"/>
  <c r="AO800" i="2"/>
  <c r="AC802" i="2" s="1"/>
  <c r="AF805" i="2" s="1"/>
  <c r="AG814" i="2" s="1"/>
  <c r="AC800" i="2"/>
  <c r="U802" i="2" s="1"/>
  <c r="Z805" i="2" s="1"/>
  <c r="AA814" i="2" s="1"/>
  <c r="W800" i="2"/>
  <c r="Q802" i="2" s="1"/>
  <c r="AG805" i="2" s="1"/>
  <c r="AH814" i="2" s="1"/>
  <c r="AN800" i="2"/>
  <c r="AB802" i="2" s="1"/>
  <c r="O805" i="2" s="1"/>
  <c r="P814" i="2" s="1"/>
  <c r="AD800" i="2"/>
  <c r="V802" i="2" s="1"/>
  <c r="P805" i="2" s="1"/>
  <c r="Q814" i="2" s="1"/>
  <c r="O58" i="6" l="1"/>
  <c r="K60" i="6" s="1"/>
  <c r="C63" i="6" s="1"/>
  <c r="D72" i="6" s="1"/>
  <c r="AG58" i="6"/>
  <c r="W60" i="6" s="1"/>
  <c r="AH63" i="6" s="1"/>
  <c r="AI72" i="6" s="1"/>
  <c r="AM58" i="6"/>
  <c r="AA60" i="6" s="1"/>
  <c r="U63" i="6" s="1"/>
  <c r="AU58" i="6"/>
  <c r="AG60" i="6" s="1"/>
  <c r="F63" i="6" s="1"/>
  <c r="P58" i="6"/>
  <c r="L60" i="6" s="1"/>
  <c r="Q63" i="6" s="1"/>
  <c r="R72" i="6" s="1"/>
  <c r="U58" i="6"/>
  <c r="O60" i="6" s="1"/>
  <c r="G63" i="6" s="1"/>
  <c r="AJ58" i="6"/>
  <c r="Z60" i="6" s="1"/>
  <c r="K63" i="6" s="1"/>
  <c r="AO58" i="6"/>
  <c r="AC60" i="6" s="1"/>
  <c r="AF63" i="6" s="1"/>
  <c r="AT58" i="6"/>
  <c r="AF60" i="6" s="1"/>
  <c r="M63" i="6" s="1"/>
  <c r="N72" i="6" s="1"/>
  <c r="R58" i="6"/>
  <c r="N60" i="6" s="1"/>
  <c r="AB63" i="6" s="1"/>
  <c r="AC72" i="6" s="1"/>
  <c r="AA58" i="6"/>
  <c r="S60" i="6" s="1"/>
  <c r="D63" i="6" s="1"/>
  <c r="AI58" i="6"/>
  <c r="Y60" i="6" s="1"/>
  <c r="E63" i="6" s="1"/>
  <c r="AN58" i="6"/>
  <c r="AB60" i="6" s="1"/>
  <c r="O63" i="6" s="1"/>
  <c r="AS58" i="6"/>
  <c r="AE60" i="6" s="1"/>
  <c r="X63" i="6" s="1"/>
  <c r="Y72" i="6" s="1"/>
  <c r="X58" i="6"/>
  <c r="R60" i="6" s="1"/>
  <c r="L63" i="6" s="1"/>
  <c r="AB58" i="6"/>
  <c r="T60" i="6" s="1"/>
  <c r="J63" i="6" s="1"/>
  <c r="AH58" i="6"/>
  <c r="X60" i="6" s="1"/>
  <c r="AC63" i="6" s="1"/>
  <c r="AD72" i="6" s="1"/>
  <c r="AP58" i="6"/>
  <c r="AD60" i="6" s="1"/>
  <c r="H63" i="6" s="1"/>
  <c r="AV58" i="6"/>
  <c r="AH60" i="6" s="1"/>
  <c r="AA63" i="6" s="1"/>
  <c r="AB72" i="6" s="1"/>
  <c r="Q58" i="6"/>
  <c r="M60" i="6" s="1"/>
  <c r="Y63" i="6" s="1"/>
  <c r="Z72" i="6" s="1"/>
  <c r="W58" i="6"/>
  <c r="Q60" i="6" s="1"/>
  <c r="AG63" i="6" s="1"/>
  <c r="AC58" i="6"/>
  <c r="U60" i="6" s="1"/>
  <c r="Z63" i="6" s="1"/>
  <c r="Z817" i="2"/>
  <c r="P823" i="2" s="1"/>
  <c r="H837" i="2" s="1"/>
  <c r="H5" i="6" s="1"/>
  <c r="R13" i="6" s="1"/>
  <c r="Z27" i="6" s="1"/>
  <c r="U817" i="2"/>
  <c r="P828" i="2" s="1"/>
  <c r="AV837" i="2" s="1"/>
  <c r="AV5" i="6" s="1"/>
  <c r="M13" i="6" s="1"/>
  <c r="U27" i="6" s="1"/>
  <c r="P817" i="2"/>
  <c r="N825" i="2" s="1"/>
  <c r="V837" i="2" s="1"/>
  <c r="V5" i="6" s="1"/>
  <c r="P12" i="6" s="1"/>
  <c r="P27" i="6" s="1"/>
  <c r="Q72" i="6" s="1"/>
  <c r="AF817" i="2"/>
  <c r="R825" i="2" s="1"/>
  <c r="Z837" i="2" s="1"/>
  <c r="Z5" i="6" s="1"/>
  <c r="P14" i="6" s="1"/>
  <c r="AF27" i="6" s="1"/>
  <c r="T817" i="2"/>
  <c r="P829" i="2" s="1"/>
  <c r="BD837" i="2" s="1"/>
  <c r="BD5" i="6" s="1"/>
  <c r="L13" i="6" s="1"/>
  <c r="T27" i="6" s="1"/>
  <c r="U72" i="6" s="1"/>
  <c r="O817" i="2"/>
  <c r="N826" i="2" s="1"/>
  <c r="AD837" i="2" s="1"/>
  <c r="AD5" i="6" s="1"/>
  <c r="O12" i="6" s="1"/>
  <c r="O27" i="6" s="1"/>
  <c r="L817" i="2"/>
  <c r="N829" i="2" s="1"/>
  <c r="BB837" i="2" s="1"/>
  <c r="BB5" i="6" s="1"/>
  <c r="L12" i="6" s="1"/>
  <c r="L27" i="6" s="1"/>
  <c r="H817" i="2"/>
  <c r="L825" i="2" s="1"/>
  <c r="T837" i="2" s="1"/>
  <c r="AG817" i="2"/>
  <c r="R824" i="2" s="1"/>
  <c r="R837" i="2" s="1"/>
  <c r="R5" i="6" s="1"/>
  <c r="Q14" i="6" s="1"/>
  <c r="AG27" i="6" s="1"/>
  <c r="J817" i="2"/>
  <c r="L823" i="2" s="1"/>
  <c r="D837" i="2" s="1"/>
  <c r="G817" i="2"/>
  <c r="L826" i="2" s="1"/>
  <c r="AB837" i="2" s="1"/>
  <c r="D817" i="2"/>
  <c r="L829" i="2" s="1"/>
  <c r="AZ837" i="2" s="1"/>
  <c r="L5" i="6"/>
  <c r="E57" i="6"/>
  <c r="C57" i="6"/>
  <c r="F57" i="6"/>
  <c r="D57" i="6"/>
  <c r="AR5" i="6"/>
  <c r="N830" i="2"/>
  <c r="BJ837" i="2" s="1"/>
  <c r="AJ5" i="6"/>
  <c r="AI838" i="2"/>
  <c r="AI839" i="2" l="1"/>
  <c r="M842" i="2" s="1"/>
  <c r="F1" i="6" s="1"/>
  <c r="M72" i="6"/>
  <c r="AA72" i="6"/>
  <c r="Z76" i="6" s="1"/>
  <c r="AH72" i="6"/>
  <c r="P72" i="6"/>
  <c r="O76" i="6" s="1"/>
  <c r="AG72" i="6"/>
  <c r="AF76" i="6" s="1"/>
  <c r="V72" i="6"/>
  <c r="U76" i="6" s="1"/>
  <c r="Y76" i="6"/>
  <c r="Z118" i="6" s="1"/>
  <c r="AA76" i="6"/>
  <c r="O85" i="6" s="1"/>
  <c r="AL91" i="6" s="1"/>
  <c r="AL99" i="6" s="1"/>
  <c r="X76" i="6"/>
  <c r="Y118" i="6" s="1"/>
  <c r="AB76" i="6"/>
  <c r="L86" i="6" s="1"/>
  <c r="AO91" i="6" s="1"/>
  <c r="AO99" i="6" s="1"/>
  <c r="AH76" i="6"/>
  <c r="AI118" i="6" s="1"/>
  <c r="AC76" i="6"/>
  <c r="AD118" i="6" s="1"/>
  <c r="M76" i="6"/>
  <c r="M82" i="6" s="1"/>
  <c r="R91" i="6" s="1"/>
  <c r="R99" i="6" s="1"/>
  <c r="Q76" i="6"/>
  <c r="R118" i="6" s="1"/>
  <c r="C76" i="6"/>
  <c r="K80" i="6" s="1"/>
  <c r="D91" i="6" s="1"/>
  <c r="D99" i="6" s="1"/>
  <c r="C58" i="6"/>
  <c r="C60" i="6" s="1"/>
  <c r="R63" i="6" s="1"/>
  <c r="S72" i="6" s="1"/>
  <c r="E58" i="6"/>
  <c r="E60" i="6" s="1"/>
  <c r="V63" i="6" s="1"/>
  <c r="W72" i="6" s="1"/>
  <c r="D58" i="6"/>
  <c r="D60" i="6" s="1"/>
  <c r="I63" i="6" s="1"/>
  <c r="F58" i="6"/>
  <c r="F60" i="6" s="1"/>
  <c r="W63" i="6" s="1"/>
  <c r="X72" i="6" s="1"/>
  <c r="AQ838" i="2"/>
  <c r="L76" i="6"/>
  <c r="P76" i="6"/>
  <c r="AG76" i="6"/>
  <c r="T76" i="6"/>
  <c r="N11" i="6"/>
  <c r="F27" i="6" s="1"/>
  <c r="G72" i="6" s="1"/>
  <c r="AI4" i="6"/>
  <c r="AI3" i="6" s="1"/>
  <c r="M11" i="6"/>
  <c r="E27" i="6" s="1"/>
  <c r="F72" i="6" s="1"/>
  <c r="AQ4" i="6"/>
  <c r="AQ3" i="6" s="1"/>
  <c r="AZ5" i="6"/>
  <c r="AY838" i="2"/>
  <c r="T5" i="6"/>
  <c r="S838" i="2"/>
  <c r="D5" i="6"/>
  <c r="C838" i="2"/>
  <c r="K838" i="2"/>
  <c r="AB5" i="6"/>
  <c r="AA838" i="2"/>
  <c r="BG838" i="2"/>
  <c r="BJ5" i="6"/>
  <c r="Q11" i="6"/>
  <c r="I27" i="6" s="1"/>
  <c r="K4" i="6"/>
  <c r="K3" i="6" s="1"/>
  <c r="AA839" i="2" l="1"/>
  <c r="L842" i="2" s="1"/>
  <c r="E1" i="6" s="1"/>
  <c r="S839" i="2"/>
  <c r="K842" i="2" s="1"/>
  <c r="D1" i="6" s="1"/>
  <c r="BG839" i="2"/>
  <c r="P842" i="2" s="1"/>
  <c r="I1" i="6" s="1"/>
  <c r="C839" i="2"/>
  <c r="I842" i="2" s="1"/>
  <c r="B1" i="6" s="1"/>
  <c r="AY839" i="2"/>
  <c r="O842" i="2" s="1"/>
  <c r="H1" i="6" s="1"/>
  <c r="AQ839" i="2"/>
  <c r="N842" i="2" s="1"/>
  <c r="G1" i="6" s="1"/>
  <c r="K839" i="2"/>
  <c r="J842" i="2" s="1"/>
  <c r="C1" i="6" s="1"/>
  <c r="L85" i="6"/>
  <c r="AI91" i="6" s="1"/>
  <c r="AI99" i="6" s="1"/>
  <c r="M85" i="6"/>
  <c r="AJ91" i="6" s="1"/>
  <c r="AJ99" i="6" s="1"/>
  <c r="O87" i="6"/>
  <c r="AX91" i="6" s="1"/>
  <c r="AX99" i="6" s="1"/>
  <c r="N118" i="6"/>
  <c r="J72" i="6"/>
  <c r="I76" i="6" s="1"/>
  <c r="J80" i="6"/>
  <c r="C91" i="6" s="1"/>
  <c r="C99" i="6" s="1"/>
  <c r="D118" i="6"/>
  <c r="M86" i="6"/>
  <c r="AP91" i="6" s="1"/>
  <c r="AP99" i="6" s="1"/>
  <c r="N87" i="6"/>
  <c r="AW91" i="6" s="1"/>
  <c r="AW99" i="6" s="1"/>
  <c r="K86" i="6"/>
  <c r="AN91" i="6" s="1"/>
  <c r="AN99" i="6" s="1"/>
  <c r="AB118" i="6"/>
  <c r="M83" i="6"/>
  <c r="X91" i="6" s="1"/>
  <c r="X99" i="6" s="1"/>
  <c r="AC118" i="6"/>
  <c r="V76" i="6"/>
  <c r="W118" i="6" s="1"/>
  <c r="R76" i="6"/>
  <c r="J84" i="6" s="1"/>
  <c r="AA91" i="6" s="1"/>
  <c r="AA99" i="6" s="1"/>
  <c r="W76" i="6"/>
  <c r="X118" i="6" s="1"/>
  <c r="F76" i="6"/>
  <c r="E76" i="6"/>
  <c r="O11" i="6"/>
  <c r="G27" i="6" s="1"/>
  <c r="H72" i="6" s="1"/>
  <c r="AA4" i="6"/>
  <c r="AA3" i="6" s="1"/>
  <c r="R11" i="6"/>
  <c r="J27" i="6" s="1"/>
  <c r="K72" i="6" s="1"/>
  <c r="C4" i="6"/>
  <c r="C3" i="6" s="1"/>
  <c r="L11" i="6"/>
  <c r="D27" i="6" s="1"/>
  <c r="E72" i="6" s="1"/>
  <c r="AY4" i="6"/>
  <c r="AY3" i="6" s="1"/>
  <c r="M84" i="6"/>
  <c r="AD91" i="6" s="1"/>
  <c r="AD99" i="6" s="1"/>
  <c r="V118" i="6"/>
  <c r="M118" i="6"/>
  <c r="L82" i="6"/>
  <c r="Q91" i="6" s="1"/>
  <c r="Q99" i="6" s="1"/>
  <c r="J86" i="6"/>
  <c r="AM91" i="6" s="1"/>
  <c r="AM99" i="6" s="1"/>
  <c r="N85" i="6"/>
  <c r="AK91" i="6" s="1"/>
  <c r="AK99" i="6" s="1"/>
  <c r="AA118" i="6"/>
  <c r="K83" i="6"/>
  <c r="V91" i="6" s="1"/>
  <c r="V99" i="6" s="1"/>
  <c r="O82" i="6"/>
  <c r="T91" i="6" s="1"/>
  <c r="T99" i="6" s="1"/>
  <c r="P118" i="6"/>
  <c r="L87" i="6"/>
  <c r="AU91" i="6" s="1"/>
  <c r="AU99" i="6" s="1"/>
  <c r="AG118" i="6"/>
  <c r="BG4" i="6"/>
  <c r="BG3" i="6" s="1"/>
  <c r="K12" i="6"/>
  <c r="K27" i="6" s="1"/>
  <c r="L72" i="6" s="1"/>
  <c r="P11" i="6"/>
  <c r="H27" i="6" s="1"/>
  <c r="I72" i="6" s="1"/>
  <c r="S4" i="6"/>
  <c r="S3" i="6" s="1"/>
  <c r="L84" i="6"/>
  <c r="AC91" i="6" s="1"/>
  <c r="AC99" i="6" s="1"/>
  <c r="U118" i="6"/>
  <c r="AH118" i="6"/>
  <c r="M87" i="6"/>
  <c r="AV91" i="6" s="1"/>
  <c r="AV99" i="6" s="1"/>
  <c r="L83" i="6"/>
  <c r="W91" i="6" s="1"/>
  <c r="W99" i="6" s="1"/>
  <c r="Q118" i="6"/>
  <c r="O84" i="6" l="1"/>
  <c r="AF91" i="6" s="1"/>
  <c r="AF99" i="6" s="1"/>
  <c r="S118" i="6"/>
  <c r="J85" i="6"/>
  <c r="AG91" i="6" s="1"/>
  <c r="AG99" i="6" s="1"/>
  <c r="K85" i="6"/>
  <c r="AH91" i="6" s="1"/>
  <c r="AH99" i="6" s="1"/>
  <c r="N83" i="6"/>
  <c r="Y91" i="6" s="1"/>
  <c r="Y99" i="6" s="1"/>
  <c r="N84" i="6"/>
  <c r="AE91" i="6" s="1"/>
  <c r="AE99" i="6" s="1"/>
  <c r="AA102" i="6"/>
  <c r="H76" i="6"/>
  <c r="D76" i="6"/>
  <c r="G76" i="6"/>
  <c r="K76" i="6"/>
  <c r="J76" i="6"/>
  <c r="M80" i="6"/>
  <c r="F91" i="6" s="1"/>
  <c r="F99" i="6" s="1"/>
  <c r="F118" i="6"/>
  <c r="N80" i="6"/>
  <c r="G91" i="6" s="1"/>
  <c r="G99" i="6" s="1"/>
  <c r="G118" i="6"/>
  <c r="J81" i="6"/>
  <c r="I91" i="6" s="1"/>
  <c r="I99" i="6" s="1"/>
  <c r="M81" i="6"/>
  <c r="L91" i="6" s="1"/>
  <c r="L99" i="6" s="1"/>
  <c r="J118" i="6"/>
  <c r="N42" i="6"/>
  <c r="N50" i="6" s="1"/>
  <c r="AG102" i="6" l="1"/>
  <c r="AG101" i="6"/>
  <c r="U101" i="6"/>
  <c r="I53" i="6"/>
  <c r="I55" i="6" s="1"/>
  <c r="H118" i="6"/>
  <c r="O80" i="6"/>
  <c r="H91" i="6" s="1"/>
  <c r="H99" i="6" s="1"/>
  <c r="K81" i="6"/>
  <c r="J91" i="6" s="1"/>
  <c r="J99" i="6" s="1"/>
  <c r="L80" i="6"/>
  <c r="E91" i="6" s="1"/>
  <c r="E99" i="6" s="1"/>
  <c r="E118" i="6"/>
  <c r="O81" i="6"/>
  <c r="N91" i="6" s="1"/>
  <c r="N99" i="6" s="1"/>
  <c r="L118" i="6"/>
  <c r="K82" i="6"/>
  <c r="P91" i="6" s="1"/>
  <c r="P99" i="6" s="1"/>
  <c r="I118" i="6"/>
  <c r="L81" i="6"/>
  <c r="K91" i="6" s="1"/>
  <c r="K99" i="6" s="1"/>
  <c r="J82" i="6"/>
  <c r="O91" i="6" s="1"/>
  <c r="O99" i="6" s="1"/>
  <c r="N81" i="6"/>
  <c r="M91" i="6" s="1"/>
  <c r="M99" i="6" s="1"/>
  <c r="K118" i="6"/>
  <c r="AG104" i="6" l="1"/>
  <c r="AJ106" i="6" s="1"/>
  <c r="I102" i="6"/>
  <c r="C102" i="6"/>
  <c r="C101" i="6"/>
  <c r="O102" i="6"/>
  <c r="I101" i="6"/>
  <c r="L57" i="6"/>
  <c r="I57" i="6"/>
  <c r="J57" i="6"/>
  <c r="K57" i="6"/>
  <c r="AI106" i="6" l="1"/>
  <c r="AI107" i="6" s="1"/>
  <c r="Y109" i="6" s="1"/>
  <c r="E112" i="6" s="1"/>
  <c r="F121" i="6" s="1"/>
  <c r="AG106" i="6"/>
  <c r="AG107" i="6" s="1"/>
  <c r="W109" i="6" s="1"/>
  <c r="AH112" i="6" s="1"/>
  <c r="AI121" i="6" s="1"/>
  <c r="AH106" i="6"/>
  <c r="AH107" i="6" s="1"/>
  <c r="X109" i="6" s="1"/>
  <c r="AC112" i="6" s="1"/>
  <c r="AD121" i="6" s="1"/>
  <c r="J58" i="6"/>
  <c r="H60" i="6" s="1"/>
  <c r="N63" i="6" s="1"/>
  <c r="O72" i="6" s="1"/>
  <c r="I58" i="6"/>
  <c r="G60" i="6" s="1"/>
  <c r="AE63" i="6" s="1"/>
  <c r="AF72" i="6" s="1"/>
  <c r="L58" i="6"/>
  <c r="J60" i="6" s="1"/>
  <c r="S63" i="6" s="1"/>
  <c r="T72" i="6" s="1"/>
  <c r="K58" i="6"/>
  <c r="I60" i="6" s="1"/>
  <c r="AD63" i="6" s="1"/>
  <c r="AE72" i="6" s="1"/>
  <c r="AJ107" i="6"/>
  <c r="Z109" i="6" s="1"/>
  <c r="K112" i="6" s="1"/>
  <c r="L121" i="6" s="1"/>
  <c r="C104" i="6"/>
  <c r="I104" i="6"/>
  <c r="AE76" i="6" l="1"/>
  <c r="O86" i="6" s="1"/>
  <c r="AR91" i="6" s="1"/>
  <c r="AR99" i="6" s="1"/>
  <c r="AD76" i="6"/>
  <c r="J87" i="6" s="1"/>
  <c r="AS91" i="6" s="1"/>
  <c r="AS99" i="6" s="1"/>
  <c r="S76" i="6"/>
  <c r="T118" i="6" s="1"/>
  <c r="N76" i="6"/>
  <c r="O118" i="6" s="1"/>
  <c r="K125" i="6"/>
  <c r="L167" i="6" s="1"/>
  <c r="AC125" i="6"/>
  <c r="AD167" i="6" s="1"/>
  <c r="AH125" i="6"/>
  <c r="J129" i="6" s="1"/>
  <c r="C140" i="6" s="1"/>
  <c r="C148" i="6" s="1"/>
  <c r="E125" i="6"/>
  <c r="M129" i="6" s="1"/>
  <c r="F140" i="6" s="1"/>
  <c r="F148" i="6" s="1"/>
  <c r="K106" i="6"/>
  <c r="I106" i="6"/>
  <c r="L106" i="6"/>
  <c r="J106" i="6"/>
  <c r="K87" i="6"/>
  <c r="AT91" i="6" s="1"/>
  <c r="AT99" i="6" s="1"/>
  <c r="E106" i="6"/>
  <c r="F106" i="6"/>
  <c r="C106" i="6"/>
  <c r="D106" i="6"/>
  <c r="K84" i="6" l="1"/>
  <c r="AB91" i="6" s="1"/>
  <c r="AB99" i="6" s="1"/>
  <c r="AA101" i="6" s="1"/>
  <c r="AA104" i="6" s="1"/>
  <c r="AF118" i="6"/>
  <c r="N86" i="6"/>
  <c r="AQ91" i="6" s="1"/>
  <c r="AQ99" i="6" s="1"/>
  <c r="AE118" i="6"/>
  <c r="O130" i="6"/>
  <c r="N140" i="6" s="1"/>
  <c r="N148" i="6" s="1"/>
  <c r="F167" i="6"/>
  <c r="AI167" i="6"/>
  <c r="J83" i="6"/>
  <c r="U91" i="6" s="1"/>
  <c r="U99" i="6" s="1"/>
  <c r="N136" i="6"/>
  <c r="AW140" i="6" s="1"/>
  <c r="AW148" i="6" s="1"/>
  <c r="E107" i="6"/>
  <c r="E109" i="6" s="1"/>
  <c r="V112" i="6" s="1"/>
  <c r="W121" i="6" s="1"/>
  <c r="D107" i="6"/>
  <c r="D109" i="6" s="1"/>
  <c r="I112" i="6" s="1"/>
  <c r="J121" i="6" s="1"/>
  <c r="O83" i="6"/>
  <c r="Z91" i="6" s="1"/>
  <c r="Z99" i="6" s="1"/>
  <c r="C107" i="6"/>
  <c r="C109" i="6" s="1"/>
  <c r="R112" i="6" s="1"/>
  <c r="S121" i="6" s="1"/>
  <c r="N82" i="6"/>
  <c r="S91" i="6" s="1"/>
  <c r="S99" i="6" s="1"/>
  <c r="F107" i="6"/>
  <c r="F109" i="6" s="1"/>
  <c r="W112" i="6" s="1"/>
  <c r="X121" i="6" s="1"/>
  <c r="J107" i="6"/>
  <c r="H109" i="6" s="1"/>
  <c r="N112" i="6" s="1"/>
  <c r="O121" i="6" s="1"/>
  <c r="M135" i="6"/>
  <c r="AP140" i="6" s="1"/>
  <c r="AP148" i="6" s="1"/>
  <c r="K131" i="6"/>
  <c r="P140" i="6" s="1"/>
  <c r="P148" i="6" s="1"/>
  <c r="L107" i="6"/>
  <c r="J109" i="6" s="1"/>
  <c r="S112" i="6" s="1"/>
  <c r="T121" i="6" s="1"/>
  <c r="I107" i="6"/>
  <c r="G109" i="6" s="1"/>
  <c r="AE112" i="6" s="1"/>
  <c r="AF121" i="6" s="1"/>
  <c r="K107" i="6"/>
  <c r="I109" i="6" s="1"/>
  <c r="AD112" i="6" s="1"/>
  <c r="AE121" i="6" s="1"/>
  <c r="AS101" i="6"/>
  <c r="AM101" i="6"/>
  <c r="AM102" i="6"/>
  <c r="AS102" i="6"/>
  <c r="W125" i="6" l="1"/>
  <c r="X167" i="6" s="1"/>
  <c r="V125" i="6"/>
  <c r="N133" i="6" s="1"/>
  <c r="AE140" i="6" s="1"/>
  <c r="AE148" i="6" s="1"/>
  <c r="R125" i="6"/>
  <c r="J133" i="6" s="1"/>
  <c r="AA140" i="6" s="1"/>
  <c r="AA148" i="6" s="1"/>
  <c r="O101" i="6"/>
  <c r="O104" i="6" s="1"/>
  <c r="R106" i="6" s="1"/>
  <c r="I125" i="6"/>
  <c r="J167" i="6" s="1"/>
  <c r="U102" i="6"/>
  <c r="U104" i="6" s="1"/>
  <c r="V106" i="6" s="1"/>
  <c r="AD125" i="6"/>
  <c r="N135" i="6" s="1"/>
  <c r="AQ140" i="6" s="1"/>
  <c r="AQ148" i="6" s="1"/>
  <c r="AE125" i="6"/>
  <c r="K136" i="6" s="1"/>
  <c r="AT140" i="6" s="1"/>
  <c r="AT148" i="6" s="1"/>
  <c r="N125" i="6"/>
  <c r="O167" i="6" s="1"/>
  <c r="S125" i="6"/>
  <c r="O132" i="6" s="1"/>
  <c r="Z140" i="6" s="1"/>
  <c r="Z148" i="6" s="1"/>
  <c r="AM104" i="6"/>
  <c r="AN106" i="6" s="1"/>
  <c r="AS104" i="6"/>
  <c r="AU106" i="6" s="1"/>
  <c r="AD106" i="6"/>
  <c r="AB106" i="6"/>
  <c r="AA106" i="6"/>
  <c r="AC106" i="6"/>
  <c r="M130" i="6" l="1"/>
  <c r="L140" i="6" s="1"/>
  <c r="L148" i="6" s="1"/>
  <c r="K133" i="6"/>
  <c r="AB140" i="6" s="1"/>
  <c r="AB148" i="6" s="1"/>
  <c r="J134" i="6"/>
  <c r="AG140" i="6" s="1"/>
  <c r="AG148" i="6" s="1"/>
  <c r="O133" i="6"/>
  <c r="AF140" i="6" s="1"/>
  <c r="AF148" i="6" s="1"/>
  <c r="K134" i="6"/>
  <c r="AH140" i="6" s="1"/>
  <c r="AH148" i="6" s="1"/>
  <c r="Q106" i="6"/>
  <c r="Q107" i="6" s="1"/>
  <c r="M109" i="6" s="1"/>
  <c r="Y112" i="6" s="1"/>
  <c r="Z121" i="6" s="1"/>
  <c r="X106" i="6"/>
  <c r="X107" i="6" s="1"/>
  <c r="R109" i="6" s="1"/>
  <c r="L112" i="6" s="1"/>
  <c r="M121" i="6" s="1"/>
  <c r="W167" i="6"/>
  <c r="T167" i="6"/>
  <c r="N131" i="6"/>
  <c r="S140" i="6" s="1"/>
  <c r="S148" i="6" s="1"/>
  <c r="U106" i="6"/>
  <c r="U107" i="6" s="1"/>
  <c r="O109" i="6" s="1"/>
  <c r="G112" i="6" s="1"/>
  <c r="H121" i="6" s="1"/>
  <c r="W106" i="6"/>
  <c r="W107" i="6" s="1"/>
  <c r="Q109" i="6" s="1"/>
  <c r="AG112" i="6" s="1"/>
  <c r="AH121" i="6" s="1"/>
  <c r="AF167" i="6"/>
  <c r="P106" i="6"/>
  <c r="P107" i="6" s="1"/>
  <c r="L109" i="6" s="1"/>
  <c r="Q112" i="6" s="1"/>
  <c r="R121" i="6" s="1"/>
  <c r="O135" i="6"/>
  <c r="AR140" i="6" s="1"/>
  <c r="AR148" i="6" s="1"/>
  <c r="J136" i="6"/>
  <c r="AS140" i="6" s="1"/>
  <c r="AS148" i="6" s="1"/>
  <c r="N132" i="6"/>
  <c r="Y140" i="6" s="1"/>
  <c r="Y148" i="6" s="1"/>
  <c r="S167" i="6"/>
  <c r="R107" i="6"/>
  <c r="N109" i="6" s="1"/>
  <c r="AB112" i="6" s="1"/>
  <c r="AC121" i="6" s="1"/>
  <c r="AU107" i="6"/>
  <c r="AG109" i="6" s="1"/>
  <c r="F112" i="6" s="1"/>
  <c r="G121" i="6" s="1"/>
  <c r="J132" i="6"/>
  <c r="U140" i="6" s="1"/>
  <c r="U148" i="6" s="1"/>
  <c r="O106" i="6"/>
  <c r="AN107" i="6"/>
  <c r="AB109" i="6" s="1"/>
  <c r="O112" i="6" s="1"/>
  <c r="P121" i="6" s="1"/>
  <c r="AA107" i="6"/>
  <c r="S109" i="6" s="1"/>
  <c r="D112" i="6" s="1"/>
  <c r="E121" i="6" s="1"/>
  <c r="AD107" i="6"/>
  <c r="V109" i="6" s="1"/>
  <c r="P112" i="6" s="1"/>
  <c r="Q121" i="6" s="1"/>
  <c r="AE167" i="6"/>
  <c r="AC107" i="6"/>
  <c r="U109" i="6" s="1"/>
  <c r="Z112" i="6" s="1"/>
  <c r="AA121" i="6" s="1"/>
  <c r="V107" i="6"/>
  <c r="P109" i="6" s="1"/>
  <c r="T112" i="6" s="1"/>
  <c r="U121" i="6" s="1"/>
  <c r="AB107" i="6"/>
  <c r="T109" i="6" s="1"/>
  <c r="J112" i="6" s="1"/>
  <c r="K121" i="6" s="1"/>
  <c r="AT106" i="6"/>
  <c r="AO106" i="6"/>
  <c r="AP106" i="6"/>
  <c r="AM106" i="6"/>
  <c r="AS106" i="6"/>
  <c r="AV106" i="6"/>
  <c r="AA151" i="6" l="1"/>
  <c r="O125" i="6"/>
  <c r="K132" i="6" s="1"/>
  <c r="V140" i="6" s="1"/>
  <c r="V148" i="6" s="1"/>
  <c r="Q125" i="6"/>
  <c r="R167" i="6" s="1"/>
  <c r="F125" i="6"/>
  <c r="J130" i="6" s="1"/>
  <c r="I140" i="6" s="1"/>
  <c r="I148" i="6" s="1"/>
  <c r="U151" i="6"/>
  <c r="Y125" i="6"/>
  <c r="M134" i="6" s="1"/>
  <c r="AJ140" i="6" s="1"/>
  <c r="AJ148" i="6" s="1"/>
  <c r="AB125" i="6"/>
  <c r="AC167" i="6" s="1"/>
  <c r="AS107" i="6"/>
  <c r="AE109" i="6" s="1"/>
  <c r="X112" i="6" s="1"/>
  <c r="Y121" i="6" s="1"/>
  <c r="AM107" i="6"/>
  <c r="AA109" i="6" s="1"/>
  <c r="U112" i="6" s="1"/>
  <c r="V121" i="6" s="1"/>
  <c r="AP107" i="6"/>
  <c r="AD109" i="6" s="1"/>
  <c r="H112" i="6" s="1"/>
  <c r="I121" i="6" s="1"/>
  <c r="O107" i="6"/>
  <c r="K109" i="6" s="1"/>
  <c r="C112" i="6" s="1"/>
  <c r="D121" i="6" s="1"/>
  <c r="AT107" i="6"/>
  <c r="AF109" i="6" s="1"/>
  <c r="M112" i="6" s="1"/>
  <c r="N121" i="6" s="1"/>
  <c r="AV107" i="6"/>
  <c r="AH109" i="6" s="1"/>
  <c r="AA112" i="6" s="1"/>
  <c r="AB121" i="6" s="1"/>
  <c r="AO107" i="6"/>
  <c r="AC109" i="6" s="1"/>
  <c r="AF112" i="6" s="1"/>
  <c r="AG121" i="6" s="1"/>
  <c r="J125" i="6"/>
  <c r="N130" i="6" s="1"/>
  <c r="M140" i="6" s="1"/>
  <c r="M148" i="6" s="1"/>
  <c r="L125" i="6"/>
  <c r="L131" i="6" s="1"/>
  <c r="Q140" i="6" s="1"/>
  <c r="Q148" i="6" s="1"/>
  <c r="D125" i="6"/>
  <c r="E167" i="6" s="1"/>
  <c r="AG125" i="6"/>
  <c r="AH167" i="6" s="1"/>
  <c r="T125" i="6"/>
  <c r="U167" i="6" s="1"/>
  <c r="P125" i="6"/>
  <c r="Q167" i="6" s="1"/>
  <c r="G125" i="6"/>
  <c r="H167" i="6" s="1"/>
  <c r="Z125" i="6"/>
  <c r="J135" i="6" s="1"/>
  <c r="AM140" i="6" s="1"/>
  <c r="AM148" i="6" s="1"/>
  <c r="M132" i="6"/>
  <c r="X140" i="6" s="1"/>
  <c r="X148" i="6" s="1"/>
  <c r="M167" i="6" l="1"/>
  <c r="O131" i="6"/>
  <c r="T140" i="6" s="1"/>
  <c r="T148" i="6" s="1"/>
  <c r="G167" i="6"/>
  <c r="N129" i="6"/>
  <c r="G140" i="6" s="1"/>
  <c r="G148" i="6" s="1"/>
  <c r="L135" i="6"/>
  <c r="AO140" i="6" s="1"/>
  <c r="AO148" i="6" s="1"/>
  <c r="N134" i="6"/>
  <c r="AK140" i="6" s="1"/>
  <c r="AK148" i="6" s="1"/>
  <c r="O129" i="6"/>
  <c r="H140" i="6" s="1"/>
  <c r="H148" i="6" s="1"/>
  <c r="L132" i="6"/>
  <c r="W140" i="6" s="1"/>
  <c r="W148" i="6" s="1"/>
  <c r="K130" i="6"/>
  <c r="J140" i="6" s="1"/>
  <c r="J148" i="6" s="1"/>
  <c r="L129" i="6"/>
  <c r="E140" i="6" s="1"/>
  <c r="E148" i="6" s="1"/>
  <c r="H125" i="6"/>
  <c r="L130" i="6" s="1"/>
  <c r="K140" i="6" s="1"/>
  <c r="K148" i="6" s="1"/>
  <c r="M125" i="6"/>
  <c r="N167" i="6" s="1"/>
  <c r="AF125" i="6"/>
  <c r="AG167" i="6" s="1"/>
  <c r="X125" i="6"/>
  <c r="Y167" i="6" s="1"/>
  <c r="AA125" i="6"/>
  <c r="O134" i="6" s="1"/>
  <c r="AL140" i="6" s="1"/>
  <c r="AL148" i="6" s="1"/>
  <c r="U125" i="6"/>
  <c r="M133" i="6" s="1"/>
  <c r="AD140" i="6" s="1"/>
  <c r="AD148" i="6" s="1"/>
  <c r="C125" i="6"/>
  <c r="Z167" i="6"/>
  <c r="P167" i="6"/>
  <c r="M136" i="6"/>
  <c r="AV140" i="6" s="1"/>
  <c r="AV148" i="6" s="1"/>
  <c r="J131" i="6"/>
  <c r="O140" i="6" s="1"/>
  <c r="O148" i="6" s="1"/>
  <c r="L133" i="6"/>
  <c r="AC140" i="6" s="1"/>
  <c r="AC148" i="6" s="1"/>
  <c r="K167" i="6"/>
  <c r="AA167" i="6"/>
  <c r="AM151" i="6"/>
  <c r="I151" i="6"/>
  <c r="L136" i="6" l="1"/>
  <c r="AU140" i="6" s="1"/>
  <c r="AU148" i="6" s="1"/>
  <c r="AB167" i="6"/>
  <c r="V167" i="6"/>
  <c r="I167" i="6"/>
  <c r="C151" i="6"/>
  <c r="U150" i="6"/>
  <c r="U153" i="6" s="1"/>
  <c r="W155" i="6" s="1"/>
  <c r="M131" i="6"/>
  <c r="R140" i="6" s="1"/>
  <c r="R148" i="6" s="1"/>
  <c r="AG151" i="6"/>
  <c r="I150" i="6"/>
  <c r="I153" i="6" s="1"/>
  <c r="AA150" i="6"/>
  <c r="AA153" i="6" s="1"/>
  <c r="AA155" i="6" s="1"/>
  <c r="O151" i="6"/>
  <c r="K135" i="6"/>
  <c r="AN140" i="6" s="1"/>
  <c r="AN148" i="6" s="1"/>
  <c r="L134" i="6"/>
  <c r="AI140" i="6" s="1"/>
  <c r="AI148" i="6" s="1"/>
  <c r="O136" i="6"/>
  <c r="AX140" i="6" s="1"/>
  <c r="AX148" i="6" s="1"/>
  <c r="K129" i="6"/>
  <c r="D140" i="6" s="1"/>
  <c r="D148" i="6" s="1"/>
  <c r="D167" i="6"/>
  <c r="AS150" i="6"/>
  <c r="V155" i="6" l="1"/>
  <c r="V156" i="6" s="1"/>
  <c r="P158" i="6" s="1"/>
  <c r="T161" i="6" s="1"/>
  <c r="U170" i="6" s="1"/>
  <c r="AC155" i="6"/>
  <c r="AC156" i="6" s="1"/>
  <c r="U158" i="6" s="1"/>
  <c r="Z161" i="6" s="1"/>
  <c r="AA170" i="6" s="1"/>
  <c r="AD155" i="6"/>
  <c r="AD156" i="6" s="1"/>
  <c r="V158" i="6" s="1"/>
  <c r="P161" i="6" s="1"/>
  <c r="Q170" i="6" s="1"/>
  <c r="X155" i="6"/>
  <c r="X156" i="6" s="1"/>
  <c r="R158" i="6" s="1"/>
  <c r="L161" i="6" s="1"/>
  <c r="M170" i="6" s="1"/>
  <c r="U155" i="6"/>
  <c r="U156" i="6" s="1"/>
  <c r="O158" i="6" s="1"/>
  <c r="G161" i="6" s="1"/>
  <c r="H170" i="6" s="1"/>
  <c r="O150" i="6"/>
  <c r="O153" i="6" s="1"/>
  <c r="AB155" i="6"/>
  <c r="AB156" i="6" s="1"/>
  <c r="T158" i="6" s="1"/>
  <c r="J161" i="6" s="1"/>
  <c r="K170" i="6" s="1"/>
  <c r="C150" i="6"/>
  <c r="C153" i="6" s="1"/>
  <c r="E155" i="6" s="1"/>
  <c r="E156" i="6" s="1"/>
  <c r="E158" i="6" s="1"/>
  <c r="V161" i="6" s="1"/>
  <c r="W170" i="6" s="1"/>
  <c r="AS151" i="6"/>
  <c r="AS153" i="6" s="1"/>
  <c r="AG150" i="6"/>
  <c r="AG153" i="6" s="1"/>
  <c r="AH155" i="6" s="1"/>
  <c r="AM150" i="6"/>
  <c r="AM153" i="6" s="1"/>
  <c r="AP155" i="6" s="1"/>
  <c r="AP156" i="6" s="1"/>
  <c r="AD158" i="6" s="1"/>
  <c r="H161" i="6" s="1"/>
  <c r="I170" i="6" s="1"/>
  <c r="AA156" i="6"/>
  <c r="S158" i="6" s="1"/>
  <c r="D161" i="6" s="1"/>
  <c r="E170" i="6" s="1"/>
  <c r="W156" i="6"/>
  <c r="Q158" i="6" s="1"/>
  <c r="AG161" i="6" s="1"/>
  <c r="AH170" i="6" s="1"/>
  <c r="L155" i="6"/>
  <c r="J155" i="6"/>
  <c r="K155" i="6"/>
  <c r="I155" i="6"/>
  <c r="Q155" i="6" l="1"/>
  <c r="Q156" i="6" s="1"/>
  <c r="M158" i="6" s="1"/>
  <c r="Y161" i="6" s="1"/>
  <c r="Z170" i="6" s="1"/>
  <c r="P155" i="6"/>
  <c r="P156" i="6" s="1"/>
  <c r="L158" i="6" s="1"/>
  <c r="Q161" i="6" s="1"/>
  <c r="R170" i="6" s="1"/>
  <c r="AI155" i="6"/>
  <c r="AI156" i="6" s="1"/>
  <c r="Y158" i="6" s="1"/>
  <c r="E161" i="6" s="1"/>
  <c r="F170" i="6" s="1"/>
  <c r="R155" i="6"/>
  <c r="R156" i="6" s="1"/>
  <c r="N158" i="6" s="1"/>
  <c r="AB161" i="6" s="1"/>
  <c r="AC170" i="6" s="1"/>
  <c r="AJ155" i="6"/>
  <c r="AJ156" i="6" s="1"/>
  <c r="Z158" i="6" s="1"/>
  <c r="K161" i="6" s="1"/>
  <c r="L170" i="6" s="1"/>
  <c r="D155" i="6"/>
  <c r="D156" i="6" s="1"/>
  <c r="D158" i="6" s="1"/>
  <c r="I161" i="6" s="1"/>
  <c r="J170" i="6" s="1"/>
  <c r="O155" i="6"/>
  <c r="O156" i="6" s="1"/>
  <c r="K158" i="6" s="1"/>
  <c r="C161" i="6" s="1"/>
  <c r="D170" i="6" s="1"/>
  <c r="F155" i="6"/>
  <c r="F156" i="6" s="1"/>
  <c r="F158" i="6" s="1"/>
  <c r="W161" i="6" s="1"/>
  <c r="X170" i="6" s="1"/>
  <c r="C155" i="6"/>
  <c r="C156" i="6" s="1"/>
  <c r="C158" i="6" s="1"/>
  <c r="R161" i="6" s="1"/>
  <c r="S170" i="6" s="1"/>
  <c r="AN155" i="6"/>
  <c r="AN156" i="6" s="1"/>
  <c r="AB158" i="6" s="1"/>
  <c r="O161" i="6" s="1"/>
  <c r="P170" i="6" s="1"/>
  <c r="AT155" i="6"/>
  <c r="AT156" i="6" s="1"/>
  <c r="AF158" i="6" s="1"/>
  <c r="M161" i="6" s="1"/>
  <c r="N170" i="6" s="1"/>
  <c r="AS155" i="6"/>
  <c r="AS156" i="6" s="1"/>
  <c r="AE158" i="6" s="1"/>
  <c r="X161" i="6" s="1"/>
  <c r="Y170" i="6" s="1"/>
  <c r="AV155" i="6"/>
  <c r="AV156" i="6" s="1"/>
  <c r="AH158" i="6" s="1"/>
  <c r="AA161" i="6" s="1"/>
  <c r="AB170" i="6" s="1"/>
  <c r="AU155" i="6"/>
  <c r="AU156" i="6" s="1"/>
  <c r="AG158" i="6" s="1"/>
  <c r="F161" i="6" s="1"/>
  <c r="G170" i="6" s="1"/>
  <c r="AO155" i="6"/>
  <c r="AO156" i="6" s="1"/>
  <c r="AC158" i="6" s="1"/>
  <c r="AF161" i="6" s="1"/>
  <c r="AG170" i="6" s="1"/>
  <c r="AG155" i="6"/>
  <c r="AG156" i="6" s="1"/>
  <c r="W158" i="6" s="1"/>
  <c r="AH161" i="6" s="1"/>
  <c r="AI170" i="6" s="1"/>
  <c r="AM155" i="6"/>
  <c r="AM156" i="6" s="1"/>
  <c r="AA158" i="6" s="1"/>
  <c r="U161" i="6" s="1"/>
  <c r="V170" i="6" s="1"/>
  <c r="H174" i="6"/>
  <c r="I216" i="6" s="1"/>
  <c r="L174" i="6"/>
  <c r="M216" i="6" s="1"/>
  <c r="T174" i="6"/>
  <c r="L182" i="6" s="1"/>
  <c r="AC189" i="6" s="1"/>
  <c r="AC197" i="6" s="1"/>
  <c r="AG174" i="6"/>
  <c r="AH216" i="6" s="1"/>
  <c r="D174" i="6"/>
  <c r="L178" i="6" s="1"/>
  <c r="E189" i="6" s="1"/>
  <c r="E197" i="6" s="1"/>
  <c r="P174" i="6"/>
  <c r="L181" i="6" s="1"/>
  <c r="W189" i="6" s="1"/>
  <c r="W197" i="6" s="1"/>
  <c r="J174" i="6"/>
  <c r="J180" i="6" s="1"/>
  <c r="O189" i="6" s="1"/>
  <c r="O197" i="6" s="1"/>
  <c r="Z174" i="6"/>
  <c r="N183" i="6" s="1"/>
  <c r="AK189" i="6" s="1"/>
  <c r="AK197" i="6" s="1"/>
  <c r="G174" i="6"/>
  <c r="H216" i="6" s="1"/>
  <c r="V174" i="6"/>
  <c r="W216" i="6" s="1"/>
  <c r="K156" i="6"/>
  <c r="I158" i="6" s="1"/>
  <c r="AD161" i="6" s="1"/>
  <c r="AE170" i="6" s="1"/>
  <c r="I156" i="6"/>
  <c r="G158" i="6" s="1"/>
  <c r="AE161" i="6" s="1"/>
  <c r="AF170" i="6" s="1"/>
  <c r="AH156" i="6"/>
  <c r="X158" i="6" s="1"/>
  <c r="AC161" i="6" s="1"/>
  <c r="AD170" i="6" s="1"/>
  <c r="J156" i="6"/>
  <c r="H158" i="6" s="1"/>
  <c r="N161" i="6" s="1"/>
  <c r="O170" i="6" s="1"/>
  <c r="L156" i="6"/>
  <c r="J158" i="6" s="1"/>
  <c r="S161" i="6" s="1"/>
  <c r="T170" i="6" s="1"/>
  <c r="U216" i="6" l="1"/>
  <c r="L179" i="6"/>
  <c r="K189" i="6" s="1"/>
  <c r="K197" i="6" s="1"/>
  <c r="K216" i="6"/>
  <c r="J183" i="6"/>
  <c r="AG189" i="6" s="1"/>
  <c r="AG197" i="6" s="1"/>
  <c r="N182" i="6"/>
  <c r="AE189" i="6" s="1"/>
  <c r="AE197" i="6" s="1"/>
  <c r="K179" i="6"/>
  <c r="J189" i="6" s="1"/>
  <c r="J197" i="6" s="1"/>
  <c r="L180" i="6"/>
  <c r="Q189" i="6" s="1"/>
  <c r="Q197" i="6" s="1"/>
  <c r="Q216" i="6"/>
  <c r="AA216" i="6"/>
  <c r="M174" i="6"/>
  <c r="N179" i="6"/>
  <c r="M189" i="6" s="1"/>
  <c r="M197" i="6" s="1"/>
  <c r="M185" i="6"/>
  <c r="AV189" i="6" s="1"/>
  <c r="AV197" i="6" s="1"/>
  <c r="J184" i="6"/>
  <c r="AM189" i="6" s="1"/>
  <c r="AM197" i="6" s="1"/>
  <c r="X174" i="6"/>
  <c r="L183" i="6" s="1"/>
  <c r="AI189" i="6" s="1"/>
  <c r="AI197" i="6" s="1"/>
  <c r="Q174" i="6"/>
  <c r="M181" i="6" s="1"/>
  <c r="X189" i="6" s="1"/>
  <c r="X197" i="6" s="1"/>
  <c r="AC174" i="6"/>
  <c r="AD216" i="6" s="1"/>
  <c r="F174" i="6"/>
  <c r="J179" i="6" s="1"/>
  <c r="I189" i="6" s="1"/>
  <c r="I197" i="6" s="1"/>
  <c r="W174" i="6"/>
  <c r="O182" i="6" s="1"/>
  <c r="AF189" i="6" s="1"/>
  <c r="AF197" i="6" s="1"/>
  <c r="R174" i="6"/>
  <c r="J182" i="6" s="1"/>
  <c r="AA189" i="6" s="1"/>
  <c r="AA197" i="6" s="1"/>
  <c r="AH174" i="6"/>
  <c r="AI216" i="6" s="1"/>
  <c r="C174" i="6"/>
  <c r="K178" i="6" s="1"/>
  <c r="D189" i="6" s="1"/>
  <c r="D197" i="6" s="1"/>
  <c r="U174" i="6"/>
  <c r="M182" i="6" s="1"/>
  <c r="AD189" i="6" s="1"/>
  <c r="AD197" i="6" s="1"/>
  <c r="N174" i="6"/>
  <c r="O216" i="6" s="1"/>
  <c r="AD174" i="6"/>
  <c r="N184" i="6" s="1"/>
  <c r="AQ189" i="6" s="1"/>
  <c r="AQ197" i="6" s="1"/>
  <c r="I174" i="6"/>
  <c r="J216" i="6" s="1"/>
  <c r="O174" i="6"/>
  <c r="P216" i="6" s="1"/>
  <c r="AB174" i="6"/>
  <c r="AC216" i="6" s="1"/>
  <c r="S174" i="6"/>
  <c r="T216" i="6" s="1"/>
  <c r="AA174" i="6"/>
  <c r="AB216" i="6" s="1"/>
  <c r="K174" i="6"/>
  <c r="K180" i="6" s="1"/>
  <c r="P189" i="6" s="1"/>
  <c r="P197" i="6" s="1"/>
  <c r="AF174" i="6"/>
  <c r="L185" i="6" s="1"/>
  <c r="AU189" i="6" s="1"/>
  <c r="AU197" i="6" s="1"/>
  <c r="E174" i="6"/>
  <c r="F216" i="6" s="1"/>
  <c r="Y174" i="6"/>
  <c r="M183" i="6" s="1"/>
  <c r="AJ189" i="6" s="1"/>
  <c r="AJ197" i="6" s="1"/>
  <c r="AE174" i="6"/>
  <c r="AF216" i="6" s="1"/>
  <c r="O178" i="6"/>
  <c r="H189" i="6" s="1"/>
  <c r="H197" i="6" s="1"/>
  <c r="E216" i="6"/>
  <c r="N178" i="6"/>
  <c r="G189" i="6" s="1"/>
  <c r="G197" i="6" s="1"/>
  <c r="X216" i="6"/>
  <c r="N181" i="6"/>
  <c r="Y189" i="6" s="1"/>
  <c r="Y197" i="6" s="1"/>
  <c r="M184" i="6"/>
  <c r="AP189" i="6" s="1"/>
  <c r="AP197" i="6" s="1"/>
  <c r="J178" i="6" l="1"/>
  <c r="C189" i="6" s="1"/>
  <c r="C197" i="6" s="1"/>
  <c r="M179" i="6"/>
  <c r="L189" i="6" s="1"/>
  <c r="L197" i="6" s="1"/>
  <c r="L184" i="6"/>
  <c r="AO189" i="6" s="1"/>
  <c r="AO197" i="6" s="1"/>
  <c r="L216" i="6"/>
  <c r="K185" i="6"/>
  <c r="AT189" i="6" s="1"/>
  <c r="AT197" i="6" s="1"/>
  <c r="J185" i="6"/>
  <c r="AS189" i="6" s="1"/>
  <c r="AS197" i="6" s="1"/>
  <c r="M178" i="6"/>
  <c r="F189" i="6" s="1"/>
  <c r="F197" i="6" s="1"/>
  <c r="O181" i="6"/>
  <c r="Z189" i="6" s="1"/>
  <c r="Z197" i="6" s="1"/>
  <c r="AE216" i="6"/>
  <c r="N185" i="6"/>
  <c r="AW189" i="6" s="1"/>
  <c r="AW197" i="6" s="1"/>
  <c r="O184" i="6"/>
  <c r="AR189" i="6" s="1"/>
  <c r="AR197" i="6" s="1"/>
  <c r="R216" i="6"/>
  <c r="V216" i="6"/>
  <c r="Z216" i="6"/>
  <c r="D216" i="6"/>
  <c r="K182" i="6"/>
  <c r="AB189" i="6" s="1"/>
  <c r="AB197" i="6" s="1"/>
  <c r="O185" i="6"/>
  <c r="AX189" i="6" s="1"/>
  <c r="AX197" i="6" s="1"/>
  <c r="J181" i="6"/>
  <c r="U189" i="6" s="1"/>
  <c r="U197" i="6" s="1"/>
  <c r="K184" i="6"/>
  <c r="AN189" i="6" s="1"/>
  <c r="AN197" i="6" s="1"/>
  <c r="G216" i="6"/>
  <c r="M180" i="6"/>
  <c r="R189" i="6" s="1"/>
  <c r="R197" i="6" s="1"/>
  <c r="N216" i="6"/>
  <c r="AA200" i="6"/>
  <c r="AG216" i="6"/>
  <c r="N180" i="6"/>
  <c r="S189" i="6" s="1"/>
  <c r="S197" i="6" s="1"/>
  <c r="O179" i="6"/>
  <c r="N189" i="6" s="1"/>
  <c r="N197" i="6" s="1"/>
  <c r="O180" i="6"/>
  <c r="T189" i="6" s="1"/>
  <c r="T197" i="6" s="1"/>
  <c r="K183" i="6"/>
  <c r="AH189" i="6" s="1"/>
  <c r="AH197" i="6" s="1"/>
  <c r="Y216" i="6"/>
  <c r="K181" i="6"/>
  <c r="V189" i="6" s="1"/>
  <c r="V197" i="6" s="1"/>
  <c r="S216" i="6"/>
  <c r="O183" i="6"/>
  <c r="AL189" i="6" s="1"/>
  <c r="AL197" i="6" s="1"/>
  <c r="C200" i="6" l="1"/>
  <c r="I199" i="6"/>
  <c r="AM200" i="6"/>
  <c r="C199" i="6"/>
  <c r="AS199" i="6"/>
  <c r="AS200" i="6"/>
  <c r="AA199" i="6"/>
  <c r="AA202" i="6" s="1"/>
  <c r="AB204" i="6" s="1"/>
  <c r="AM199" i="6"/>
  <c r="U200" i="6"/>
  <c r="AG200" i="6"/>
  <c r="AG199" i="6"/>
  <c r="O200" i="6"/>
  <c r="U199" i="6"/>
  <c r="I200" i="6"/>
  <c r="O199" i="6"/>
  <c r="AC204" i="6" l="1"/>
  <c r="AC205" i="6" s="1"/>
  <c r="U207" i="6" s="1"/>
  <c r="Z210" i="6" s="1"/>
  <c r="AA219" i="6" s="1"/>
  <c r="C202" i="6"/>
  <c r="C204" i="6" s="1"/>
  <c r="AS202" i="6"/>
  <c r="AU204" i="6" s="1"/>
  <c r="I202" i="6"/>
  <c r="L204" i="6" s="1"/>
  <c r="L205" i="6" s="1"/>
  <c r="J207" i="6" s="1"/>
  <c r="S210" i="6" s="1"/>
  <c r="T219" i="6" s="1"/>
  <c r="AM202" i="6"/>
  <c r="AM204" i="6" s="1"/>
  <c r="AA204" i="6"/>
  <c r="AA205" i="6" s="1"/>
  <c r="S207" i="6" s="1"/>
  <c r="D210" i="6" s="1"/>
  <c r="E219" i="6" s="1"/>
  <c r="AD204" i="6"/>
  <c r="AD205" i="6" s="1"/>
  <c r="V207" i="6" s="1"/>
  <c r="P210" i="6" s="1"/>
  <c r="Q219" i="6" s="1"/>
  <c r="U202" i="6"/>
  <c r="U204" i="6" s="1"/>
  <c r="U205" i="6" s="1"/>
  <c r="O207" i="6" s="1"/>
  <c r="G210" i="6" s="1"/>
  <c r="H219" i="6" s="1"/>
  <c r="O202" i="6"/>
  <c r="R204" i="6" s="1"/>
  <c r="R205" i="6" s="1"/>
  <c r="N207" i="6" s="1"/>
  <c r="AB210" i="6" s="1"/>
  <c r="AC219" i="6" s="1"/>
  <c r="AG202" i="6"/>
  <c r="AG204" i="6" s="1"/>
  <c r="AG205" i="6" s="1"/>
  <c r="W207" i="6" s="1"/>
  <c r="AH210" i="6" s="1"/>
  <c r="AI219" i="6" s="1"/>
  <c r="AB205" i="6"/>
  <c r="T207" i="6" s="1"/>
  <c r="J210" i="6" s="1"/>
  <c r="K219" i="6" s="1"/>
  <c r="AV204" i="6" l="1"/>
  <c r="AV205" i="6" s="1"/>
  <c r="AH207" i="6" s="1"/>
  <c r="AA210" i="6" s="1"/>
  <c r="AB219" i="6" s="1"/>
  <c r="AS204" i="6"/>
  <c r="AS205" i="6" s="1"/>
  <c r="AE207" i="6" s="1"/>
  <c r="X210" i="6" s="1"/>
  <c r="Y219" i="6" s="1"/>
  <c r="D204" i="6"/>
  <c r="D205" i="6" s="1"/>
  <c r="D207" i="6" s="1"/>
  <c r="I210" i="6" s="1"/>
  <c r="J219" i="6" s="1"/>
  <c r="F204" i="6"/>
  <c r="F205" i="6" s="1"/>
  <c r="F207" i="6" s="1"/>
  <c r="W210" i="6" s="1"/>
  <c r="X219" i="6" s="1"/>
  <c r="E204" i="6"/>
  <c r="E205" i="6" s="1"/>
  <c r="E207" i="6" s="1"/>
  <c r="V210" i="6" s="1"/>
  <c r="W219" i="6" s="1"/>
  <c r="AN204" i="6"/>
  <c r="AN205" i="6" s="1"/>
  <c r="AB207" i="6" s="1"/>
  <c r="O210" i="6" s="1"/>
  <c r="P219" i="6" s="1"/>
  <c r="AT204" i="6"/>
  <c r="AT205" i="6" s="1"/>
  <c r="AF207" i="6" s="1"/>
  <c r="M210" i="6" s="1"/>
  <c r="N219" i="6" s="1"/>
  <c r="I204" i="6"/>
  <c r="I205" i="6" s="1"/>
  <c r="G207" i="6" s="1"/>
  <c r="AE210" i="6" s="1"/>
  <c r="AF219" i="6" s="1"/>
  <c r="J204" i="6"/>
  <c r="J205" i="6" s="1"/>
  <c r="H207" i="6" s="1"/>
  <c r="N210" i="6" s="1"/>
  <c r="O219" i="6" s="1"/>
  <c r="K204" i="6"/>
  <c r="K205" i="6" s="1"/>
  <c r="I207" i="6" s="1"/>
  <c r="AD210" i="6" s="1"/>
  <c r="AE219" i="6" s="1"/>
  <c r="AO204" i="6"/>
  <c r="AO205" i="6" s="1"/>
  <c r="AC207" i="6" s="1"/>
  <c r="AF210" i="6" s="1"/>
  <c r="AG219" i="6" s="1"/>
  <c r="Q204" i="6"/>
  <c r="Q205" i="6" s="1"/>
  <c r="M207" i="6" s="1"/>
  <c r="Y210" i="6" s="1"/>
  <c r="Z219" i="6" s="1"/>
  <c r="V204" i="6"/>
  <c r="V205" i="6" s="1"/>
  <c r="P207" i="6" s="1"/>
  <c r="T210" i="6" s="1"/>
  <c r="U219" i="6" s="1"/>
  <c r="AI204" i="6"/>
  <c r="AI205" i="6" s="1"/>
  <c r="Y207" i="6" s="1"/>
  <c r="E210" i="6" s="1"/>
  <c r="F219" i="6" s="1"/>
  <c r="P204" i="6"/>
  <c r="P205" i="6" s="1"/>
  <c r="L207" i="6" s="1"/>
  <c r="Q210" i="6" s="1"/>
  <c r="R219" i="6" s="1"/>
  <c r="AP204" i="6"/>
  <c r="AP205" i="6" s="1"/>
  <c r="AD207" i="6" s="1"/>
  <c r="H210" i="6" s="1"/>
  <c r="I219" i="6" s="1"/>
  <c r="W204" i="6"/>
  <c r="W205" i="6" s="1"/>
  <c r="Q207" i="6" s="1"/>
  <c r="AG210" i="6" s="1"/>
  <c r="AH219" i="6" s="1"/>
  <c r="X204" i="6"/>
  <c r="X205" i="6" s="1"/>
  <c r="R207" i="6" s="1"/>
  <c r="L210" i="6" s="1"/>
  <c r="M219" i="6" s="1"/>
  <c r="AJ204" i="6"/>
  <c r="AJ205" i="6" s="1"/>
  <c r="Z207" i="6" s="1"/>
  <c r="K210" i="6" s="1"/>
  <c r="L219" i="6" s="1"/>
  <c r="AH204" i="6"/>
  <c r="AH205" i="6" s="1"/>
  <c r="X207" i="6" s="1"/>
  <c r="AC210" i="6" s="1"/>
  <c r="AD219" i="6" s="1"/>
  <c r="O204" i="6"/>
  <c r="O205" i="6" s="1"/>
  <c r="K207" i="6" s="1"/>
  <c r="C210" i="6" s="1"/>
  <c r="D219" i="6" s="1"/>
  <c r="J223" i="6"/>
  <c r="J229" i="6" s="1"/>
  <c r="O238" i="6" s="1"/>
  <c r="O246" i="6" s="1"/>
  <c r="AB223" i="6"/>
  <c r="AC265" i="6" s="1"/>
  <c r="P223" i="6"/>
  <c r="Q265" i="6" s="1"/>
  <c r="S223" i="6"/>
  <c r="O230" i="6" s="1"/>
  <c r="Z238" i="6" s="1"/>
  <c r="Z246" i="6" s="1"/>
  <c r="D223" i="6"/>
  <c r="E265" i="6" s="1"/>
  <c r="AH223" i="6"/>
  <c r="J227" i="6" s="1"/>
  <c r="C238" i="6" s="1"/>
  <c r="C246" i="6" s="1"/>
  <c r="Z223" i="6"/>
  <c r="J233" i="6" s="1"/>
  <c r="AM238" i="6" s="1"/>
  <c r="AM246" i="6" s="1"/>
  <c r="G223" i="6"/>
  <c r="O227" i="6" s="1"/>
  <c r="H238" i="6" s="1"/>
  <c r="H246" i="6" s="1"/>
  <c r="AM205" i="6"/>
  <c r="AA207" i="6" s="1"/>
  <c r="U210" i="6" s="1"/>
  <c r="V219" i="6" s="1"/>
  <c r="AU205" i="6"/>
  <c r="AG207" i="6" s="1"/>
  <c r="F210" i="6" s="1"/>
  <c r="G219" i="6" s="1"/>
  <c r="C205" i="6"/>
  <c r="C207" i="6" s="1"/>
  <c r="R210" i="6" s="1"/>
  <c r="S219" i="6" s="1"/>
  <c r="N228" i="6" l="1"/>
  <c r="M238" i="6" s="1"/>
  <c r="M246" i="6" s="1"/>
  <c r="L227" i="6"/>
  <c r="E238" i="6" s="1"/>
  <c r="E246" i="6" s="1"/>
  <c r="K265" i="6"/>
  <c r="T265" i="6"/>
  <c r="N234" i="6"/>
  <c r="AW238" i="6" s="1"/>
  <c r="AW246" i="6" s="1"/>
  <c r="K228" i="6"/>
  <c r="J238" i="6" s="1"/>
  <c r="J246" i="6" s="1"/>
  <c r="N232" i="6"/>
  <c r="AK238" i="6" s="1"/>
  <c r="AK246" i="6" s="1"/>
  <c r="K231" i="6"/>
  <c r="AB238" i="6" s="1"/>
  <c r="AB246" i="6" s="1"/>
  <c r="L230" i="6"/>
  <c r="W238" i="6" s="1"/>
  <c r="W246" i="6" s="1"/>
  <c r="AA265" i="6"/>
  <c r="H265" i="6"/>
  <c r="X223" i="6"/>
  <c r="L232" i="6" s="1"/>
  <c r="AI238" i="6" s="1"/>
  <c r="AI246" i="6" s="1"/>
  <c r="L223" i="6"/>
  <c r="M265" i="6" s="1"/>
  <c r="O223" i="6"/>
  <c r="K230" i="6" s="1"/>
  <c r="V238" i="6" s="1"/>
  <c r="V246" i="6" s="1"/>
  <c r="AA223" i="6"/>
  <c r="K233" i="6" s="1"/>
  <c r="AN238" i="6" s="1"/>
  <c r="AN246" i="6" s="1"/>
  <c r="W223" i="6"/>
  <c r="K232" i="6" s="1"/>
  <c r="AH238" i="6" s="1"/>
  <c r="AH246" i="6" s="1"/>
  <c r="Q223" i="6"/>
  <c r="R265" i="6" s="1"/>
  <c r="R223" i="6"/>
  <c r="N230" i="6" s="1"/>
  <c r="Y238" i="6" s="1"/>
  <c r="Y246" i="6" s="1"/>
  <c r="C223" i="6"/>
  <c r="O234" i="6" s="1"/>
  <c r="AX238" i="6" s="1"/>
  <c r="AX246" i="6" s="1"/>
  <c r="N223" i="6"/>
  <c r="J230" i="6" s="1"/>
  <c r="U238" i="6" s="1"/>
  <c r="U246" i="6" s="1"/>
  <c r="H223" i="6"/>
  <c r="I265" i="6" s="1"/>
  <c r="U223" i="6"/>
  <c r="M231" i="6" s="1"/>
  <c r="AD238" i="6" s="1"/>
  <c r="AD246" i="6" s="1"/>
  <c r="AE223" i="6"/>
  <c r="K234" i="6" s="1"/>
  <c r="AT238" i="6" s="1"/>
  <c r="AT246" i="6" s="1"/>
  <c r="E223" i="6"/>
  <c r="M227" i="6" s="1"/>
  <c r="F238" i="6" s="1"/>
  <c r="F246" i="6" s="1"/>
  <c r="I223" i="6"/>
  <c r="M228" i="6" s="1"/>
  <c r="L238" i="6" s="1"/>
  <c r="L246" i="6" s="1"/>
  <c r="AG223" i="6"/>
  <c r="AH265" i="6" s="1"/>
  <c r="K223" i="6"/>
  <c r="O228" i="6" s="1"/>
  <c r="N238" i="6" s="1"/>
  <c r="N246" i="6" s="1"/>
  <c r="Y223" i="6"/>
  <c r="Z265" i="6" s="1"/>
  <c r="M223" i="6"/>
  <c r="M229" i="6" s="1"/>
  <c r="R238" i="6" s="1"/>
  <c r="R246" i="6" s="1"/>
  <c r="AC223" i="6"/>
  <c r="M233" i="6" s="1"/>
  <c r="AP238" i="6" s="1"/>
  <c r="AP246" i="6" s="1"/>
  <c r="AD223" i="6"/>
  <c r="AE265" i="6" s="1"/>
  <c r="F223" i="6"/>
  <c r="N227" i="6" s="1"/>
  <c r="G238" i="6" s="1"/>
  <c r="G246" i="6" s="1"/>
  <c r="V223" i="6"/>
  <c r="J232" i="6" s="1"/>
  <c r="AG238" i="6" s="1"/>
  <c r="AG246" i="6" s="1"/>
  <c r="T223" i="6"/>
  <c r="U265" i="6" s="1"/>
  <c r="AF223" i="6"/>
  <c r="L234" i="6" s="1"/>
  <c r="AU238" i="6" s="1"/>
  <c r="AU246" i="6" s="1"/>
  <c r="AI265" i="6"/>
  <c r="L233" i="6"/>
  <c r="AO238" i="6" s="1"/>
  <c r="AO246" i="6" s="1"/>
  <c r="C249" i="6"/>
  <c r="N233" i="6" l="1"/>
  <c r="AQ238" i="6" s="1"/>
  <c r="AQ246" i="6" s="1"/>
  <c r="AM248" i="6" s="1"/>
  <c r="AD265" i="6"/>
  <c r="S265" i="6"/>
  <c r="V265" i="6"/>
  <c r="M234" i="6"/>
  <c r="AV238" i="6" s="1"/>
  <c r="AV246" i="6" s="1"/>
  <c r="P265" i="6"/>
  <c r="AG265" i="6"/>
  <c r="J231" i="6"/>
  <c r="AA238" i="6" s="1"/>
  <c r="AA246" i="6" s="1"/>
  <c r="L231" i="6"/>
  <c r="AC238" i="6" s="1"/>
  <c r="AC246" i="6" s="1"/>
  <c r="J234" i="6"/>
  <c r="AS238" i="6" s="1"/>
  <c r="AS246" i="6" s="1"/>
  <c r="O229" i="6"/>
  <c r="T238" i="6" s="1"/>
  <c r="T246" i="6" s="1"/>
  <c r="Y265" i="6"/>
  <c r="L265" i="6"/>
  <c r="N231" i="6"/>
  <c r="AE238" i="6" s="1"/>
  <c r="AE246" i="6" s="1"/>
  <c r="N265" i="6"/>
  <c r="G265" i="6"/>
  <c r="O232" i="6"/>
  <c r="AL238" i="6" s="1"/>
  <c r="AL246" i="6" s="1"/>
  <c r="J228" i="6"/>
  <c r="I238" i="6" s="1"/>
  <c r="I246" i="6" s="1"/>
  <c r="D265" i="6"/>
  <c r="K229" i="6"/>
  <c r="P238" i="6" s="1"/>
  <c r="P246" i="6" s="1"/>
  <c r="AB265" i="6"/>
  <c r="O231" i="6"/>
  <c r="AF238" i="6" s="1"/>
  <c r="AF246" i="6" s="1"/>
  <c r="K227" i="6"/>
  <c r="D238" i="6" s="1"/>
  <c r="D246" i="6" s="1"/>
  <c r="O233" i="6"/>
  <c r="AR238" i="6" s="1"/>
  <c r="AR246" i="6" s="1"/>
  <c r="U249" i="6"/>
  <c r="W265" i="6"/>
  <c r="J265" i="6"/>
  <c r="L229" i="6"/>
  <c r="Q238" i="6" s="1"/>
  <c r="Q246" i="6" s="1"/>
  <c r="L228" i="6"/>
  <c r="K238" i="6" s="1"/>
  <c r="K246" i="6" s="1"/>
  <c r="X265" i="6"/>
  <c r="M232" i="6"/>
  <c r="AJ238" i="6" s="1"/>
  <c r="AJ246" i="6" s="1"/>
  <c r="N229" i="6"/>
  <c r="S238" i="6" s="1"/>
  <c r="S246" i="6" s="1"/>
  <c r="F265" i="6"/>
  <c r="M230" i="6"/>
  <c r="X238" i="6" s="1"/>
  <c r="X246" i="6" s="1"/>
  <c r="AF265" i="6"/>
  <c r="O265" i="6"/>
  <c r="AS248" i="6" l="1"/>
  <c r="AS249" i="6"/>
  <c r="O249" i="6"/>
  <c r="AA248" i="6"/>
  <c r="AM249" i="6"/>
  <c r="AM251" i="6" s="1"/>
  <c r="AN253" i="6" s="1"/>
  <c r="C248" i="6"/>
  <c r="C251" i="6" s="1"/>
  <c r="D253" i="6" s="1"/>
  <c r="AA249" i="6"/>
  <c r="I249" i="6"/>
  <c r="AG249" i="6"/>
  <c r="I248" i="6"/>
  <c r="O248" i="6"/>
  <c r="AG248" i="6"/>
  <c r="U248" i="6"/>
  <c r="U251" i="6" s="1"/>
  <c r="W253" i="6" s="1"/>
  <c r="O251" i="6" l="1"/>
  <c r="P253" i="6" s="1"/>
  <c r="P254" i="6" s="1"/>
  <c r="L256" i="6" s="1"/>
  <c r="Q259" i="6" s="1"/>
  <c r="R268" i="6" s="1"/>
  <c r="AA251" i="6"/>
  <c r="AB253" i="6" s="1"/>
  <c r="AB254" i="6" s="1"/>
  <c r="T256" i="6" s="1"/>
  <c r="J259" i="6" s="1"/>
  <c r="K268" i="6" s="1"/>
  <c r="AS251" i="6"/>
  <c r="AV253" i="6" s="1"/>
  <c r="AV254" i="6" s="1"/>
  <c r="AH256" i="6" s="1"/>
  <c r="AA259" i="6" s="1"/>
  <c r="AB268" i="6" s="1"/>
  <c r="U253" i="6"/>
  <c r="U254" i="6" s="1"/>
  <c r="O256" i="6" s="1"/>
  <c r="G259" i="6" s="1"/>
  <c r="H268" i="6" s="1"/>
  <c r="C253" i="6"/>
  <c r="C254" i="6" s="1"/>
  <c r="C256" i="6" s="1"/>
  <c r="R259" i="6" s="1"/>
  <c r="S268" i="6" s="1"/>
  <c r="E253" i="6"/>
  <c r="E254" i="6" s="1"/>
  <c r="E256" i="6" s="1"/>
  <c r="V259" i="6" s="1"/>
  <c r="W268" i="6" s="1"/>
  <c r="AG251" i="6"/>
  <c r="AI253" i="6" s="1"/>
  <c r="F253" i="6"/>
  <c r="F254" i="6" s="1"/>
  <c r="F256" i="6" s="1"/>
  <c r="W259" i="6" s="1"/>
  <c r="X268" i="6" s="1"/>
  <c r="I251" i="6"/>
  <c r="L253" i="6" s="1"/>
  <c r="L254" i="6" s="1"/>
  <c r="J256" i="6" s="1"/>
  <c r="S259" i="6" s="1"/>
  <c r="T268" i="6" s="1"/>
  <c r="V253" i="6"/>
  <c r="V254" i="6" s="1"/>
  <c r="P256" i="6" s="1"/>
  <c r="T259" i="6" s="1"/>
  <c r="U268" i="6" s="1"/>
  <c r="W254" i="6"/>
  <c r="Q256" i="6" s="1"/>
  <c r="AG259" i="6" s="1"/>
  <c r="AH268" i="6" s="1"/>
  <c r="D254" i="6"/>
  <c r="D256" i="6" s="1"/>
  <c r="I259" i="6" s="1"/>
  <c r="J268" i="6" s="1"/>
  <c r="X253" i="6"/>
  <c r="AN254" i="6"/>
  <c r="AB256" i="6" s="1"/>
  <c r="O259" i="6" s="1"/>
  <c r="P268" i="6" s="1"/>
  <c r="AP253" i="6"/>
  <c r="AM253" i="6"/>
  <c r="AO253" i="6"/>
  <c r="O253" i="6" l="1"/>
  <c r="O254" i="6" s="1"/>
  <c r="K256" i="6" s="1"/>
  <c r="C259" i="6" s="1"/>
  <c r="D268" i="6" s="1"/>
  <c r="Q253" i="6"/>
  <c r="Q254" i="6" s="1"/>
  <c r="M256" i="6" s="1"/>
  <c r="Y259" i="6" s="1"/>
  <c r="Z268" i="6" s="1"/>
  <c r="R253" i="6"/>
  <c r="R254" i="6" s="1"/>
  <c r="N256" i="6" s="1"/>
  <c r="AB259" i="6" s="1"/>
  <c r="AC268" i="6" s="1"/>
  <c r="AC253" i="6"/>
  <c r="AC254" i="6" s="1"/>
  <c r="U256" i="6" s="1"/>
  <c r="Z259" i="6" s="1"/>
  <c r="AA268" i="6" s="1"/>
  <c r="AD253" i="6"/>
  <c r="AD254" i="6" s="1"/>
  <c r="V256" i="6" s="1"/>
  <c r="P259" i="6" s="1"/>
  <c r="Q268" i="6" s="1"/>
  <c r="AA253" i="6"/>
  <c r="AA254" i="6" s="1"/>
  <c r="S256" i="6" s="1"/>
  <c r="D259" i="6" s="1"/>
  <c r="E268" i="6" s="1"/>
  <c r="AT253" i="6"/>
  <c r="AT254" i="6" s="1"/>
  <c r="AF256" i="6" s="1"/>
  <c r="M259" i="6" s="1"/>
  <c r="N268" i="6" s="1"/>
  <c r="AU253" i="6"/>
  <c r="AU254" i="6" s="1"/>
  <c r="AG256" i="6" s="1"/>
  <c r="F259" i="6" s="1"/>
  <c r="G268" i="6" s="1"/>
  <c r="AH253" i="6"/>
  <c r="AH254" i="6" s="1"/>
  <c r="X256" i="6" s="1"/>
  <c r="AC259" i="6" s="1"/>
  <c r="AD268" i="6" s="1"/>
  <c r="AG253" i="6"/>
  <c r="AG254" i="6" s="1"/>
  <c r="W256" i="6" s="1"/>
  <c r="AH259" i="6" s="1"/>
  <c r="AI268" i="6" s="1"/>
  <c r="AS253" i="6"/>
  <c r="AS254" i="6" s="1"/>
  <c r="AE256" i="6" s="1"/>
  <c r="X259" i="6" s="1"/>
  <c r="Y268" i="6" s="1"/>
  <c r="AJ253" i="6"/>
  <c r="AJ254" i="6" s="1"/>
  <c r="Z256" i="6" s="1"/>
  <c r="K259" i="6" s="1"/>
  <c r="L268" i="6" s="1"/>
  <c r="K253" i="6"/>
  <c r="K254" i="6" s="1"/>
  <c r="I256" i="6" s="1"/>
  <c r="AD259" i="6" s="1"/>
  <c r="AE268" i="6" s="1"/>
  <c r="I253" i="6"/>
  <c r="I254" i="6" s="1"/>
  <c r="G256" i="6" s="1"/>
  <c r="AE259" i="6" s="1"/>
  <c r="AF268" i="6" s="1"/>
  <c r="J253" i="6"/>
  <c r="J254" i="6" s="1"/>
  <c r="H256" i="6" s="1"/>
  <c r="N259" i="6" s="1"/>
  <c r="O268" i="6" s="1"/>
  <c r="O272" i="6"/>
  <c r="O278" i="6" s="1"/>
  <c r="T287" i="6" s="1"/>
  <c r="T295" i="6" s="1"/>
  <c r="W272" i="6"/>
  <c r="X314" i="6" s="1"/>
  <c r="J272" i="6"/>
  <c r="J278" i="6" s="1"/>
  <c r="O287" i="6" s="1"/>
  <c r="O295" i="6" s="1"/>
  <c r="S272" i="6"/>
  <c r="T314" i="6" s="1"/>
  <c r="I272" i="6"/>
  <c r="M277" i="6" s="1"/>
  <c r="L287" i="6" s="1"/>
  <c r="L295" i="6" s="1"/>
  <c r="AA272" i="6"/>
  <c r="O281" i="6" s="1"/>
  <c r="AL287" i="6" s="1"/>
  <c r="AL295" i="6" s="1"/>
  <c r="V272" i="6"/>
  <c r="N280" i="6" s="1"/>
  <c r="AE287" i="6" s="1"/>
  <c r="AE295" i="6" s="1"/>
  <c r="R272" i="6"/>
  <c r="S314" i="6" s="1"/>
  <c r="Q272" i="6"/>
  <c r="M279" i="6" s="1"/>
  <c r="X287" i="6" s="1"/>
  <c r="X295" i="6" s="1"/>
  <c r="T272" i="6"/>
  <c r="L280" i="6" s="1"/>
  <c r="AC287" i="6" s="1"/>
  <c r="AC295" i="6" s="1"/>
  <c r="G272" i="6"/>
  <c r="K277" i="6" s="1"/>
  <c r="J287" i="6" s="1"/>
  <c r="J295" i="6" s="1"/>
  <c r="AG272" i="6"/>
  <c r="AH314" i="6" s="1"/>
  <c r="AO254" i="6"/>
  <c r="AC256" i="6" s="1"/>
  <c r="AF259" i="6" s="1"/>
  <c r="AG268" i="6" s="1"/>
  <c r="AI254" i="6"/>
  <c r="Y256" i="6" s="1"/>
  <c r="E259" i="6" s="1"/>
  <c r="F268" i="6" s="1"/>
  <c r="AM254" i="6"/>
  <c r="AA256" i="6" s="1"/>
  <c r="U259" i="6" s="1"/>
  <c r="V268" i="6" s="1"/>
  <c r="AP254" i="6"/>
  <c r="AD256" i="6" s="1"/>
  <c r="H259" i="6" s="1"/>
  <c r="I268" i="6" s="1"/>
  <c r="X254" i="6"/>
  <c r="R256" i="6" s="1"/>
  <c r="L259" i="6" s="1"/>
  <c r="M268" i="6" s="1"/>
  <c r="W314" i="6" l="1"/>
  <c r="K281" i="6"/>
  <c r="AH287" i="6" s="1"/>
  <c r="AH295" i="6" s="1"/>
  <c r="R314" i="6"/>
  <c r="P314" i="6"/>
  <c r="K282" i="6"/>
  <c r="AN287" i="6" s="1"/>
  <c r="AN295" i="6" s="1"/>
  <c r="N277" i="6"/>
  <c r="M287" i="6" s="1"/>
  <c r="M295" i="6" s="1"/>
  <c r="H314" i="6"/>
  <c r="J281" i="6"/>
  <c r="AG287" i="6" s="1"/>
  <c r="AG295" i="6" s="1"/>
  <c r="K314" i="6"/>
  <c r="U314" i="6"/>
  <c r="O280" i="6"/>
  <c r="AF287" i="6" s="1"/>
  <c r="AF295" i="6" s="1"/>
  <c r="O276" i="6"/>
  <c r="H287" i="6" s="1"/>
  <c r="H295" i="6" s="1"/>
  <c r="N279" i="6"/>
  <c r="Y287" i="6" s="1"/>
  <c r="Y295" i="6" s="1"/>
  <c r="K280" i="6"/>
  <c r="AB287" i="6" s="1"/>
  <c r="AB295" i="6" s="1"/>
  <c r="M283" i="6"/>
  <c r="AV287" i="6" s="1"/>
  <c r="AV295" i="6" s="1"/>
  <c r="J280" i="6"/>
  <c r="AA287" i="6" s="1"/>
  <c r="AA295" i="6" s="1"/>
  <c r="K279" i="6"/>
  <c r="V287" i="6" s="1"/>
  <c r="V295" i="6" s="1"/>
  <c r="O279" i="6"/>
  <c r="Z287" i="6" s="1"/>
  <c r="Z295" i="6" s="1"/>
  <c r="F272" i="6"/>
  <c r="N276" i="6" s="1"/>
  <c r="G287" i="6" s="1"/>
  <c r="G295" i="6" s="1"/>
  <c r="AC272" i="6"/>
  <c r="M282" i="6" s="1"/>
  <c r="AP287" i="6" s="1"/>
  <c r="AP295" i="6" s="1"/>
  <c r="U272" i="6"/>
  <c r="M280" i="6" s="1"/>
  <c r="AD287" i="6" s="1"/>
  <c r="AD295" i="6" s="1"/>
  <c r="P272" i="6"/>
  <c r="Q314" i="6" s="1"/>
  <c r="M272" i="6"/>
  <c r="M278" i="6" s="1"/>
  <c r="R287" i="6" s="1"/>
  <c r="R295" i="6" s="1"/>
  <c r="C272" i="6"/>
  <c r="D314" i="6" s="1"/>
  <c r="L272" i="6"/>
  <c r="N272" i="6"/>
  <c r="O314" i="6" s="1"/>
  <c r="AF272" i="6"/>
  <c r="AG314" i="6" s="1"/>
  <c r="AB272" i="6"/>
  <c r="L282" i="6" s="1"/>
  <c r="AO287" i="6" s="1"/>
  <c r="AO295" i="6" s="1"/>
  <c r="Y272" i="6"/>
  <c r="Z314" i="6" s="1"/>
  <c r="X272" i="6"/>
  <c r="L281" i="6" s="1"/>
  <c r="AI287" i="6" s="1"/>
  <c r="AI295" i="6" s="1"/>
  <c r="E272" i="6"/>
  <c r="F314" i="6" s="1"/>
  <c r="AE272" i="6"/>
  <c r="K283" i="6" s="1"/>
  <c r="AT287" i="6" s="1"/>
  <c r="AT295" i="6" s="1"/>
  <c r="AH272" i="6"/>
  <c r="N283" i="6" s="1"/>
  <c r="AW287" i="6" s="1"/>
  <c r="AW295" i="6" s="1"/>
  <c r="Z272" i="6"/>
  <c r="AD272" i="6"/>
  <c r="AE314" i="6" s="1"/>
  <c r="H272" i="6"/>
  <c r="L277" i="6" s="1"/>
  <c r="K287" i="6" s="1"/>
  <c r="K295" i="6" s="1"/>
  <c r="D272" i="6"/>
  <c r="L276" i="6" s="1"/>
  <c r="E287" i="6" s="1"/>
  <c r="E295" i="6" s="1"/>
  <c r="K272" i="6"/>
  <c r="K278" i="6" s="1"/>
  <c r="P287" i="6" s="1"/>
  <c r="P295" i="6" s="1"/>
  <c r="AB314" i="6"/>
  <c r="J314" i="6"/>
  <c r="O298" i="6"/>
  <c r="AC314" i="6" l="1"/>
  <c r="K276" i="6"/>
  <c r="D287" i="6" s="1"/>
  <c r="D295" i="6" s="1"/>
  <c r="AG298" i="6"/>
  <c r="M281" i="6"/>
  <c r="AJ287" i="6" s="1"/>
  <c r="AJ295" i="6" s="1"/>
  <c r="AD314" i="6"/>
  <c r="AF314" i="6"/>
  <c r="I314" i="6"/>
  <c r="O282" i="6"/>
  <c r="AR287" i="6" s="1"/>
  <c r="AR295" i="6" s="1"/>
  <c r="O283" i="6"/>
  <c r="AX287" i="6" s="1"/>
  <c r="AX295" i="6" s="1"/>
  <c r="M276" i="6"/>
  <c r="F287" i="6" s="1"/>
  <c r="F295" i="6" s="1"/>
  <c r="Y314" i="6"/>
  <c r="AA298" i="6"/>
  <c r="N282" i="6"/>
  <c r="AQ287" i="6" s="1"/>
  <c r="AQ295" i="6" s="1"/>
  <c r="L314" i="6"/>
  <c r="J283" i="6"/>
  <c r="AS287" i="6" s="1"/>
  <c r="AS295" i="6" s="1"/>
  <c r="N314" i="6"/>
  <c r="AI314" i="6"/>
  <c r="L283" i="6"/>
  <c r="AU287" i="6" s="1"/>
  <c r="AU295" i="6" s="1"/>
  <c r="AA297" i="6"/>
  <c r="I297" i="6"/>
  <c r="J282" i="6"/>
  <c r="AM287" i="6" s="1"/>
  <c r="AM295" i="6" s="1"/>
  <c r="AA314" i="6"/>
  <c r="O277" i="6"/>
  <c r="N287" i="6" s="1"/>
  <c r="N295" i="6" s="1"/>
  <c r="J279" i="6"/>
  <c r="U287" i="6" s="1"/>
  <c r="U295" i="6" s="1"/>
  <c r="J276" i="6"/>
  <c r="C287" i="6" s="1"/>
  <c r="C295" i="6" s="1"/>
  <c r="N278" i="6"/>
  <c r="S287" i="6" s="1"/>
  <c r="S295" i="6" s="1"/>
  <c r="N281" i="6"/>
  <c r="AK287" i="6" s="1"/>
  <c r="AK295" i="6" s="1"/>
  <c r="L279" i="6"/>
  <c r="W287" i="6" s="1"/>
  <c r="W295" i="6" s="1"/>
  <c r="M314" i="6"/>
  <c r="L278" i="6"/>
  <c r="Q287" i="6" s="1"/>
  <c r="Q295" i="6" s="1"/>
  <c r="V314" i="6"/>
  <c r="E314" i="6"/>
  <c r="G314" i="6"/>
  <c r="J277" i="6"/>
  <c r="I287" i="6" s="1"/>
  <c r="I295" i="6" s="1"/>
  <c r="C297" i="6" l="1"/>
  <c r="AS298" i="6"/>
  <c r="AS297" i="6"/>
  <c r="AM297" i="6"/>
  <c r="AA300" i="6"/>
  <c r="AA302" i="6" s="1"/>
  <c r="C298" i="6"/>
  <c r="AM298" i="6"/>
  <c r="AG297" i="6"/>
  <c r="AG300" i="6" s="1"/>
  <c r="AG302" i="6" s="1"/>
  <c r="I298" i="6"/>
  <c r="I300" i="6" s="1"/>
  <c r="K302" i="6" s="1"/>
  <c r="O297" i="6"/>
  <c r="O300" i="6" s="1"/>
  <c r="Q302" i="6" s="1"/>
  <c r="U297" i="6"/>
  <c r="U298" i="6"/>
  <c r="U300" i="6" l="1"/>
  <c r="V302" i="6" s="1"/>
  <c r="V303" i="6" s="1"/>
  <c r="P305" i="6" s="1"/>
  <c r="T308" i="6" s="1"/>
  <c r="U317" i="6" s="1"/>
  <c r="AM300" i="6"/>
  <c r="AN302" i="6" s="1"/>
  <c r="AN303" i="6" s="1"/>
  <c r="AB305" i="6" s="1"/>
  <c r="O308" i="6" s="1"/>
  <c r="P317" i="6" s="1"/>
  <c r="C300" i="6"/>
  <c r="C302" i="6" s="1"/>
  <c r="AS300" i="6"/>
  <c r="AT302" i="6" s="1"/>
  <c r="AT303" i="6" s="1"/>
  <c r="AF305" i="6" s="1"/>
  <c r="M308" i="6" s="1"/>
  <c r="N317" i="6" s="1"/>
  <c r="O302" i="6"/>
  <c r="O303" i="6" s="1"/>
  <c r="K305" i="6" s="1"/>
  <c r="C308" i="6" s="1"/>
  <c r="D317" i="6" s="1"/>
  <c r="AC302" i="6"/>
  <c r="AC303" i="6" s="1"/>
  <c r="U305" i="6" s="1"/>
  <c r="Z308" i="6" s="1"/>
  <c r="AA317" i="6" s="1"/>
  <c r="AI302" i="6"/>
  <c r="AI303" i="6" s="1"/>
  <c r="Y305" i="6" s="1"/>
  <c r="E308" i="6" s="1"/>
  <c r="F317" i="6" s="1"/>
  <c r="J302" i="6"/>
  <c r="J303" i="6" s="1"/>
  <c r="H305" i="6" s="1"/>
  <c r="N308" i="6" s="1"/>
  <c r="O317" i="6" s="1"/>
  <c r="AD302" i="6"/>
  <c r="AD303" i="6" s="1"/>
  <c r="V305" i="6" s="1"/>
  <c r="P308" i="6" s="1"/>
  <c r="Q317" i="6" s="1"/>
  <c r="R302" i="6"/>
  <c r="R303" i="6" s="1"/>
  <c r="N305" i="6" s="1"/>
  <c r="AB308" i="6" s="1"/>
  <c r="AC317" i="6" s="1"/>
  <c r="P302" i="6"/>
  <c r="P303" i="6" s="1"/>
  <c r="L305" i="6" s="1"/>
  <c r="Q308" i="6" s="1"/>
  <c r="R317" i="6" s="1"/>
  <c r="AB302" i="6"/>
  <c r="AB303" i="6" s="1"/>
  <c r="T305" i="6" s="1"/>
  <c r="J308" i="6" s="1"/>
  <c r="K317" i="6" s="1"/>
  <c r="I302" i="6"/>
  <c r="I303" i="6" s="1"/>
  <c r="G305" i="6" s="1"/>
  <c r="AE308" i="6" s="1"/>
  <c r="AF317" i="6" s="1"/>
  <c r="AJ302" i="6"/>
  <c r="AJ303" i="6" s="1"/>
  <c r="Z305" i="6" s="1"/>
  <c r="K308" i="6" s="1"/>
  <c r="L317" i="6" s="1"/>
  <c r="Q303" i="6"/>
  <c r="M305" i="6" s="1"/>
  <c r="Y308" i="6" s="1"/>
  <c r="Z317" i="6" s="1"/>
  <c r="K303" i="6"/>
  <c r="I305" i="6" s="1"/>
  <c r="AD308" i="6" s="1"/>
  <c r="AE317" i="6" s="1"/>
  <c r="L302" i="6"/>
  <c r="AG303" i="6"/>
  <c r="W305" i="6" s="1"/>
  <c r="AH308" i="6" s="1"/>
  <c r="AI317" i="6" s="1"/>
  <c r="AA303" i="6"/>
  <c r="S305" i="6" s="1"/>
  <c r="D308" i="6" s="1"/>
  <c r="E317" i="6" s="1"/>
  <c r="AH302" i="6"/>
  <c r="W302" i="6"/>
  <c r="U302" i="6" l="1"/>
  <c r="U303" i="6" s="1"/>
  <c r="O305" i="6" s="1"/>
  <c r="G308" i="6" s="1"/>
  <c r="H317" i="6" s="1"/>
  <c r="X302" i="6"/>
  <c r="X303" i="6" s="1"/>
  <c r="R305" i="6" s="1"/>
  <c r="L308" i="6" s="1"/>
  <c r="M317" i="6" s="1"/>
  <c r="AP302" i="6"/>
  <c r="AP303" i="6" s="1"/>
  <c r="AD305" i="6" s="1"/>
  <c r="H308" i="6" s="1"/>
  <c r="I317" i="6" s="1"/>
  <c r="AV302" i="6"/>
  <c r="AV303" i="6" s="1"/>
  <c r="AH305" i="6" s="1"/>
  <c r="AA308" i="6" s="1"/>
  <c r="AB317" i="6" s="1"/>
  <c r="D302" i="6"/>
  <c r="D303" i="6" s="1"/>
  <c r="D305" i="6" s="1"/>
  <c r="I308" i="6" s="1"/>
  <c r="J317" i="6" s="1"/>
  <c r="F302" i="6"/>
  <c r="F303" i="6" s="1"/>
  <c r="F305" i="6" s="1"/>
  <c r="W308" i="6" s="1"/>
  <c r="X317" i="6" s="1"/>
  <c r="AM302" i="6"/>
  <c r="AM303" i="6" s="1"/>
  <c r="AA305" i="6" s="1"/>
  <c r="U308" i="6" s="1"/>
  <c r="V317" i="6" s="1"/>
  <c r="E302" i="6"/>
  <c r="E303" i="6" s="1"/>
  <c r="E305" i="6" s="1"/>
  <c r="V308" i="6" s="1"/>
  <c r="W317" i="6" s="1"/>
  <c r="AS302" i="6"/>
  <c r="AS303" i="6" s="1"/>
  <c r="AE305" i="6" s="1"/>
  <c r="X308" i="6" s="1"/>
  <c r="Y317" i="6" s="1"/>
  <c r="AO302" i="6"/>
  <c r="AO303" i="6" s="1"/>
  <c r="AC305" i="6" s="1"/>
  <c r="AF308" i="6" s="1"/>
  <c r="AG317" i="6" s="1"/>
  <c r="AU302" i="6"/>
  <c r="AU303" i="6" s="1"/>
  <c r="AG305" i="6" s="1"/>
  <c r="F308" i="6" s="1"/>
  <c r="G317" i="6" s="1"/>
  <c r="K321" i="6"/>
  <c r="O326" i="6" s="1"/>
  <c r="N336" i="6" s="1"/>
  <c r="N344" i="6" s="1"/>
  <c r="Z321" i="6"/>
  <c r="N330" i="6" s="1"/>
  <c r="AK336" i="6" s="1"/>
  <c r="AK344" i="6" s="1"/>
  <c r="T321" i="6"/>
  <c r="U363" i="6" s="1"/>
  <c r="D321" i="6"/>
  <c r="L325" i="6" s="1"/>
  <c r="E336" i="6" s="1"/>
  <c r="E344" i="6" s="1"/>
  <c r="AB321" i="6"/>
  <c r="AC363" i="6" s="1"/>
  <c r="N321" i="6"/>
  <c r="O363" i="6" s="1"/>
  <c r="AD321" i="6"/>
  <c r="J332" i="6" s="1"/>
  <c r="AS336" i="6" s="1"/>
  <c r="AS344" i="6" s="1"/>
  <c r="Q321" i="6"/>
  <c r="M328" i="6" s="1"/>
  <c r="X336" i="6" s="1"/>
  <c r="X344" i="6" s="1"/>
  <c r="J321" i="6"/>
  <c r="K363" i="6" s="1"/>
  <c r="AH321" i="6"/>
  <c r="M321" i="6"/>
  <c r="M327" i="6" s="1"/>
  <c r="R336" i="6" s="1"/>
  <c r="R344" i="6" s="1"/>
  <c r="P321" i="6"/>
  <c r="L328" i="6" s="1"/>
  <c r="W336" i="6" s="1"/>
  <c r="W344" i="6" s="1"/>
  <c r="O321" i="6"/>
  <c r="K328" i="6" s="1"/>
  <c r="V336" i="6" s="1"/>
  <c r="V344" i="6" s="1"/>
  <c r="C321" i="6"/>
  <c r="K325" i="6" s="1"/>
  <c r="D336" i="6" s="1"/>
  <c r="D344" i="6" s="1"/>
  <c r="AE321" i="6"/>
  <c r="O331" i="6" s="1"/>
  <c r="AR336" i="6" s="1"/>
  <c r="AR344" i="6" s="1"/>
  <c r="E321" i="6"/>
  <c r="F363" i="6" s="1"/>
  <c r="Y321" i="6"/>
  <c r="M330" i="6" s="1"/>
  <c r="AJ336" i="6" s="1"/>
  <c r="AJ344" i="6" s="1"/>
  <c r="L303" i="6"/>
  <c r="J305" i="6" s="1"/>
  <c r="S308" i="6" s="1"/>
  <c r="T317" i="6" s="1"/>
  <c r="AH303" i="6"/>
  <c r="X305" i="6" s="1"/>
  <c r="AC308" i="6" s="1"/>
  <c r="AD317" i="6" s="1"/>
  <c r="C303" i="6"/>
  <c r="C305" i="6" s="1"/>
  <c r="R308" i="6" s="1"/>
  <c r="S317" i="6" s="1"/>
  <c r="W303" i="6"/>
  <c r="Q305" i="6" s="1"/>
  <c r="AG308" i="6" s="1"/>
  <c r="AH317" i="6" s="1"/>
  <c r="D363" i="6" l="1"/>
  <c r="N327" i="6"/>
  <c r="S336" i="6" s="1"/>
  <c r="S344" i="6" s="1"/>
  <c r="K327" i="6"/>
  <c r="P336" i="6" s="1"/>
  <c r="P344" i="6" s="1"/>
  <c r="O327" i="6"/>
  <c r="T336" i="6" s="1"/>
  <c r="T344" i="6" s="1"/>
  <c r="Z363" i="6"/>
  <c r="AE363" i="6"/>
  <c r="J331" i="6"/>
  <c r="AM336" i="6" s="1"/>
  <c r="AM344" i="6" s="1"/>
  <c r="O332" i="6"/>
  <c r="AX336" i="6" s="1"/>
  <c r="AX344" i="6" s="1"/>
  <c r="AA363" i="6"/>
  <c r="J327" i="6"/>
  <c r="O336" i="6" s="1"/>
  <c r="O344" i="6" s="1"/>
  <c r="L329" i="6"/>
  <c r="AC336" i="6" s="1"/>
  <c r="AC344" i="6" s="1"/>
  <c r="J328" i="6"/>
  <c r="U336" i="6" s="1"/>
  <c r="U344" i="6" s="1"/>
  <c r="K332" i="6"/>
  <c r="AT336" i="6" s="1"/>
  <c r="AT344" i="6" s="1"/>
  <c r="P363" i="6"/>
  <c r="N326" i="6"/>
  <c r="M336" i="6" s="1"/>
  <c r="M344" i="6" s="1"/>
  <c r="AF363" i="6"/>
  <c r="M325" i="6"/>
  <c r="F336" i="6" s="1"/>
  <c r="F344" i="6" s="1"/>
  <c r="N331" i="6"/>
  <c r="AQ336" i="6" s="1"/>
  <c r="AQ344" i="6" s="1"/>
  <c r="N363" i="6"/>
  <c r="L331" i="6"/>
  <c r="AO336" i="6" s="1"/>
  <c r="AO344" i="6" s="1"/>
  <c r="L363" i="6"/>
  <c r="AF321" i="6"/>
  <c r="AG363" i="6" s="1"/>
  <c r="R321" i="6"/>
  <c r="N328" i="6" s="1"/>
  <c r="Y336" i="6" s="1"/>
  <c r="Y344" i="6" s="1"/>
  <c r="G321" i="6"/>
  <c r="O325" i="6" s="1"/>
  <c r="H336" i="6" s="1"/>
  <c r="H344" i="6" s="1"/>
  <c r="H321" i="6"/>
  <c r="I363" i="6" s="1"/>
  <c r="AG321" i="6"/>
  <c r="M332" i="6" s="1"/>
  <c r="AV336" i="6" s="1"/>
  <c r="AV344" i="6" s="1"/>
  <c r="AC321" i="6"/>
  <c r="F321" i="6"/>
  <c r="G363" i="6" s="1"/>
  <c r="W321" i="6"/>
  <c r="O329" i="6" s="1"/>
  <c r="AF336" i="6" s="1"/>
  <c r="AF344" i="6" s="1"/>
  <c r="AA321" i="6"/>
  <c r="K331" i="6" s="1"/>
  <c r="AN336" i="6" s="1"/>
  <c r="AN344" i="6" s="1"/>
  <c r="L321" i="6"/>
  <c r="M363" i="6" s="1"/>
  <c r="V321" i="6"/>
  <c r="J330" i="6" s="1"/>
  <c r="AG336" i="6" s="1"/>
  <c r="AG344" i="6" s="1"/>
  <c r="I321" i="6"/>
  <c r="M326" i="6" s="1"/>
  <c r="L336" i="6" s="1"/>
  <c r="L344" i="6" s="1"/>
  <c r="U321" i="6"/>
  <c r="M329" i="6" s="1"/>
  <c r="AD336" i="6" s="1"/>
  <c r="AD344" i="6" s="1"/>
  <c r="X321" i="6"/>
  <c r="Y363" i="6" s="1"/>
  <c r="S321" i="6"/>
  <c r="R363" i="6"/>
  <c r="E363" i="6"/>
  <c r="Q363" i="6"/>
  <c r="AI363" i="6"/>
  <c r="N332" i="6"/>
  <c r="AW336" i="6" s="1"/>
  <c r="AW344" i="6" s="1"/>
  <c r="J325" i="6"/>
  <c r="C336" i="6" s="1"/>
  <c r="C344" i="6" s="1"/>
  <c r="H363" i="6" l="1"/>
  <c r="L327" i="6"/>
  <c r="Q336" i="6" s="1"/>
  <c r="Q344" i="6" s="1"/>
  <c r="O346" i="6" s="1"/>
  <c r="J329" i="6"/>
  <c r="AA336" i="6" s="1"/>
  <c r="AA344" i="6" s="1"/>
  <c r="AS347" i="6"/>
  <c r="AM347" i="6"/>
  <c r="O347" i="6"/>
  <c r="J363" i="6"/>
  <c r="N329" i="6"/>
  <c r="AE336" i="6" s="1"/>
  <c r="AE344" i="6" s="1"/>
  <c r="X363" i="6"/>
  <c r="S363" i="6"/>
  <c r="AB363" i="6"/>
  <c r="W363" i="6"/>
  <c r="J326" i="6"/>
  <c r="I336" i="6" s="1"/>
  <c r="I344" i="6" s="1"/>
  <c r="N325" i="6"/>
  <c r="G336" i="6" s="1"/>
  <c r="G344" i="6" s="1"/>
  <c r="L332" i="6"/>
  <c r="AU336" i="6" s="1"/>
  <c r="AU344" i="6" s="1"/>
  <c r="L330" i="6"/>
  <c r="AI336" i="6" s="1"/>
  <c r="AI344" i="6" s="1"/>
  <c r="C347" i="6"/>
  <c r="V363" i="6"/>
  <c r="AH363" i="6"/>
  <c r="O330" i="6"/>
  <c r="AL336" i="6" s="1"/>
  <c r="AL344" i="6" s="1"/>
  <c r="K330" i="6"/>
  <c r="AH336" i="6" s="1"/>
  <c r="AH344" i="6" s="1"/>
  <c r="L326" i="6"/>
  <c r="K336" i="6" s="1"/>
  <c r="K344" i="6" s="1"/>
  <c r="O328" i="6"/>
  <c r="Z336" i="6" s="1"/>
  <c r="Z344" i="6" s="1"/>
  <c r="K329" i="6"/>
  <c r="AB336" i="6" s="1"/>
  <c r="AB344" i="6" s="1"/>
  <c r="T363" i="6"/>
  <c r="K326" i="6"/>
  <c r="J336" i="6" s="1"/>
  <c r="J344" i="6" s="1"/>
  <c r="AD363" i="6"/>
  <c r="M331" i="6"/>
  <c r="AP336" i="6" s="1"/>
  <c r="AP344" i="6" s="1"/>
  <c r="U346" i="6"/>
  <c r="AA347" i="6" l="1"/>
  <c r="O349" i="6"/>
  <c r="O351" i="6" s="1"/>
  <c r="O352" i="6" s="1"/>
  <c r="K354" i="6" s="1"/>
  <c r="C357" i="6" s="1"/>
  <c r="D366" i="6" s="1"/>
  <c r="AS346" i="6"/>
  <c r="AS349" i="6" s="1"/>
  <c r="AU351" i="6" s="1"/>
  <c r="AU352" i="6" s="1"/>
  <c r="AG354" i="6" s="1"/>
  <c r="F357" i="6" s="1"/>
  <c r="G366" i="6" s="1"/>
  <c r="C346" i="6"/>
  <c r="C349" i="6" s="1"/>
  <c r="E351" i="6" s="1"/>
  <c r="I347" i="6"/>
  <c r="I346" i="6"/>
  <c r="AG346" i="6"/>
  <c r="U347" i="6"/>
  <c r="U349" i="6" s="1"/>
  <c r="AM346" i="6"/>
  <c r="AM349" i="6" s="1"/>
  <c r="AM351" i="6" s="1"/>
  <c r="AA346" i="6"/>
  <c r="AG347" i="6"/>
  <c r="AG349" i="6" l="1"/>
  <c r="Q351" i="6"/>
  <c r="Q352" i="6" s="1"/>
  <c r="M354" i="6" s="1"/>
  <c r="Y357" i="6" s="1"/>
  <c r="Z366" i="6" s="1"/>
  <c r="AA349" i="6"/>
  <c r="AB351" i="6" s="1"/>
  <c r="D351" i="6"/>
  <c r="D352" i="6" s="1"/>
  <c r="D354" i="6" s="1"/>
  <c r="I357" i="6" s="1"/>
  <c r="J366" i="6" s="1"/>
  <c r="P351" i="6"/>
  <c r="P352" i="6" s="1"/>
  <c r="L354" i="6" s="1"/>
  <c r="Q357" i="6" s="1"/>
  <c r="R366" i="6" s="1"/>
  <c r="F351" i="6"/>
  <c r="F352" i="6" s="1"/>
  <c r="F354" i="6" s="1"/>
  <c r="W357" i="6" s="1"/>
  <c r="X366" i="6" s="1"/>
  <c r="R351" i="6"/>
  <c r="R352" i="6" s="1"/>
  <c r="N354" i="6" s="1"/>
  <c r="AB357" i="6" s="1"/>
  <c r="AC366" i="6" s="1"/>
  <c r="C351" i="6"/>
  <c r="C352" i="6" s="1"/>
  <c r="C354" i="6" s="1"/>
  <c r="R357" i="6" s="1"/>
  <c r="S366" i="6" s="1"/>
  <c r="AO351" i="6"/>
  <c r="AO352" i="6" s="1"/>
  <c r="AC354" i="6" s="1"/>
  <c r="AF357" i="6" s="1"/>
  <c r="AG366" i="6" s="1"/>
  <c r="X351" i="6"/>
  <c r="X352" i="6" s="1"/>
  <c r="R354" i="6" s="1"/>
  <c r="L357" i="6" s="1"/>
  <c r="M366" i="6" s="1"/>
  <c r="W351" i="6"/>
  <c r="W352" i="6" s="1"/>
  <c r="Q354" i="6" s="1"/>
  <c r="AG357" i="6" s="1"/>
  <c r="AH366" i="6" s="1"/>
  <c r="U351" i="6"/>
  <c r="U352" i="6" s="1"/>
  <c r="O354" i="6" s="1"/>
  <c r="G357" i="6" s="1"/>
  <c r="H366" i="6" s="1"/>
  <c r="V351" i="6"/>
  <c r="V352" i="6" s="1"/>
  <c r="P354" i="6" s="1"/>
  <c r="T357" i="6" s="1"/>
  <c r="U366" i="6" s="1"/>
  <c r="I349" i="6"/>
  <c r="L351" i="6" s="1"/>
  <c r="L352" i="6" s="1"/>
  <c r="J354" i="6" s="1"/>
  <c r="S357" i="6" s="1"/>
  <c r="T366" i="6" s="1"/>
  <c r="AV351" i="6"/>
  <c r="AV352" i="6" s="1"/>
  <c r="AH354" i="6" s="1"/>
  <c r="AA357" i="6" s="1"/>
  <c r="AB366" i="6" s="1"/>
  <c r="AS351" i="6"/>
  <c r="AS352" i="6" s="1"/>
  <c r="AE354" i="6" s="1"/>
  <c r="X357" i="6" s="1"/>
  <c r="Y366" i="6" s="1"/>
  <c r="AP351" i="6"/>
  <c r="AP352" i="6" s="1"/>
  <c r="AD354" i="6" s="1"/>
  <c r="H357" i="6" s="1"/>
  <c r="I366" i="6" s="1"/>
  <c r="AT351" i="6"/>
  <c r="AT352" i="6" s="1"/>
  <c r="AF354" i="6" s="1"/>
  <c r="M357" i="6" s="1"/>
  <c r="N366" i="6" s="1"/>
  <c r="F370" i="6"/>
  <c r="G412" i="6" s="1"/>
  <c r="C370" i="6"/>
  <c r="O381" i="6" s="1"/>
  <c r="AX385" i="6" s="1"/>
  <c r="AX393" i="6" s="1"/>
  <c r="AM352" i="6"/>
  <c r="AA354" i="6" s="1"/>
  <c r="U357" i="6" s="1"/>
  <c r="V366" i="6" s="1"/>
  <c r="E352" i="6"/>
  <c r="E354" i="6" s="1"/>
  <c r="V357" i="6" s="1"/>
  <c r="W366" i="6" s="1"/>
  <c r="AN351" i="6"/>
  <c r="AG351" i="6"/>
  <c r="AJ351" i="6"/>
  <c r="AH351" i="6"/>
  <c r="AI351" i="6"/>
  <c r="AD351" i="6" l="1"/>
  <c r="AD352" i="6" s="1"/>
  <c r="V354" i="6" s="1"/>
  <c r="P357" i="6" s="1"/>
  <c r="Q366" i="6" s="1"/>
  <c r="AA351" i="6"/>
  <c r="AA352" i="6" s="1"/>
  <c r="S354" i="6" s="1"/>
  <c r="D357" i="6" s="1"/>
  <c r="E366" i="6" s="1"/>
  <c r="AC351" i="6"/>
  <c r="AC352" i="6" s="1"/>
  <c r="U354" i="6" s="1"/>
  <c r="Z357" i="6" s="1"/>
  <c r="AA366" i="6" s="1"/>
  <c r="J375" i="6"/>
  <c r="I385" i="6" s="1"/>
  <c r="I393" i="6" s="1"/>
  <c r="I351" i="6"/>
  <c r="I352" i="6" s="1"/>
  <c r="G354" i="6" s="1"/>
  <c r="AE357" i="6" s="1"/>
  <c r="AF366" i="6" s="1"/>
  <c r="N374" i="6"/>
  <c r="G385" i="6" s="1"/>
  <c r="G393" i="6" s="1"/>
  <c r="K374" i="6"/>
  <c r="D385" i="6" s="1"/>
  <c r="D393" i="6" s="1"/>
  <c r="D412" i="6"/>
  <c r="J351" i="6"/>
  <c r="J352" i="6" s="1"/>
  <c r="H354" i="6" s="1"/>
  <c r="N357" i="6" s="1"/>
  <c r="O366" i="6" s="1"/>
  <c r="K351" i="6"/>
  <c r="K352" i="6" s="1"/>
  <c r="I354" i="6" s="1"/>
  <c r="AD357" i="6" s="1"/>
  <c r="AE366" i="6" s="1"/>
  <c r="W370" i="6"/>
  <c r="K379" i="6" s="1"/>
  <c r="AH385" i="6" s="1"/>
  <c r="AH393" i="6" s="1"/>
  <c r="R370" i="6"/>
  <c r="N377" i="6" s="1"/>
  <c r="Y385" i="6" s="1"/>
  <c r="Y393" i="6" s="1"/>
  <c r="M370" i="6"/>
  <c r="M376" i="6" s="1"/>
  <c r="R385" i="6" s="1"/>
  <c r="R393" i="6" s="1"/>
  <c r="U370" i="6"/>
  <c r="M378" i="6" s="1"/>
  <c r="AD385" i="6" s="1"/>
  <c r="AD393" i="6" s="1"/>
  <c r="Y370" i="6"/>
  <c r="Z412" i="6" s="1"/>
  <c r="I370" i="6"/>
  <c r="M375" i="6" s="1"/>
  <c r="L385" i="6" s="1"/>
  <c r="L393" i="6" s="1"/>
  <c r="V370" i="6"/>
  <c r="W412" i="6" s="1"/>
  <c r="Q370" i="6"/>
  <c r="M377" i="6" s="1"/>
  <c r="X385" i="6" s="1"/>
  <c r="X393" i="6" s="1"/>
  <c r="AG370" i="6"/>
  <c r="AH412" i="6" s="1"/>
  <c r="H370" i="6"/>
  <c r="I412" i="6" s="1"/>
  <c r="T370" i="6"/>
  <c r="U412" i="6" s="1"/>
  <c r="S370" i="6"/>
  <c r="K378" i="6" s="1"/>
  <c r="AB385" i="6" s="1"/>
  <c r="AB393" i="6" s="1"/>
  <c r="L370" i="6"/>
  <c r="M412" i="6" s="1"/>
  <c r="X370" i="6"/>
  <c r="L379" i="6" s="1"/>
  <c r="AI385" i="6" s="1"/>
  <c r="AI393" i="6" s="1"/>
  <c r="AF370" i="6"/>
  <c r="AG412" i="6" s="1"/>
  <c r="G370" i="6"/>
  <c r="O374" i="6" s="1"/>
  <c r="H385" i="6" s="1"/>
  <c r="H393" i="6" s="1"/>
  <c r="AA370" i="6"/>
  <c r="K380" i="6" s="1"/>
  <c r="AN385" i="6" s="1"/>
  <c r="AN393" i="6" s="1"/>
  <c r="AB370" i="6"/>
  <c r="L380" i="6" s="1"/>
  <c r="AO385" i="6" s="1"/>
  <c r="AO393" i="6" s="1"/>
  <c r="AB352" i="6"/>
  <c r="T354" i="6" s="1"/>
  <c r="J357" i="6" s="1"/>
  <c r="K366" i="6" s="1"/>
  <c r="AI352" i="6"/>
  <c r="Y354" i="6" s="1"/>
  <c r="E357" i="6" s="1"/>
  <c r="F366" i="6" s="1"/>
  <c r="AH352" i="6"/>
  <c r="X354" i="6" s="1"/>
  <c r="AC357" i="6" s="1"/>
  <c r="AD366" i="6" s="1"/>
  <c r="AJ352" i="6"/>
  <c r="Z354" i="6" s="1"/>
  <c r="K357" i="6" s="1"/>
  <c r="L366" i="6" s="1"/>
  <c r="AG352" i="6"/>
  <c r="W354" i="6" s="1"/>
  <c r="AH357" i="6" s="1"/>
  <c r="AI366" i="6" s="1"/>
  <c r="AN352" i="6"/>
  <c r="AB354" i="6" s="1"/>
  <c r="O357" i="6" s="1"/>
  <c r="P366" i="6" s="1"/>
  <c r="L376" i="6" l="1"/>
  <c r="Q385" i="6" s="1"/>
  <c r="Q393" i="6" s="1"/>
  <c r="X412" i="6"/>
  <c r="L375" i="6"/>
  <c r="K385" i="6" s="1"/>
  <c r="K393" i="6" s="1"/>
  <c r="K375" i="6"/>
  <c r="J385" i="6" s="1"/>
  <c r="J393" i="6" s="1"/>
  <c r="N412" i="6"/>
  <c r="S412" i="6"/>
  <c r="O378" i="6"/>
  <c r="AF385" i="6" s="1"/>
  <c r="AF393" i="6" s="1"/>
  <c r="J412" i="6"/>
  <c r="M381" i="6"/>
  <c r="AV385" i="6" s="1"/>
  <c r="AV393" i="6" s="1"/>
  <c r="Y412" i="6"/>
  <c r="J378" i="6"/>
  <c r="AA385" i="6" s="1"/>
  <c r="AA393" i="6" s="1"/>
  <c r="L378" i="6"/>
  <c r="AC385" i="6" s="1"/>
  <c r="AC393" i="6" s="1"/>
  <c r="AC412" i="6"/>
  <c r="N378" i="6"/>
  <c r="AE385" i="6" s="1"/>
  <c r="AE393" i="6" s="1"/>
  <c r="L381" i="6"/>
  <c r="AU385" i="6" s="1"/>
  <c r="AU393" i="6" s="1"/>
  <c r="M379" i="6"/>
  <c r="AJ385" i="6" s="1"/>
  <c r="AJ393" i="6" s="1"/>
  <c r="V412" i="6"/>
  <c r="T412" i="6"/>
  <c r="AB412" i="6"/>
  <c r="J379" i="6"/>
  <c r="AG385" i="6" s="1"/>
  <c r="AG393" i="6" s="1"/>
  <c r="H412" i="6"/>
  <c r="O379" i="6"/>
  <c r="AL385" i="6" s="1"/>
  <c r="AL393" i="6" s="1"/>
  <c r="J370" i="6"/>
  <c r="K412" i="6" s="1"/>
  <c r="K370" i="6"/>
  <c r="L412" i="6" s="1"/>
  <c r="D370" i="6"/>
  <c r="E412" i="6" s="1"/>
  <c r="AD370" i="6"/>
  <c r="AE412" i="6" s="1"/>
  <c r="AE370" i="6"/>
  <c r="O380" i="6" s="1"/>
  <c r="AR385" i="6" s="1"/>
  <c r="AR393" i="6" s="1"/>
  <c r="AC370" i="6"/>
  <c r="M380" i="6" s="1"/>
  <c r="AP385" i="6" s="1"/>
  <c r="AP393" i="6" s="1"/>
  <c r="O370" i="6"/>
  <c r="AH370" i="6"/>
  <c r="N381" i="6" s="1"/>
  <c r="AW385" i="6" s="1"/>
  <c r="AW393" i="6" s="1"/>
  <c r="N370" i="6"/>
  <c r="Z370" i="6"/>
  <c r="J380" i="6" s="1"/>
  <c r="AM385" i="6" s="1"/>
  <c r="AM393" i="6" s="1"/>
  <c r="P370" i="6"/>
  <c r="Q412" i="6" s="1"/>
  <c r="E370" i="6"/>
  <c r="F412" i="6" s="1"/>
  <c r="O377" i="6"/>
  <c r="Z385" i="6" s="1"/>
  <c r="Z393" i="6" s="1"/>
  <c r="R412" i="6"/>
  <c r="J374" i="6" l="1"/>
  <c r="C385" i="6" s="1"/>
  <c r="C393" i="6" s="1"/>
  <c r="K381" i="6"/>
  <c r="AT385" i="6" s="1"/>
  <c r="AT393" i="6" s="1"/>
  <c r="L374" i="6"/>
  <c r="E385" i="6" s="1"/>
  <c r="E393" i="6" s="1"/>
  <c r="L377" i="6"/>
  <c r="W385" i="6" s="1"/>
  <c r="W393" i="6" s="1"/>
  <c r="AA395" i="6"/>
  <c r="AA396" i="6"/>
  <c r="M374" i="6"/>
  <c r="F385" i="6" s="1"/>
  <c r="F393" i="6" s="1"/>
  <c r="AI412" i="6"/>
  <c r="AG396" i="6"/>
  <c r="AD412" i="6"/>
  <c r="N375" i="6"/>
  <c r="M385" i="6" s="1"/>
  <c r="M393" i="6" s="1"/>
  <c r="AF412" i="6"/>
  <c r="J376" i="6"/>
  <c r="O385" i="6" s="1"/>
  <c r="O393" i="6" s="1"/>
  <c r="J381" i="6"/>
  <c r="AS385" i="6" s="1"/>
  <c r="AS393" i="6" s="1"/>
  <c r="N379" i="6"/>
  <c r="AK385" i="6" s="1"/>
  <c r="AK393" i="6" s="1"/>
  <c r="O375" i="6"/>
  <c r="N385" i="6" s="1"/>
  <c r="N393" i="6" s="1"/>
  <c r="N376" i="6"/>
  <c r="S385" i="6" s="1"/>
  <c r="S393" i="6" s="1"/>
  <c r="O412" i="6"/>
  <c r="AA412" i="6"/>
  <c r="K376" i="6"/>
  <c r="P385" i="6" s="1"/>
  <c r="P393" i="6" s="1"/>
  <c r="J377" i="6"/>
  <c r="U385" i="6" s="1"/>
  <c r="U393" i="6" s="1"/>
  <c r="N380" i="6"/>
  <c r="AQ385" i="6" s="1"/>
  <c r="AQ393" i="6" s="1"/>
  <c r="P412" i="6"/>
  <c r="K377" i="6"/>
  <c r="V385" i="6" s="1"/>
  <c r="V393" i="6" s="1"/>
  <c r="O376" i="6"/>
  <c r="T385" i="6" s="1"/>
  <c r="T393" i="6" s="1"/>
  <c r="AM396" i="6"/>
  <c r="C396" i="6" l="1"/>
  <c r="AS395" i="6"/>
  <c r="AA398" i="6"/>
  <c r="AB400" i="6" s="1"/>
  <c r="C395" i="6"/>
  <c r="I395" i="6"/>
  <c r="AS396" i="6"/>
  <c r="U395" i="6"/>
  <c r="O395" i="6"/>
  <c r="I396" i="6"/>
  <c r="AG395" i="6"/>
  <c r="AG398" i="6" s="1"/>
  <c r="AI400" i="6" s="1"/>
  <c r="AM395" i="6"/>
  <c r="AM398" i="6" s="1"/>
  <c r="O396" i="6"/>
  <c r="U396" i="6"/>
  <c r="I398" i="6" l="1"/>
  <c r="L400" i="6" s="1"/>
  <c r="O398" i="6"/>
  <c r="O400" i="6" s="1"/>
  <c r="O401" i="6" s="1"/>
  <c r="K403" i="6" s="1"/>
  <c r="C406" i="6" s="1"/>
  <c r="D415" i="6" s="1"/>
  <c r="AS398" i="6"/>
  <c r="AV400" i="6" s="1"/>
  <c r="AV401" i="6" s="1"/>
  <c r="AH403" i="6" s="1"/>
  <c r="AA406" i="6" s="1"/>
  <c r="AB415" i="6" s="1"/>
  <c r="AH400" i="6"/>
  <c r="AH401" i="6" s="1"/>
  <c r="X403" i="6" s="1"/>
  <c r="AC406" i="6" s="1"/>
  <c r="AD415" i="6" s="1"/>
  <c r="AJ400" i="6"/>
  <c r="AJ401" i="6" s="1"/>
  <c r="Z403" i="6" s="1"/>
  <c r="K406" i="6" s="1"/>
  <c r="L415" i="6" s="1"/>
  <c r="AA400" i="6"/>
  <c r="AA401" i="6" s="1"/>
  <c r="S403" i="6" s="1"/>
  <c r="D406" i="6" s="1"/>
  <c r="E415" i="6" s="1"/>
  <c r="AD400" i="6"/>
  <c r="AD401" i="6" s="1"/>
  <c r="V403" i="6" s="1"/>
  <c r="P406" i="6" s="1"/>
  <c r="Q415" i="6" s="1"/>
  <c r="C398" i="6"/>
  <c r="E400" i="6" s="1"/>
  <c r="E401" i="6" s="1"/>
  <c r="E403" i="6" s="1"/>
  <c r="V406" i="6" s="1"/>
  <c r="W415" i="6" s="1"/>
  <c r="AC400" i="6"/>
  <c r="AC401" i="6" s="1"/>
  <c r="U403" i="6" s="1"/>
  <c r="Z406" i="6" s="1"/>
  <c r="AA415" i="6" s="1"/>
  <c r="U398" i="6"/>
  <c r="U400" i="6" s="1"/>
  <c r="U401" i="6" s="1"/>
  <c r="O403" i="6" s="1"/>
  <c r="G406" i="6" s="1"/>
  <c r="H415" i="6" s="1"/>
  <c r="AG400" i="6"/>
  <c r="AG401" i="6" s="1"/>
  <c r="W403" i="6" s="1"/>
  <c r="AH406" i="6" s="1"/>
  <c r="AI415" i="6" s="1"/>
  <c r="AI401" i="6"/>
  <c r="Y403" i="6" s="1"/>
  <c r="E406" i="6" s="1"/>
  <c r="F415" i="6" s="1"/>
  <c r="AB401" i="6"/>
  <c r="T403" i="6" s="1"/>
  <c r="J406" i="6" s="1"/>
  <c r="K415" i="6" s="1"/>
  <c r="L401" i="6"/>
  <c r="J403" i="6" s="1"/>
  <c r="S406" i="6" s="1"/>
  <c r="T415" i="6" s="1"/>
  <c r="J400" i="6"/>
  <c r="K400" i="6"/>
  <c r="I400" i="6"/>
  <c r="AO400" i="6"/>
  <c r="AN400" i="6"/>
  <c r="AP400" i="6"/>
  <c r="AM400" i="6"/>
  <c r="P400" i="6" l="1"/>
  <c r="P401" i="6" s="1"/>
  <c r="L403" i="6" s="1"/>
  <c r="Q406" i="6" s="1"/>
  <c r="R415" i="6" s="1"/>
  <c r="R400" i="6"/>
  <c r="Q400" i="6"/>
  <c r="AS400" i="6"/>
  <c r="AS401" i="6" s="1"/>
  <c r="AE403" i="6" s="1"/>
  <c r="X406" i="6" s="1"/>
  <c r="Y415" i="6" s="1"/>
  <c r="D400" i="6"/>
  <c r="D401" i="6" s="1"/>
  <c r="D403" i="6" s="1"/>
  <c r="I406" i="6" s="1"/>
  <c r="J415" i="6" s="1"/>
  <c r="F400" i="6"/>
  <c r="F401" i="6" s="1"/>
  <c r="F403" i="6" s="1"/>
  <c r="W406" i="6" s="1"/>
  <c r="X415" i="6" s="1"/>
  <c r="X400" i="6"/>
  <c r="X401" i="6" s="1"/>
  <c r="R403" i="6" s="1"/>
  <c r="L406" i="6" s="1"/>
  <c r="M415" i="6" s="1"/>
  <c r="AT400" i="6"/>
  <c r="AT401" i="6" s="1"/>
  <c r="AF403" i="6" s="1"/>
  <c r="M406" i="6" s="1"/>
  <c r="N415" i="6" s="1"/>
  <c r="AU400" i="6"/>
  <c r="AU401" i="6" s="1"/>
  <c r="AG403" i="6" s="1"/>
  <c r="F406" i="6" s="1"/>
  <c r="G415" i="6" s="1"/>
  <c r="W400" i="6"/>
  <c r="W401" i="6" s="1"/>
  <c r="Q403" i="6" s="1"/>
  <c r="AG406" i="6" s="1"/>
  <c r="AH415" i="6" s="1"/>
  <c r="C400" i="6"/>
  <c r="C401" i="6" s="1"/>
  <c r="C403" i="6" s="1"/>
  <c r="R406" i="6" s="1"/>
  <c r="S415" i="6" s="1"/>
  <c r="V400" i="6"/>
  <c r="V401" i="6" s="1"/>
  <c r="P403" i="6" s="1"/>
  <c r="T406" i="6" s="1"/>
  <c r="U415" i="6" s="1"/>
  <c r="Z419" i="6"/>
  <c r="N428" i="6" s="1"/>
  <c r="AK434" i="6" s="1"/>
  <c r="AK442" i="6" s="1"/>
  <c r="AC419" i="6"/>
  <c r="AD461" i="6" s="1"/>
  <c r="E419" i="6"/>
  <c r="F461" i="6" s="1"/>
  <c r="D419" i="6"/>
  <c r="E461" i="6" s="1"/>
  <c r="S419" i="6"/>
  <c r="K427" i="6" s="1"/>
  <c r="AB434" i="6" s="1"/>
  <c r="AB442" i="6" s="1"/>
  <c r="AH419" i="6"/>
  <c r="J423" i="6" s="1"/>
  <c r="C434" i="6" s="1"/>
  <c r="C442" i="6" s="1"/>
  <c r="P419" i="6"/>
  <c r="Q461" i="6" s="1"/>
  <c r="J419" i="6"/>
  <c r="N424" i="6" s="1"/>
  <c r="M434" i="6" s="1"/>
  <c r="M442" i="6" s="1"/>
  <c r="C419" i="6"/>
  <c r="K423" i="6" s="1"/>
  <c r="D434" i="6" s="1"/>
  <c r="D442" i="6" s="1"/>
  <c r="G419" i="6"/>
  <c r="O423" i="6" s="1"/>
  <c r="H434" i="6" s="1"/>
  <c r="H442" i="6" s="1"/>
  <c r="V419" i="6"/>
  <c r="N427" i="6" s="1"/>
  <c r="AE434" i="6" s="1"/>
  <c r="AE442" i="6" s="1"/>
  <c r="AA419" i="6"/>
  <c r="K429" i="6" s="1"/>
  <c r="AN434" i="6" s="1"/>
  <c r="AN442" i="6" s="1"/>
  <c r="K419" i="6"/>
  <c r="K425" i="6" s="1"/>
  <c r="P434" i="6" s="1"/>
  <c r="P442" i="6" s="1"/>
  <c r="AP401" i="6"/>
  <c r="AD403" i="6" s="1"/>
  <c r="H406" i="6" s="1"/>
  <c r="I415" i="6" s="1"/>
  <c r="I401" i="6"/>
  <c r="G403" i="6" s="1"/>
  <c r="AE406" i="6" s="1"/>
  <c r="AF415" i="6" s="1"/>
  <c r="AN401" i="6"/>
  <c r="AB403" i="6" s="1"/>
  <c r="O406" i="6" s="1"/>
  <c r="P415" i="6" s="1"/>
  <c r="K401" i="6"/>
  <c r="I403" i="6" s="1"/>
  <c r="AD406" i="6" s="1"/>
  <c r="AE415" i="6" s="1"/>
  <c r="AO401" i="6"/>
  <c r="AC403" i="6" s="1"/>
  <c r="AF406" i="6" s="1"/>
  <c r="AG415" i="6" s="1"/>
  <c r="Q401" i="6"/>
  <c r="M403" i="6" s="1"/>
  <c r="Y406" i="6" s="1"/>
  <c r="Z415" i="6" s="1"/>
  <c r="J401" i="6"/>
  <c r="H403" i="6" s="1"/>
  <c r="N406" i="6" s="1"/>
  <c r="O415" i="6" s="1"/>
  <c r="AM401" i="6"/>
  <c r="AA403" i="6" s="1"/>
  <c r="U406" i="6" s="1"/>
  <c r="V415" i="6" s="1"/>
  <c r="R401" i="6"/>
  <c r="N403" i="6" s="1"/>
  <c r="AB406" i="6" s="1"/>
  <c r="AC415" i="6" s="1"/>
  <c r="T461" i="6" l="1"/>
  <c r="O424" i="6"/>
  <c r="N434" i="6" s="1"/>
  <c r="N442" i="6" s="1"/>
  <c r="AA461" i="6"/>
  <c r="O428" i="6"/>
  <c r="AL434" i="6" s="1"/>
  <c r="AL442" i="6" s="1"/>
  <c r="O430" i="6"/>
  <c r="AX434" i="6" s="1"/>
  <c r="AX442" i="6" s="1"/>
  <c r="M423" i="6"/>
  <c r="F434" i="6" s="1"/>
  <c r="F442" i="6" s="1"/>
  <c r="W461" i="6"/>
  <c r="L426" i="6"/>
  <c r="W434" i="6" s="1"/>
  <c r="W442" i="6" s="1"/>
  <c r="H461" i="6"/>
  <c r="L423" i="6"/>
  <c r="E434" i="6" s="1"/>
  <c r="E442" i="6" s="1"/>
  <c r="K424" i="6"/>
  <c r="J434" i="6" s="1"/>
  <c r="J442" i="6" s="1"/>
  <c r="J429" i="6"/>
  <c r="AM434" i="6" s="1"/>
  <c r="AM442" i="6" s="1"/>
  <c r="N430" i="6"/>
  <c r="AW434" i="6" s="1"/>
  <c r="AW442" i="6" s="1"/>
  <c r="D461" i="6"/>
  <c r="J425" i="6"/>
  <c r="O434" i="6" s="1"/>
  <c r="O442" i="6" s="1"/>
  <c r="L461" i="6"/>
  <c r="K461" i="6"/>
  <c r="AB461" i="6"/>
  <c r="J428" i="6"/>
  <c r="AG434" i="6" s="1"/>
  <c r="AG442" i="6" s="1"/>
  <c r="AI461" i="6"/>
  <c r="U419" i="6"/>
  <c r="M427" i="6" s="1"/>
  <c r="AD434" i="6" s="1"/>
  <c r="AD442" i="6" s="1"/>
  <c r="W419" i="6"/>
  <c r="O427" i="6" s="1"/>
  <c r="AF434" i="6" s="1"/>
  <c r="AF442" i="6" s="1"/>
  <c r="L419" i="6"/>
  <c r="L425" i="6" s="1"/>
  <c r="Q434" i="6" s="1"/>
  <c r="Q442" i="6" s="1"/>
  <c r="X419" i="6"/>
  <c r="Y461" i="6" s="1"/>
  <c r="F419" i="6"/>
  <c r="N423" i="6" s="1"/>
  <c r="G434" i="6" s="1"/>
  <c r="G442" i="6" s="1"/>
  <c r="R419" i="6"/>
  <c r="S461" i="6" s="1"/>
  <c r="Q419" i="6"/>
  <c r="R461" i="6" s="1"/>
  <c r="N419" i="6"/>
  <c r="O461" i="6" s="1"/>
  <c r="AE419" i="6"/>
  <c r="AF461" i="6" s="1"/>
  <c r="AG419" i="6"/>
  <c r="AB419" i="6"/>
  <c r="L429" i="6" s="1"/>
  <c r="AO434" i="6" s="1"/>
  <c r="AO442" i="6" s="1"/>
  <c r="M419" i="6"/>
  <c r="M425" i="6" s="1"/>
  <c r="R434" i="6" s="1"/>
  <c r="R442" i="6" s="1"/>
  <c r="I419" i="6"/>
  <c r="M424" i="6" s="1"/>
  <c r="L434" i="6" s="1"/>
  <c r="L442" i="6" s="1"/>
  <c r="T419" i="6"/>
  <c r="U461" i="6" s="1"/>
  <c r="Y419" i="6"/>
  <c r="Z461" i="6" s="1"/>
  <c r="AF419" i="6"/>
  <c r="AG461" i="6" s="1"/>
  <c r="AD419" i="6"/>
  <c r="N429" i="6" s="1"/>
  <c r="AQ434" i="6" s="1"/>
  <c r="AQ442" i="6" s="1"/>
  <c r="O419" i="6"/>
  <c r="P461" i="6" s="1"/>
  <c r="H419" i="6"/>
  <c r="I461" i="6" s="1"/>
  <c r="M429" i="6"/>
  <c r="AP434" i="6" s="1"/>
  <c r="AP442" i="6" s="1"/>
  <c r="O426" i="6"/>
  <c r="Z434" i="6" s="1"/>
  <c r="Z442" i="6" s="1"/>
  <c r="C445" i="6"/>
  <c r="L427" i="6" l="1"/>
  <c r="AC434" i="6" s="1"/>
  <c r="AC442" i="6" s="1"/>
  <c r="J427" i="6"/>
  <c r="AA434" i="6" s="1"/>
  <c r="AA442" i="6" s="1"/>
  <c r="L428" i="6"/>
  <c r="AI434" i="6" s="1"/>
  <c r="AI442" i="6" s="1"/>
  <c r="L424" i="6"/>
  <c r="K434" i="6" s="1"/>
  <c r="K442" i="6" s="1"/>
  <c r="O425" i="6"/>
  <c r="T434" i="6" s="1"/>
  <c r="T442" i="6" s="1"/>
  <c r="X461" i="6"/>
  <c r="K426" i="6"/>
  <c r="V434" i="6" s="1"/>
  <c r="V442" i="6" s="1"/>
  <c r="AE461" i="6"/>
  <c r="J424" i="6"/>
  <c r="I434" i="6" s="1"/>
  <c r="I442" i="6" s="1"/>
  <c r="K430" i="6"/>
  <c r="AT434" i="6" s="1"/>
  <c r="AT442" i="6" s="1"/>
  <c r="V461" i="6"/>
  <c r="J461" i="6"/>
  <c r="O429" i="6"/>
  <c r="AR434" i="6" s="1"/>
  <c r="AR442" i="6" s="1"/>
  <c r="G461" i="6"/>
  <c r="J430" i="6"/>
  <c r="AS434" i="6" s="1"/>
  <c r="AS442" i="6" s="1"/>
  <c r="AG445" i="6"/>
  <c r="M428" i="6"/>
  <c r="AJ434" i="6" s="1"/>
  <c r="AJ442" i="6" s="1"/>
  <c r="M461" i="6"/>
  <c r="J426" i="6"/>
  <c r="U434" i="6" s="1"/>
  <c r="U442" i="6" s="1"/>
  <c r="N426" i="6"/>
  <c r="Y434" i="6" s="1"/>
  <c r="Y442" i="6" s="1"/>
  <c r="AC461" i="6"/>
  <c r="AM444" i="6"/>
  <c r="C444" i="6"/>
  <c r="C447" i="6" s="1"/>
  <c r="C449" i="6" s="1"/>
  <c r="N461" i="6"/>
  <c r="L430" i="6"/>
  <c r="AU434" i="6" s="1"/>
  <c r="AU442" i="6" s="1"/>
  <c r="N425" i="6"/>
  <c r="S434" i="6" s="1"/>
  <c r="S442" i="6" s="1"/>
  <c r="M430" i="6"/>
  <c r="AV434" i="6" s="1"/>
  <c r="AV442" i="6" s="1"/>
  <c r="AH461" i="6"/>
  <c r="M426" i="6"/>
  <c r="X434" i="6" s="1"/>
  <c r="X442" i="6" s="1"/>
  <c r="K428" i="6"/>
  <c r="AH434" i="6" s="1"/>
  <c r="AH442" i="6" s="1"/>
  <c r="AA444" i="6" l="1"/>
  <c r="AA445" i="6"/>
  <c r="I444" i="6"/>
  <c r="O445" i="6"/>
  <c r="AS445" i="6"/>
  <c r="AM445" i="6"/>
  <c r="AM447" i="6" s="1"/>
  <c r="AP449" i="6" s="1"/>
  <c r="I445" i="6"/>
  <c r="U445" i="6"/>
  <c r="AG444" i="6"/>
  <c r="AG447" i="6" s="1"/>
  <c r="AI449" i="6" s="1"/>
  <c r="O444" i="6"/>
  <c r="U444" i="6"/>
  <c r="AS444" i="6"/>
  <c r="C450" i="6"/>
  <c r="C452" i="6" s="1"/>
  <c r="R455" i="6" s="1"/>
  <c r="S464" i="6" s="1"/>
  <c r="E449" i="6"/>
  <c r="F449" i="6"/>
  <c r="D449" i="6"/>
  <c r="I447" i="6" l="1"/>
  <c r="L449" i="6" s="1"/>
  <c r="L450" i="6" s="1"/>
  <c r="J452" i="6" s="1"/>
  <c r="S455" i="6" s="1"/>
  <c r="T464" i="6" s="1"/>
  <c r="AA447" i="6"/>
  <c r="AB449" i="6" s="1"/>
  <c r="AB450" i="6" s="1"/>
  <c r="T452" i="6" s="1"/>
  <c r="J455" i="6" s="1"/>
  <c r="K464" i="6" s="1"/>
  <c r="AS447" i="6"/>
  <c r="AT449" i="6" s="1"/>
  <c r="AT450" i="6" s="1"/>
  <c r="AF452" i="6" s="1"/>
  <c r="M455" i="6" s="1"/>
  <c r="N464" i="6" s="1"/>
  <c r="AG449" i="6"/>
  <c r="AG450" i="6" s="1"/>
  <c r="W452" i="6" s="1"/>
  <c r="AH455" i="6" s="1"/>
  <c r="AI464" i="6" s="1"/>
  <c r="U447" i="6"/>
  <c r="U449" i="6" s="1"/>
  <c r="U450" i="6" s="1"/>
  <c r="O452" i="6" s="1"/>
  <c r="G455" i="6" s="1"/>
  <c r="H464" i="6" s="1"/>
  <c r="AO449" i="6"/>
  <c r="AO450" i="6" s="1"/>
  <c r="AC452" i="6" s="1"/>
  <c r="AF455" i="6" s="1"/>
  <c r="AG464" i="6" s="1"/>
  <c r="O447" i="6"/>
  <c r="Q449" i="6" s="1"/>
  <c r="Q450" i="6" s="1"/>
  <c r="M452" i="6" s="1"/>
  <c r="Y455" i="6" s="1"/>
  <c r="Z464" i="6" s="1"/>
  <c r="AM449" i="6"/>
  <c r="AM450" i="6" s="1"/>
  <c r="AA452" i="6" s="1"/>
  <c r="U455" i="6" s="1"/>
  <c r="V464" i="6" s="1"/>
  <c r="AN449" i="6"/>
  <c r="AN450" i="6" s="1"/>
  <c r="AB452" i="6" s="1"/>
  <c r="O455" i="6" s="1"/>
  <c r="P464" i="6" s="1"/>
  <c r="R468" i="6"/>
  <c r="J476" i="6" s="1"/>
  <c r="AA483" i="6" s="1"/>
  <c r="AA491" i="6" s="1"/>
  <c r="AP450" i="6"/>
  <c r="AD452" i="6" s="1"/>
  <c r="H455" i="6" s="1"/>
  <c r="I464" i="6" s="1"/>
  <c r="E450" i="6"/>
  <c r="E452" i="6" s="1"/>
  <c r="V455" i="6" s="1"/>
  <c r="W464" i="6" s="1"/>
  <c r="D450" i="6"/>
  <c r="D452" i="6" s="1"/>
  <c r="I455" i="6" s="1"/>
  <c r="J464" i="6" s="1"/>
  <c r="F450" i="6"/>
  <c r="F452" i="6" s="1"/>
  <c r="W455" i="6" s="1"/>
  <c r="X464" i="6" s="1"/>
  <c r="AJ449" i="6"/>
  <c r="AH449" i="6"/>
  <c r="AI450" i="6"/>
  <c r="Y452" i="6" s="1"/>
  <c r="E455" i="6" s="1"/>
  <c r="F464" i="6" s="1"/>
  <c r="AD449" i="6" l="1"/>
  <c r="AD450" i="6" s="1"/>
  <c r="V452" i="6" s="1"/>
  <c r="P455" i="6" s="1"/>
  <c r="Q464" i="6" s="1"/>
  <c r="J449" i="6"/>
  <c r="J450" i="6" s="1"/>
  <c r="H452" i="6" s="1"/>
  <c r="N455" i="6" s="1"/>
  <c r="O464" i="6" s="1"/>
  <c r="K449" i="6"/>
  <c r="K450" i="6" s="1"/>
  <c r="I452" i="6" s="1"/>
  <c r="AD455" i="6" s="1"/>
  <c r="AE464" i="6" s="1"/>
  <c r="I449" i="6"/>
  <c r="I450" i="6" s="1"/>
  <c r="G452" i="6" s="1"/>
  <c r="AE455" i="6" s="1"/>
  <c r="AF464" i="6" s="1"/>
  <c r="AC449" i="6"/>
  <c r="AC450" i="6" s="1"/>
  <c r="U452" i="6" s="1"/>
  <c r="Z455" i="6" s="1"/>
  <c r="AA464" i="6" s="1"/>
  <c r="AU449" i="6"/>
  <c r="AU450" i="6" s="1"/>
  <c r="AG452" i="6" s="1"/>
  <c r="F455" i="6" s="1"/>
  <c r="G464" i="6" s="1"/>
  <c r="AA449" i="6"/>
  <c r="AA450" i="6" s="1"/>
  <c r="S452" i="6" s="1"/>
  <c r="D455" i="6" s="1"/>
  <c r="E464" i="6" s="1"/>
  <c r="AS449" i="6"/>
  <c r="AS450" i="6" s="1"/>
  <c r="AE452" i="6" s="1"/>
  <c r="X455" i="6" s="1"/>
  <c r="Y464" i="6" s="1"/>
  <c r="AV449" i="6"/>
  <c r="AV450" i="6" s="1"/>
  <c r="AH452" i="6" s="1"/>
  <c r="AA455" i="6" s="1"/>
  <c r="AB464" i="6" s="1"/>
  <c r="V449" i="6"/>
  <c r="V450" i="6" s="1"/>
  <c r="P452" i="6" s="1"/>
  <c r="T455" i="6" s="1"/>
  <c r="U464" i="6" s="1"/>
  <c r="P449" i="6"/>
  <c r="P450" i="6" s="1"/>
  <c r="L452" i="6" s="1"/>
  <c r="Q455" i="6" s="1"/>
  <c r="R464" i="6" s="1"/>
  <c r="O449" i="6"/>
  <c r="O450" i="6" s="1"/>
  <c r="K452" i="6" s="1"/>
  <c r="C455" i="6" s="1"/>
  <c r="D464" i="6" s="1"/>
  <c r="W449" i="6"/>
  <c r="W450" i="6" s="1"/>
  <c r="Q452" i="6" s="1"/>
  <c r="AG455" i="6" s="1"/>
  <c r="AH464" i="6" s="1"/>
  <c r="X449" i="6"/>
  <c r="X450" i="6" s="1"/>
  <c r="R452" i="6" s="1"/>
  <c r="L455" i="6" s="1"/>
  <c r="M464" i="6" s="1"/>
  <c r="R449" i="6"/>
  <c r="R450" i="6" s="1"/>
  <c r="N452" i="6" s="1"/>
  <c r="AB455" i="6" s="1"/>
  <c r="AC464" i="6" s="1"/>
  <c r="N475" i="6"/>
  <c r="Y483" i="6" s="1"/>
  <c r="Y491" i="6" s="1"/>
  <c r="S510" i="6"/>
  <c r="H468" i="6"/>
  <c r="L473" i="6" s="1"/>
  <c r="K483" i="6" s="1"/>
  <c r="K491" i="6" s="1"/>
  <c r="J468" i="6"/>
  <c r="K510" i="6" s="1"/>
  <c r="AH468" i="6"/>
  <c r="J472" i="6" s="1"/>
  <c r="C483" i="6" s="1"/>
  <c r="C491" i="6" s="1"/>
  <c r="O468" i="6"/>
  <c r="O474" i="6" s="1"/>
  <c r="T483" i="6" s="1"/>
  <c r="T491" i="6" s="1"/>
  <c r="E468" i="6"/>
  <c r="AF468" i="6"/>
  <c r="L479" i="6" s="1"/>
  <c r="AU483" i="6" s="1"/>
  <c r="AU491" i="6" s="1"/>
  <c r="U468" i="6"/>
  <c r="M476" i="6" s="1"/>
  <c r="AD483" i="6" s="1"/>
  <c r="AD491" i="6" s="1"/>
  <c r="M468" i="6"/>
  <c r="N510" i="6" s="1"/>
  <c r="W468" i="6"/>
  <c r="K477" i="6" s="1"/>
  <c r="AH483" i="6" s="1"/>
  <c r="AH491" i="6" s="1"/>
  <c r="Y468" i="6"/>
  <c r="Z510" i="6" s="1"/>
  <c r="I468" i="6"/>
  <c r="M473" i="6" s="1"/>
  <c r="L483" i="6" s="1"/>
  <c r="L491" i="6" s="1"/>
  <c r="S468" i="6"/>
  <c r="K476" i="6" s="1"/>
  <c r="AB483" i="6" s="1"/>
  <c r="AB491" i="6" s="1"/>
  <c r="V468" i="6"/>
  <c r="W510" i="6" s="1"/>
  <c r="G468" i="6"/>
  <c r="O472" i="6" s="1"/>
  <c r="H483" i="6" s="1"/>
  <c r="H491" i="6" s="1"/>
  <c r="AJ450" i="6"/>
  <c r="Z452" i="6" s="1"/>
  <c r="K455" i="6" s="1"/>
  <c r="L464" i="6" s="1"/>
  <c r="AH450" i="6"/>
  <c r="X452" i="6" s="1"/>
  <c r="AC455" i="6" s="1"/>
  <c r="AD464" i="6" s="1"/>
  <c r="N468" i="6" l="1"/>
  <c r="J475" i="6" s="1"/>
  <c r="U483" i="6" s="1"/>
  <c r="U491" i="6" s="1"/>
  <c r="AD468" i="6"/>
  <c r="N478" i="6" s="1"/>
  <c r="AQ483" i="6" s="1"/>
  <c r="AQ491" i="6" s="1"/>
  <c r="AE468" i="6"/>
  <c r="O478" i="6" s="1"/>
  <c r="AR483" i="6" s="1"/>
  <c r="AR491" i="6" s="1"/>
  <c r="T468" i="6"/>
  <c r="L476" i="6" s="1"/>
  <c r="AC483" i="6" s="1"/>
  <c r="AC491" i="6" s="1"/>
  <c r="T510" i="6"/>
  <c r="M474" i="6"/>
  <c r="R483" i="6" s="1"/>
  <c r="R491" i="6" s="1"/>
  <c r="V510" i="6"/>
  <c r="AG468" i="6"/>
  <c r="L468" i="6"/>
  <c r="M510" i="6" s="1"/>
  <c r="P510" i="6"/>
  <c r="O476" i="6"/>
  <c r="AF483" i="6" s="1"/>
  <c r="AF491" i="6" s="1"/>
  <c r="K475" i="6"/>
  <c r="V483" i="6" s="1"/>
  <c r="V491" i="6" s="1"/>
  <c r="I510" i="6"/>
  <c r="M477" i="6"/>
  <c r="AJ483" i="6" s="1"/>
  <c r="AJ491" i="6" s="1"/>
  <c r="O475" i="6"/>
  <c r="Z483" i="6" s="1"/>
  <c r="Z491" i="6" s="1"/>
  <c r="N473" i="6"/>
  <c r="M483" i="6" s="1"/>
  <c r="M491" i="6" s="1"/>
  <c r="J477" i="6"/>
  <c r="AG483" i="6" s="1"/>
  <c r="AG491" i="6" s="1"/>
  <c r="H510" i="6"/>
  <c r="N476" i="6"/>
  <c r="AE483" i="6" s="1"/>
  <c r="AE491" i="6" s="1"/>
  <c r="J474" i="6"/>
  <c r="O483" i="6" s="1"/>
  <c r="O491" i="6" s="1"/>
  <c r="AG510" i="6"/>
  <c r="N479" i="6"/>
  <c r="AW483" i="6" s="1"/>
  <c r="AW491" i="6" s="1"/>
  <c r="J510" i="6"/>
  <c r="K473" i="6"/>
  <c r="J483" i="6" s="1"/>
  <c r="J491" i="6" s="1"/>
  <c r="D468" i="6"/>
  <c r="L472" i="6" s="1"/>
  <c r="E483" i="6" s="1"/>
  <c r="E491" i="6" s="1"/>
  <c r="K468" i="6"/>
  <c r="F468" i="6"/>
  <c r="N472" i="6" s="1"/>
  <c r="G483" i="6" s="1"/>
  <c r="G491" i="6" s="1"/>
  <c r="AA468" i="6"/>
  <c r="O477" i="6" s="1"/>
  <c r="AL483" i="6" s="1"/>
  <c r="AL491" i="6" s="1"/>
  <c r="P468" i="6"/>
  <c r="Q510" i="6" s="1"/>
  <c r="AC468" i="6"/>
  <c r="X468" i="6"/>
  <c r="Y510" i="6" s="1"/>
  <c r="AB468" i="6"/>
  <c r="AC510" i="6" s="1"/>
  <c r="C468" i="6"/>
  <c r="O479" i="6" s="1"/>
  <c r="AX483" i="6" s="1"/>
  <c r="AX491" i="6" s="1"/>
  <c r="Q468" i="6"/>
  <c r="M475" i="6" s="1"/>
  <c r="X483" i="6" s="1"/>
  <c r="X491" i="6" s="1"/>
  <c r="Z468" i="6"/>
  <c r="J478" i="6" s="1"/>
  <c r="AM483" i="6" s="1"/>
  <c r="AM491" i="6" s="1"/>
  <c r="X510" i="6"/>
  <c r="AI510" i="6"/>
  <c r="M472" i="6"/>
  <c r="F483" i="6" s="1"/>
  <c r="F491" i="6" s="1"/>
  <c r="F510" i="6"/>
  <c r="C494" i="6"/>
  <c r="N474" i="6" l="1"/>
  <c r="S483" i="6" s="1"/>
  <c r="S491" i="6" s="1"/>
  <c r="O510" i="6"/>
  <c r="AF510" i="6"/>
  <c r="L474" i="6"/>
  <c r="Q483" i="6" s="1"/>
  <c r="Q491" i="6" s="1"/>
  <c r="K479" i="6"/>
  <c r="AT483" i="6" s="1"/>
  <c r="AT491" i="6" s="1"/>
  <c r="J479" i="6"/>
  <c r="AS483" i="6" s="1"/>
  <c r="AS491" i="6" s="1"/>
  <c r="AE510" i="6"/>
  <c r="L478" i="6"/>
  <c r="AO483" i="6" s="1"/>
  <c r="AO491" i="6" s="1"/>
  <c r="U510" i="6"/>
  <c r="K478" i="6"/>
  <c r="AN483" i="6" s="1"/>
  <c r="AN491" i="6" s="1"/>
  <c r="AA494" i="6"/>
  <c r="M479" i="6"/>
  <c r="AV483" i="6" s="1"/>
  <c r="AV491" i="6" s="1"/>
  <c r="AH510" i="6"/>
  <c r="U494" i="6"/>
  <c r="N477" i="6"/>
  <c r="AK483" i="6" s="1"/>
  <c r="AK491" i="6" s="1"/>
  <c r="AA493" i="6"/>
  <c r="AB510" i="6"/>
  <c r="O494" i="6"/>
  <c r="E510" i="6"/>
  <c r="I493" i="6"/>
  <c r="J473" i="6"/>
  <c r="I483" i="6" s="1"/>
  <c r="I491" i="6" s="1"/>
  <c r="L477" i="6"/>
  <c r="AI483" i="6" s="1"/>
  <c r="AI491" i="6" s="1"/>
  <c r="R510" i="6"/>
  <c r="AG494" i="6"/>
  <c r="AM494" i="6"/>
  <c r="L475" i="6"/>
  <c r="W483" i="6" s="1"/>
  <c r="W491" i="6" s="1"/>
  <c r="D510" i="6"/>
  <c r="AA510" i="6"/>
  <c r="K472" i="6"/>
  <c r="D483" i="6" s="1"/>
  <c r="D491" i="6" s="1"/>
  <c r="G510" i="6"/>
  <c r="M478" i="6"/>
  <c r="AP483" i="6" s="1"/>
  <c r="AP491" i="6" s="1"/>
  <c r="AD510" i="6"/>
  <c r="K474" i="6"/>
  <c r="P483" i="6" s="1"/>
  <c r="P491" i="6" s="1"/>
  <c r="L510" i="6"/>
  <c r="O473" i="6"/>
  <c r="N483" i="6" s="1"/>
  <c r="N491" i="6" s="1"/>
  <c r="AS494" i="6" l="1"/>
  <c r="AS493" i="6"/>
  <c r="AA496" i="6"/>
  <c r="AD498" i="6" s="1"/>
  <c r="AD499" i="6" s="1"/>
  <c r="V501" i="6" s="1"/>
  <c r="P504" i="6" s="1"/>
  <c r="Q513" i="6" s="1"/>
  <c r="AG493" i="6"/>
  <c r="AG496" i="6" s="1"/>
  <c r="AJ498" i="6" s="1"/>
  <c r="AJ499" i="6" s="1"/>
  <c r="Z501" i="6" s="1"/>
  <c r="K504" i="6" s="1"/>
  <c r="L513" i="6" s="1"/>
  <c r="AM493" i="6"/>
  <c r="AM496" i="6" s="1"/>
  <c r="AM498" i="6" s="1"/>
  <c r="U493" i="6"/>
  <c r="U496" i="6" s="1"/>
  <c r="W498" i="6" s="1"/>
  <c r="O493" i="6"/>
  <c r="O496" i="6" s="1"/>
  <c r="O498" i="6" s="1"/>
  <c r="C493" i="6"/>
  <c r="C496" i="6" s="1"/>
  <c r="D498" i="6" s="1"/>
  <c r="I494" i="6"/>
  <c r="I496" i="6" s="1"/>
  <c r="J498" i="6" s="1"/>
  <c r="AS496" i="6" l="1"/>
  <c r="AS498" i="6" s="1"/>
  <c r="AS499" i="6" s="1"/>
  <c r="AE501" i="6" s="1"/>
  <c r="X504" i="6" s="1"/>
  <c r="Y513" i="6" s="1"/>
  <c r="AC498" i="6"/>
  <c r="AC499" i="6" s="1"/>
  <c r="U501" i="6" s="1"/>
  <c r="Z504" i="6" s="1"/>
  <c r="AA513" i="6" s="1"/>
  <c r="AB498" i="6"/>
  <c r="AB499" i="6" s="1"/>
  <c r="T501" i="6" s="1"/>
  <c r="J504" i="6" s="1"/>
  <c r="K513" i="6" s="1"/>
  <c r="V498" i="6"/>
  <c r="V499" i="6" s="1"/>
  <c r="P501" i="6" s="1"/>
  <c r="T504" i="6" s="1"/>
  <c r="U513" i="6" s="1"/>
  <c r="AH498" i="6"/>
  <c r="AH499" i="6" s="1"/>
  <c r="X501" i="6" s="1"/>
  <c r="AC504" i="6" s="1"/>
  <c r="AD513" i="6" s="1"/>
  <c r="AA498" i="6"/>
  <c r="AA499" i="6" s="1"/>
  <c r="S501" i="6" s="1"/>
  <c r="D504" i="6" s="1"/>
  <c r="E513" i="6" s="1"/>
  <c r="K498" i="6"/>
  <c r="K499" i="6" s="1"/>
  <c r="I501" i="6" s="1"/>
  <c r="AD504" i="6" s="1"/>
  <c r="AE513" i="6" s="1"/>
  <c r="E498" i="6"/>
  <c r="E499" i="6" s="1"/>
  <c r="E501" i="6" s="1"/>
  <c r="V504" i="6" s="1"/>
  <c r="W513" i="6" s="1"/>
  <c r="I498" i="6"/>
  <c r="I499" i="6" s="1"/>
  <c r="G501" i="6" s="1"/>
  <c r="AE504" i="6" s="1"/>
  <c r="AF513" i="6" s="1"/>
  <c r="AG498" i="6"/>
  <c r="AG499" i="6" s="1"/>
  <c r="W501" i="6" s="1"/>
  <c r="AH504" i="6" s="1"/>
  <c r="AI513" i="6" s="1"/>
  <c r="C498" i="6"/>
  <c r="C499" i="6" s="1"/>
  <c r="C501" i="6" s="1"/>
  <c r="R504" i="6" s="1"/>
  <c r="S513" i="6" s="1"/>
  <c r="P498" i="6"/>
  <c r="P499" i="6" s="1"/>
  <c r="L501" i="6" s="1"/>
  <c r="Q504" i="6" s="1"/>
  <c r="R513" i="6" s="1"/>
  <c r="AI498" i="6"/>
  <c r="AI499" i="6" s="1"/>
  <c r="Y501" i="6" s="1"/>
  <c r="E504" i="6" s="1"/>
  <c r="F513" i="6" s="1"/>
  <c r="U498" i="6"/>
  <c r="U499" i="6" s="1"/>
  <c r="O501" i="6" s="1"/>
  <c r="G504" i="6" s="1"/>
  <c r="H513" i="6" s="1"/>
  <c r="AO498" i="6"/>
  <c r="AO499" i="6" s="1"/>
  <c r="AC501" i="6" s="1"/>
  <c r="AF504" i="6" s="1"/>
  <c r="AG513" i="6" s="1"/>
  <c r="Q498" i="6"/>
  <c r="Q499" i="6" s="1"/>
  <c r="M501" i="6" s="1"/>
  <c r="Y504" i="6" s="1"/>
  <c r="Z513" i="6" s="1"/>
  <c r="X498" i="6"/>
  <c r="X499" i="6" s="1"/>
  <c r="R501" i="6" s="1"/>
  <c r="L504" i="6" s="1"/>
  <c r="M513" i="6" s="1"/>
  <c r="R498" i="6"/>
  <c r="R499" i="6" s="1"/>
  <c r="N501" i="6" s="1"/>
  <c r="AB504" i="6" s="1"/>
  <c r="AC513" i="6" s="1"/>
  <c r="AP498" i="6"/>
  <c r="AP499" i="6" s="1"/>
  <c r="AD501" i="6" s="1"/>
  <c r="H504" i="6" s="1"/>
  <c r="I513" i="6" s="1"/>
  <c r="K517" i="6"/>
  <c r="K523" i="6" s="1"/>
  <c r="P532" i="6" s="1"/>
  <c r="P540" i="6" s="1"/>
  <c r="P517" i="6"/>
  <c r="Q559" i="6" s="1"/>
  <c r="D499" i="6"/>
  <c r="D501" i="6" s="1"/>
  <c r="I504" i="6" s="1"/>
  <c r="J513" i="6" s="1"/>
  <c r="O499" i="6"/>
  <c r="K501" i="6" s="1"/>
  <c r="C504" i="6" s="1"/>
  <c r="D513" i="6" s="1"/>
  <c r="AM499" i="6"/>
  <c r="AA501" i="6" s="1"/>
  <c r="U504" i="6" s="1"/>
  <c r="V513" i="6" s="1"/>
  <c r="W499" i="6"/>
  <c r="Q501" i="6" s="1"/>
  <c r="AG504" i="6" s="1"/>
  <c r="AH513" i="6" s="1"/>
  <c r="F498" i="6"/>
  <c r="AN498" i="6"/>
  <c r="L498" i="6"/>
  <c r="J499" i="6"/>
  <c r="H501" i="6" s="1"/>
  <c r="N504" i="6" s="1"/>
  <c r="O513" i="6" s="1"/>
  <c r="AT498" i="6" l="1"/>
  <c r="AT499" i="6" s="1"/>
  <c r="AF501" i="6" s="1"/>
  <c r="M504" i="6" s="1"/>
  <c r="N513" i="6" s="1"/>
  <c r="AU498" i="6"/>
  <c r="AU499" i="6" s="1"/>
  <c r="AG501" i="6" s="1"/>
  <c r="F504" i="6" s="1"/>
  <c r="G513" i="6" s="1"/>
  <c r="AV498" i="6"/>
  <c r="AV499" i="6" s="1"/>
  <c r="AH501" i="6" s="1"/>
  <c r="AA504" i="6" s="1"/>
  <c r="AB513" i="6" s="1"/>
  <c r="L524" i="6"/>
  <c r="W532" i="6" s="1"/>
  <c r="W540" i="6" s="1"/>
  <c r="O522" i="6"/>
  <c r="N532" i="6" s="1"/>
  <c r="N540" i="6" s="1"/>
  <c r="L559" i="6"/>
  <c r="T517" i="6"/>
  <c r="L525" i="6" s="1"/>
  <c r="AC532" i="6" s="1"/>
  <c r="AC540" i="6" s="1"/>
  <c r="AC517" i="6"/>
  <c r="M527" i="6" s="1"/>
  <c r="AP532" i="6" s="1"/>
  <c r="AP540" i="6" s="1"/>
  <c r="R517" i="6"/>
  <c r="J525" i="6" s="1"/>
  <c r="AA532" i="6" s="1"/>
  <c r="AA540" i="6" s="1"/>
  <c r="AB517" i="6"/>
  <c r="L527" i="6" s="1"/>
  <c r="AO532" i="6" s="1"/>
  <c r="AO540" i="6" s="1"/>
  <c r="I517" i="6"/>
  <c r="J559" i="6" s="1"/>
  <c r="J517" i="6"/>
  <c r="N522" i="6" s="1"/>
  <c r="M532" i="6" s="1"/>
  <c r="M540" i="6" s="1"/>
  <c r="E517" i="6"/>
  <c r="F559" i="6" s="1"/>
  <c r="V517" i="6"/>
  <c r="N525" i="6" s="1"/>
  <c r="AE532" i="6" s="1"/>
  <c r="AE540" i="6" s="1"/>
  <c r="Z517" i="6"/>
  <c r="N526" i="6" s="1"/>
  <c r="AK532" i="6" s="1"/>
  <c r="AK540" i="6" s="1"/>
  <c r="H517" i="6"/>
  <c r="I559" i="6" s="1"/>
  <c r="AD517" i="6"/>
  <c r="J528" i="6" s="1"/>
  <c r="AS532" i="6" s="1"/>
  <c r="AS540" i="6" s="1"/>
  <c r="U517" i="6"/>
  <c r="V559" i="6" s="1"/>
  <c r="L517" i="6"/>
  <c r="L523" i="6" s="1"/>
  <c r="Q532" i="6" s="1"/>
  <c r="Q540" i="6" s="1"/>
  <c r="AG517" i="6"/>
  <c r="M528" i="6" s="1"/>
  <c r="AV532" i="6" s="1"/>
  <c r="AV540" i="6" s="1"/>
  <c r="AF517" i="6"/>
  <c r="AG559" i="6" s="1"/>
  <c r="Q517" i="6"/>
  <c r="R559" i="6" s="1"/>
  <c r="C517" i="6"/>
  <c r="O528" i="6" s="1"/>
  <c r="AX532" i="6" s="1"/>
  <c r="AX540" i="6" s="1"/>
  <c r="AE517" i="6"/>
  <c r="O527" i="6" s="1"/>
  <c r="AR532" i="6" s="1"/>
  <c r="AR540" i="6" s="1"/>
  <c r="N517" i="6"/>
  <c r="AH517" i="6"/>
  <c r="AI559" i="6" s="1"/>
  <c r="D517" i="6"/>
  <c r="G517" i="6"/>
  <c r="O521" i="6" s="1"/>
  <c r="H532" i="6" s="1"/>
  <c r="H540" i="6" s="1"/>
  <c r="X517" i="6"/>
  <c r="L526" i="6" s="1"/>
  <c r="AI532" i="6" s="1"/>
  <c r="AI540" i="6" s="1"/>
  <c r="Y517" i="6"/>
  <c r="M526" i="6" s="1"/>
  <c r="AJ532" i="6" s="1"/>
  <c r="AJ540" i="6" s="1"/>
  <c r="AN499" i="6"/>
  <c r="AB501" i="6" s="1"/>
  <c r="O504" i="6" s="1"/>
  <c r="P513" i="6" s="1"/>
  <c r="L499" i="6"/>
  <c r="J501" i="6" s="1"/>
  <c r="S504" i="6" s="1"/>
  <c r="T513" i="6" s="1"/>
  <c r="F499" i="6"/>
  <c r="F501" i="6" s="1"/>
  <c r="W504" i="6" s="1"/>
  <c r="X513" i="6" s="1"/>
  <c r="K521" i="6" l="1"/>
  <c r="D532" i="6" s="1"/>
  <c r="D540" i="6" s="1"/>
  <c r="N528" i="6"/>
  <c r="AW532" i="6" s="1"/>
  <c r="AW540" i="6" s="1"/>
  <c r="M517" i="6"/>
  <c r="M523" i="6" s="1"/>
  <c r="R532" i="6" s="1"/>
  <c r="R540" i="6" s="1"/>
  <c r="F517" i="6"/>
  <c r="G559" i="6" s="1"/>
  <c r="AA517" i="6"/>
  <c r="K527" i="6" s="1"/>
  <c r="AN532" i="6" s="1"/>
  <c r="AN540" i="6" s="1"/>
  <c r="K522" i="6"/>
  <c r="J532" i="6" s="1"/>
  <c r="J540" i="6" s="1"/>
  <c r="W559" i="6"/>
  <c r="U559" i="6"/>
  <c r="Y559" i="6"/>
  <c r="S559" i="6"/>
  <c r="AD559" i="6"/>
  <c r="L528" i="6"/>
  <c r="AU532" i="6" s="1"/>
  <c r="AU540" i="6" s="1"/>
  <c r="AF559" i="6"/>
  <c r="M524" i="6"/>
  <c r="X532" i="6" s="1"/>
  <c r="X540" i="6" s="1"/>
  <c r="N524" i="6"/>
  <c r="Y532" i="6" s="1"/>
  <c r="Y540" i="6" s="1"/>
  <c r="AA559" i="6"/>
  <c r="J526" i="6"/>
  <c r="AG532" i="6" s="1"/>
  <c r="AG540" i="6" s="1"/>
  <c r="M522" i="6"/>
  <c r="L532" i="6" s="1"/>
  <c r="L540" i="6" s="1"/>
  <c r="AH559" i="6"/>
  <c r="J521" i="6"/>
  <c r="C532" i="6" s="1"/>
  <c r="C540" i="6" s="1"/>
  <c r="Z559" i="6"/>
  <c r="M525" i="6"/>
  <c r="AD532" i="6" s="1"/>
  <c r="AD540" i="6" s="1"/>
  <c r="J527" i="6"/>
  <c r="AM532" i="6" s="1"/>
  <c r="AM540" i="6" s="1"/>
  <c r="D559" i="6"/>
  <c r="W517" i="6"/>
  <c r="S517" i="6"/>
  <c r="O517" i="6"/>
  <c r="AC559" i="6"/>
  <c r="AE559" i="6"/>
  <c r="J523" i="6"/>
  <c r="O532" i="6" s="1"/>
  <c r="O540" i="6" s="1"/>
  <c r="E559" i="6"/>
  <c r="L521" i="6"/>
  <c r="E532" i="6" s="1"/>
  <c r="E540" i="6" s="1"/>
  <c r="M559" i="6"/>
  <c r="H559" i="6"/>
  <c r="L522" i="6"/>
  <c r="K532" i="6" s="1"/>
  <c r="K540" i="6" s="1"/>
  <c r="N527" i="6"/>
  <c r="AQ532" i="6" s="1"/>
  <c r="AQ540" i="6" s="1"/>
  <c r="K559" i="6"/>
  <c r="K528" i="6"/>
  <c r="AT532" i="6" s="1"/>
  <c r="AT540" i="6" s="1"/>
  <c r="M521" i="6"/>
  <c r="F532" i="6" s="1"/>
  <c r="F540" i="6" s="1"/>
  <c r="N523" i="6"/>
  <c r="S532" i="6" s="1"/>
  <c r="S540" i="6" s="1"/>
  <c r="J524" i="6"/>
  <c r="U532" i="6" s="1"/>
  <c r="U540" i="6" s="1"/>
  <c r="O559" i="6"/>
  <c r="AS543" i="6"/>
  <c r="N559" i="6" l="1"/>
  <c r="AB559" i="6"/>
  <c r="J522" i="6"/>
  <c r="I532" i="6" s="1"/>
  <c r="I540" i="6" s="1"/>
  <c r="N521" i="6"/>
  <c r="G532" i="6" s="1"/>
  <c r="G540" i="6" s="1"/>
  <c r="O526" i="6"/>
  <c r="AL532" i="6" s="1"/>
  <c r="AL540" i="6" s="1"/>
  <c r="C543" i="6"/>
  <c r="AM543" i="6"/>
  <c r="O542" i="6"/>
  <c r="AM542" i="6"/>
  <c r="I542" i="6"/>
  <c r="AS542" i="6"/>
  <c r="AS545" i="6" s="1"/>
  <c r="X559" i="6"/>
  <c r="K526" i="6"/>
  <c r="AH532" i="6" s="1"/>
  <c r="AH540" i="6" s="1"/>
  <c r="O525" i="6"/>
  <c r="AF532" i="6" s="1"/>
  <c r="AF540" i="6" s="1"/>
  <c r="P559" i="6"/>
  <c r="K524" i="6"/>
  <c r="V532" i="6" s="1"/>
  <c r="V540" i="6" s="1"/>
  <c r="O523" i="6"/>
  <c r="T532" i="6" s="1"/>
  <c r="T540" i="6" s="1"/>
  <c r="K525" i="6"/>
  <c r="AB532" i="6" s="1"/>
  <c r="AB540" i="6" s="1"/>
  <c r="O524" i="6"/>
  <c r="Z532" i="6" s="1"/>
  <c r="Z540" i="6" s="1"/>
  <c r="T559" i="6"/>
  <c r="I543" i="6" l="1"/>
  <c r="I545" i="6" s="1"/>
  <c r="C542" i="6"/>
  <c r="C545" i="6" s="1"/>
  <c r="D547" i="6" s="1"/>
  <c r="D548" i="6" s="1"/>
  <c r="D550" i="6" s="1"/>
  <c r="I553" i="6" s="1"/>
  <c r="J562" i="6" s="1"/>
  <c r="AG543" i="6"/>
  <c r="AM545" i="6"/>
  <c r="AP547" i="6" s="1"/>
  <c r="AP548" i="6" s="1"/>
  <c r="AD550" i="6" s="1"/>
  <c r="H553" i="6" s="1"/>
  <c r="I562" i="6" s="1"/>
  <c r="O543" i="6"/>
  <c r="O545" i="6" s="1"/>
  <c r="O547" i="6" s="1"/>
  <c r="U542" i="6"/>
  <c r="U543" i="6"/>
  <c r="AA542" i="6"/>
  <c r="AA543" i="6"/>
  <c r="AG542" i="6"/>
  <c r="AU547" i="6"/>
  <c r="AV547" i="6"/>
  <c r="AT547" i="6"/>
  <c r="AS547" i="6"/>
  <c r="AG545" i="6" l="1"/>
  <c r="AG547" i="6" s="1"/>
  <c r="AG548" i="6" s="1"/>
  <c r="W550" i="6" s="1"/>
  <c r="AH553" i="6" s="1"/>
  <c r="AI562" i="6" s="1"/>
  <c r="L547" i="6"/>
  <c r="L548" i="6" s="1"/>
  <c r="J550" i="6" s="1"/>
  <c r="S553" i="6" s="1"/>
  <c r="T562" i="6" s="1"/>
  <c r="K547" i="6"/>
  <c r="K548" i="6" s="1"/>
  <c r="I550" i="6" s="1"/>
  <c r="AD553" i="6" s="1"/>
  <c r="AE562" i="6" s="1"/>
  <c r="J547" i="6"/>
  <c r="J548" i="6" s="1"/>
  <c r="H550" i="6" s="1"/>
  <c r="N553" i="6" s="1"/>
  <c r="O562" i="6" s="1"/>
  <c r="I547" i="6"/>
  <c r="I548" i="6" s="1"/>
  <c r="G550" i="6" s="1"/>
  <c r="AE553" i="6" s="1"/>
  <c r="AF562" i="6" s="1"/>
  <c r="AO547" i="6"/>
  <c r="AO548" i="6" s="1"/>
  <c r="AC550" i="6" s="1"/>
  <c r="AF553" i="6" s="1"/>
  <c r="AG562" i="6" s="1"/>
  <c r="F547" i="6"/>
  <c r="F548" i="6" s="1"/>
  <c r="F550" i="6" s="1"/>
  <c r="W553" i="6" s="1"/>
  <c r="X562" i="6" s="1"/>
  <c r="E547" i="6"/>
  <c r="E548" i="6" s="1"/>
  <c r="E550" i="6" s="1"/>
  <c r="V553" i="6" s="1"/>
  <c r="W562" i="6" s="1"/>
  <c r="AN547" i="6"/>
  <c r="AN548" i="6" s="1"/>
  <c r="AB550" i="6" s="1"/>
  <c r="O553" i="6" s="1"/>
  <c r="P562" i="6" s="1"/>
  <c r="C547" i="6"/>
  <c r="C548" i="6" s="1"/>
  <c r="C550" i="6" s="1"/>
  <c r="R553" i="6" s="1"/>
  <c r="S562" i="6" s="1"/>
  <c r="R547" i="6"/>
  <c r="R548" i="6" s="1"/>
  <c r="N550" i="6" s="1"/>
  <c r="AB553" i="6" s="1"/>
  <c r="AC562" i="6" s="1"/>
  <c r="AM547" i="6"/>
  <c r="AM548" i="6" s="1"/>
  <c r="AA550" i="6" s="1"/>
  <c r="U553" i="6" s="1"/>
  <c r="V562" i="6" s="1"/>
  <c r="Q547" i="6"/>
  <c r="Q548" i="6" s="1"/>
  <c r="M550" i="6" s="1"/>
  <c r="Y553" i="6" s="1"/>
  <c r="Z562" i="6" s="1"/>
  <c r="P547" i="6"/>
  <c r="P548" i="6" s="1"/>
  <c r="L550" i="6" s="1"/>
  <c r="Q553" i="6" s="1"/>
  <c r="R562" i="6" s="1"/>
  <c r="U545" i="6"/>
  <c r="H566" i="6"/>
  <c r="I608" i="6" s="1"/>
  <c r="I566" i="6"/>
  <c r="J608" i="6" s="1"/>
  <c r="O548" i="6"/>
  <c r="K550" i="6" s="1"/>
  <c r="C553" i="6" s="1"/>
  <c r="D562" i="6" s="1"/>
  <c r="AV548" i="6"/>
  <c r="AH550" i="6" s="1"/>
  <c r="AA553" i="6" s="1"/>
  <c r="AB562" i="6" s="1"/>
  <c r="AU548" i="6"/>
  <c r="AG550" i="6" s="1"/>
  <c r="F553" i="6" s="1"/>
  <c r="G562" i="6" s="1"/>
  <c r="AT548" i="6"/>
  <c r="AF550" i="6" s="1"/>
  <c r="M553" i="6" s="1"/>
  <c r="N562" i="6" s="1"/>
  <c r="AS548" i="6"/>
  <c r="AE550" i="6" s="1"/>
  <c r="X553" i="6" s="1"/>
  <c r="Y562" i="6" s="1"/>
  <c r="AA545" i="6"/>
  <c r="AH547" i="6" l="1"/>
  <c r="AH548" i="6" s="1"/>
  <c r="X550" i="6" s="1"/>
  <c r="AC553" i="6" s="1"/>
  <c r="AD562" i="6" s="1"/>
  <c r="AJ547" i="6"/>
  <c r="AJ548" i="6" s="1"/>
  <c r="Z550" i="6" s="1"/>
  <c r="K553" i="6" s="1"/>
  <c r="L562" i="6" s="1"/>
  <c r="AI547" i="6"/>
  <c r="AI548" i="6" s="1"/>
  <c r="Y550" i="6" s="1"/>
  <c r="E553" i="6" s="1"/>
  <c r="F562" i="6" s="1"/>
  <c r="L571" i="6"/>
  <c r="K581" i="6" s="1"/>
  <c r="K589" i="6" s="1"/>
  <c r="M571" i="6"/>
  <c r="L581" i="6" s="1"/>
  <c r="L589" i="6" s="1"/>
  <c r="X547" i="6"/>
  <c r="X548" i="6" s="1"/>
  <c r="R550" i="6" s="1"/>
  <c r="L553" i="6" s="1"/>
  <c r="M562" i="6" s="1"/>
  <c r="U547" i="6"/>
  <c r="U548" i="6" s="1"/>
  <c r="O550" i="6" s="1"/>
  <c r="G553" i="6" s="1"/>
  <c r="H562" i="6" s="1"/>
  <c r="W547" i="6"/>
  <c r="W548" i="6" s="1"/>
  <c r="Q550" i="6" s="1"/>
  <c r="AG553" i="6" s="1"/>
  <c r="AH562" i="6" s="1"/>
  <c r="V547" i="6"/>
  <c r="V548" i="6" s="1"/>
  <c r="P550" i="6" s="1"/>
  <c r="T553" i="6" s="1"/>
  <c r="U562" i="6" s="1"/>
  <c r="AD566" i="6"/>
  <c r="AE608" i="6" s="1"/>
  <c r="F566" i="6"/>
  <c r="G608" i="6" s="1"/>
  <c r="S566" i="6"/>
  <c r="K574" i="6" s="1"/>
  <c r="AB581" i="6" s="1"/>
  <c r="AB589" i="6" s="1"/>
  <c r="X566" i="6"/>
  <c r="L575" i="6" s="1"/>
  <c r="AI581" i="6" s="1"/>
  <c r="AI589" i="6" s="1"/>
  <c r="AF566" i="6"/>
  <c r="AG608" i="6" s="1"/>
  <c r="U566" i="6"/>
  <c r="V608" i="6" s="1"/>
  <c r="AE566" i="6"/>
  <c r="K577" i="6" s="1"/>
  <c r="AT581" i="6" s="1"/>
  <c r="AT589" i="6" s="1"/>
  <c r="N566" i="6"/>
  <c r="N572" i="6" s="1"/>
  <c r="S581" i="6" s="1"/>
  <c r="S589" i="6" s="1"/>
  <c r="C566" i="6"/>
  <c r="D608" i="6" s="1"/>
  <c r="R566" i="6"/>
  <c r="N573" i="6" s="1"/>
  <c r="Y581" i="6" s="1"/>
  <c r="Y589" i="6" s="1"/>
  <c r="O566" i="6"/>
  <c r="K573" i="6" s="1"/>
  <c r="V581" i="6" s="1"/>
  <c r="V589" i="6" s="1"/>
  <c r="AB566" i="6"/>
  <c r="AC608" i="6" s="1"/>
  <c r="AH566" i="6"/>
  <c r="AI608" i="6" s="1"/>
  <c r="M566" i="6"/>
  <c r="N608" i="6" s="1"/>
  <c r="V566" i="6"/>
  <c r="N574" i="6" s="1"/>
  <c r="AE581" i="6" s="1"/>
  <c r="AE589" i="6" s="1"/>
  <c r="W566" i="6"/>
  <c r="K575" i="6" s="1"/>
  <c r="AH581" i="6" s="1"/>
  <c r="AH589" i="6" s="1"/>
  <c r="AA566" i="6"/>
  <c r="AB608" i="6" s="1"/>
  <c r="Y566" i="6"/>
  <c r="M575" i="6" s="1"/>
  <c r="AJ581" i="6" s="1"/>
  <c r="AJ589" i="6" s="1"/>
  <c r="Q566" i="6"/>
  <c r="M573" i="6" s="1"/>
  <c r="X581" i="6" s="1"/>
  <c r="X589" i="6" s="1"/>
  <c r="AC547" i="6"/>
  <c r="AA547" i="6"/>
  <c r="AD547" i="6"/>
  <c r="AB547" i="6"/>
  <c r="K566" i="6" l="1"/>
  <c r="L608" i="6" s="1"/>
  <c r="AC566" i="6"/>
  <c r="AD608" i="6" s="1"/>
  <c r="J574" i="6"/>
  <c r="AA581" i="6" s="1"/>
  <c r="AA589" i="6" s="1"/>
  <c r="E566" i="6"/>
  <c r="M570" i="6" s="1"/>
  <c r="F581" i="6" s="1"/>
  <c r="F589" i="6" s="1"/>
  <c r="N570" i="6"/>
  <c r="G581" i="6" s="1"/>
  <c r="G589" i="6" s="1"/>
  <c r="L577" i="6"/>
  <c r="AU581" i="6" s="1"/>
  <c r="AU589" i="6" s="1"/>
  <c r="O574" i="6"/>
  <c r="AF581" i="6" s="1"/>
  <c r="AF589" i="6" s="1"/>
  <c r="N576" i="6"/>
  <c r="AQ581" i="6" s="1"/>
  <c r="AQ589" i="6" s="1"/>
  <c r="J577" i="6"/>
  <c r="AS581" i="6" s="1"/>
  <c r="AS589" i="6" s="1"/>
  <c r="J573" i="6"/>
  <c r="U581" i="6" s="1"/>
  <c r="U589" i="6" s="1"/>
  <c r="O577" i="6"/>
  <c r="AX581" i="6" s="1"/>
  <c r="AX589" i="6" s="1"/>
  <c r="M574" i="6"/>
  <c r="AD581" i="6" s="1"/>
  <c r="AD589" i="6" s="1"/>
  <c r="R608" i="6"/>
  <c r="Z608" i="6"/>
  <c r="J571" i="6"/>
  <c r="I581" i="6" s="1"/>
  <c r="I589" i="6" s="1"/>
  <c r="K570" i="6"/>
  <c r="D581" i="6" s="1"/>
  <c r="D589" i="6" s="1"/>
  <c r="N577" i="6"/>
  <c r="AW581" i="6" s="1"/>
  <c r="AW589" i="6" s="1"/>
  <c r="J570" i="6"/>
  <c r="C581" i="6" s="1"/>
  <c r="C589" i="6" s="1"/>
  <c r="Y608" i="6"/>
  <c r="O576" i="6"/>
  <c r="AR581" i="6" s="1"/>
  <c r="AR589" i="6" s="1"/>
  <c r="T608" i="6"/>
  <c r="M572" i="6"/>
  <c r="R581" i="6" s="1"/>
  <c r="R589" i="6" s="1"/>
  <c r="S608" i="6"/>
  <c r="T566" i="6"/>
  <c r="AG566" i="6"/>
  <c r="G566" i="6"/>
  <c r="L566" i="6"/>
  <c r="L572" i="6" s="1"/>
  <c r="Q581" i="6" s="1"/>
  <c r="Q589" i="6" s="1"/>
  <c r="K576" i="6"/>
  <c r="AN581" i="6" s="1"/>
  <c r="AN589" i="6" s="1"/>
  <c r="W608" i="6"/>
  <c r="L576" i="6"/>
  <c r="AO581" i="6" s="1"/>
  <c r="AO589" i="6" s="1"/>
  <c r="O572" i="6"/>
  <c r="T581" i="6" s="1"/>
  <c r="T589" i="6" s="1"/>
  <c r="P608" i="6"/>
  <c r="O573" i="6"/>
  <c r="Z581" i="6" s="1"/>
  <c r="Z589" i="6" s="1"/>
  <c r="AF608" i="6"/>
  <c r="X608" i="6"/>
  <c r="AA548" i="6"/>
  <c r="S550" i="6" s="1"/>
  <c r="D553" i="6" s="1"/>
  <c r="E562" i="6" s="1"/>
  <c r="O575" i="6"/>
  <c r="AL581" i="6" s="1"/>
  <c r="AL589" i="6" s="1"/>
  <c r="O608" i="6"/>
  <c r="AC548" i="6"/>
  <c r="U550" i="6" s="1"/>
  <c r="Z553" i="6" s="1"/>
  <c r="AA562" i="6" s="1"/>
  <c r="J575" i="6"/>
  <c r="AG581" i="6" s="1"/>
  <c r="AG589" i="6" s="1"/>
  <c r="AB548" i="6"/>
  <c r="T550" i="6" s="1"/>
  <c r="J553" i="6" s="1"/>
  <c r="K562" i="6" s="1"/>
  <c r="AD548" i="6"/>
  <c r="V550" i="6" s="1"/>
  <c r="P553" i="6" s="1"/>
  <c r="Q562" i="6" s="1"/>
  <c r="M576" i="6" l="1"/>
  <c r="AP581" i="6" s="1"/>
  <c r="AP589" i="6" s="1"/>
  <c r="K572" i="6"/>
  <c r="P581" i="6" s="1"/>
  <c r="P589" i="6" s="1"/>
  <c r="O571" i="6"/>
  <c r="N581" i="6" s="1"/>
  <c r="N589" i="6" s="1"/>
  <c r="F608" i="6"/>
  <c r="AA592" i="6"/>
  <c r="AS592" i="6"/>
  <c r="U592" i="6"/>
  <c r="M608" i="6"/>
  <c r="H608" i="6"/>
  <c r="O570" i="6"/>
  <c r="H581" i="6" s="1"/>
  <c r="H589" i="6" s="1"/>
  <c r="K571" i="6"/>
  <c r="J581" i="6" s="1"/>
  <c r="J589" i="6" s="1"/>
  <c r="AH608" i="6"/>
  <c r="M577" i="6"/>
  <c r="AV581" i="6" s="1"/>
  <c r="AV589" i="6" s="1"/>
  <c r="L574" i="6"/>
  <c r="AC581" i="6" s="1"/>
  <c r="AC589" i="6" s="1"/>
  <c r="U608" i="6"/>
  <c r="J566" i="6"/>
  <c r="Z566" i="6"/>
  <c r="D566" i="6"/>
  <c r="P566" i="6"/>
  <c r="AG592" i="6"/>
  <c r="AM591" i="6" l="1"/>
  <c r="I592" i="6"/>
  <c r="O591" i="6"/>
  <c r="AA591" i="6"/>
  <c r="AA594" i="6" s="1"/>
  <c r="AD596" i="6" s="1"/>
  <c r="C592" i="6"/>
  <c r="AS591" i="6"/>
  <c r="AS594" i="6" s="1"/>
  <c r="AU596" i="6" s="1"/>
  <c r="AU597" i="6" s="1"/>
  <c r="AG599" i="6" s="1"/>
  <c r="F602" i="6" s="1"/>
  <c r="G611" i="6" s="1"/>
  <c r="J576" i="6"/>
  <c r="AM581" i="6" s="1"/>
  <c r="AM589" i="6" s="1"/>
  <c r="N575" i="6"/>
  <c r="AK581" i="6" s="1"/>
  <c r="AK589" i="6" s="1"/>
  <c r="AA608" i="6"/>
  <c r="K608" i="6"/>
  <c r="J572" i="6"/>
  <c r="O581" i="6" s="1"/>
  <c r="O589" i="6" s="1"/>
  <c r="N571" i="6"/>
  <c r="M581" i="6" s="1"/>
  <c r="M589" i="6" s="1"/>
  <c r="Q608" i="6"/>
  <c r="L573" i="6"/>
  <c r="W581" i="6" s="1"/>
  <c r="W589" i="6" s="1"/>
  <c r="E608" i="6"/>
  <c r="L570" i="6"/>
  <c r="E581" i="6" s="1"/>
  <c r="E589" i="6" s="1"/>
  <c r="AS596" i="6" l="1"/>
  <c r="AS597" i="6" s="1"/>
  <c r="AE599" i="6" s="1"/>
  <c r="X602" i="6" s="1"/>
  <c r="Y611" i="6" s="1"/>
  <c r="AB596" i="6"/>
  <c r="AB597" i="6" s="1"/>
  <c r="T599" i="6" s="1"/>
  <c r="J602" i="6" s="1"/>
  <c r="K611" i="6" s="1"/>
  <c r="AV596" i="6"/>
  <c r="AV597" i="6" s="1"/>
  <c r="AH599" i="6" s="1"/>
  <c r="AA602" i="6" s="1"/>
  <c r="AB611" i="6" s="1"/>
  <c r="AT596" i="6"/>
  <c r="AT597" i="6" s="1"/>
  <c r="AF599" i="6" s="1"/>
  <c r="M602" i="6" s="1"/>
  <c r="N611" i="6" s="1"/>
  <c r="AA596" i="6"/>
  <c r="AA597" i="6" s="1"/>
  <c r="S599" i="6" s="1"/>
  <c r="D602" i="6" s="1"/>
  <c r="E611" i="6" s="1"/>
  <c r="AC596" i="6"/>
  <c r="AC597" i="6" s="1"/>
  <c r="U599" i="6" s="1"/>
  <c r="Z602" i="6" s="1"/>
  <c r="AA611" i="6" s="1"/>
  <c r="F615" i="6"/>
  <c r="G657" i="6" s="1"/>
  <c r="AM592" i="6"/>
  <c r="AM594" i="6" s="1"/>
  <c r="C591" i="6"/>
  <c r="C594" i="6" s="1"/>
  <c r="I591" i="6"/>
  <c r="I594" i="6" s="1"/>
  <c r="O592" i="6"/>
  <c r="O594" i="6" s="1"/>
  <c r="U591" i="6"/>
  <c r="U594" i="6" s="1"/>
  <c r="AG591" i="6"/>
  <c r="AG594" i="6" s="1"/>
  <c r="AD597" i="6"/>
  <c r="V599" i="6" s="1"/>
  <c r="P602" i="6" s="1"/>
  <c r="Q611" i="6" s="1"/>
  <c r="J620" i="6" l="1"/>
  <c r="I630" i="6" s="1"/>
  <c r="I638" i="6" s="1"/>
  <c r="N619" i="6"/>
  <c r="G630" i="6" s="1"/>
  <c r="G638" i="6" s="1"/>
  <c r="Z615" i="6"/>
  <c r="D615" i="6"/>
  <c r="P615" i="6"/>
  <c r="J615" i="6"/>
  <c r="N620" i="6" s="1"/>
  <c r="M630" i="6" s="1"/>
  <c r="M638" i="6" s="1"/>
  <c r="X615" i="6"/>
  <c r="L624" i="6" s="1"/>
  <c r="AI630" i="6" s="1"/>
  <c r="AI638" i="6" s="1"/>
  <c r="AA615" i="6"/>
  <c r="AB657" i="6" s="1"/>
  <c r="M615" i="6"/>
  <c r="M621" i="6" s="1"/>
  <c r="R630" i="6" s="1"/>
  <c r="R638" i="6" s="1"/>
  <c r="AH596" i="6"/>
  <c r="AG596" i="6"/>
  <c r="AI596" i="6"/>
  <c r="AJ596" i="6"/>
  <c r="O596" i="6"/>
  <c r="P596" i="6"/>
  <c r="R596" i="6"/>
  <c r="Q596" i="6"/>
  <c r="X596" i="6"/>
  <c r="U596" i="6"/>
  <c r="V596" i="6"/>
  <c r="W596" i="6"/>
  <c r="AN596" i="6"/>
  <c r="AO596" i="6"/>
  <c r="AP596" i="6"/>
  <c r="AM596" i="6"/>
  <c r="L596" i="6"/>
  <c r="K596" i="6"/>
  <c r="I596" i="6"/>
  <c r="J596" i="6"/>
  <c r="E596" i="6"/>
  <c r="F596" i="6"/>
  <c r="D596" i="6"/>
  <c r="C596" i="6"/>
  <c r="J621" i="6" l="1"/>
  <c r="O630" i="6" s="1"/>
  <c r="O638" i="6" s="1"/>
  <c r="N657" i="6"/>
  <c r="O624" i="6"/>
  <c r="AL630" i="6" s="1"/>
  <c r="AL638" i="6" s="1"/>
  <c r="K657" i="6"/>
  <c r="Y657" i="6"/>
  <c r="L619" i="6"/>
  <c r="E630" i="6" s="1"/>
  <c r="E638" i="6" s="1"/>
  <c r="E657" i="6"/>
  <c r="J625" i="6"/>
  <c r="AM630" i="6" s="1"/>
  <c r="AM638" i="6" s="1"/>
  <c r="N624" i="6"/>
  <c r="AK630" i="6" s="1"/>
  <c r="AK638" i="6" s="1"/>
  <c r="AA657" i="6"/>
  <c r="R597" i="6"/>
  <c r="N599" i="6" s="1"/>
  <c r="AB602" i="6" s="1"/>
  <c r="AC611" i="6" s="1"/>
  <c r="I597" i="6"/>
  <c r="G599" i="6" s="1"/>
  <c r="AE602" i="6" s="1"/>
  <c r="AF611" i="6" s="1"/>
  <c r="AP597" i="6"/>
  <c r="AD599" i="6" s="1"/>
  <c r="H602" i="6" s="1"/>
  <c r="I611" i="6" s="1"/>
  <c r="V597" i="6"/>
  <c r="P599" i="6" s="1"/>
  <c r="T602" i="6" s="1"/>
  <c r="U611" i="6" s="1"/>
  <c r="AI597" i="6"/>
  <c r="Y599" i="6" s="1"/>
  <c r="E602" i="6" s="1"/>
  <c r="F611" i="6" s="1"/>
  <c r="K625" i="6"/>
  <c r="AN630" i="6" s="1"/>
  <c r="AN638" i="6" s="1"/>
  <c r="F597" i="6"/>
  <c r="F599" i="6" s="1"/>
  <c r="W602" i="6" s="1"/>
  <c r="X611" i="6" s="1"/>
  <c r="K597" i="6"/>
  <c r="I599" i="6" s="1"/>
  <c r="AD602" i="6" s="1"/>
  <c r="AE611" i="6" s="1"/>
  <c r="AO597" i="6"/>
  <c r="AC599" i="6" s="1"/>
  <c r="AF602" i="6" s="1"/>
  <c r="AG611" i="6" s="1"/>
  <c r="U597" i="6"/>
  <c r="O599" i="6" s="1"/>
  <c r="G602" i="6" s="1"/>
  <c r="H611" i="6" s="1"/>
  <c r="P597" i="6"/>
  <c r="L599" i="6" s="1"/>
  <c r="Q602" i="6" s="1"/>
  <c r="R611" i="6" s="1"/>
  <c r="AG597" i="6"/>
  <c r="W599" i="6" s="1"/>
  <c r="AH602" i="6" s="1"/>
  <c r="AI611" i="6" s="1"/>
  <c r="E597" i="6"/>
  <c r="E599" i="6" s="1"/>
  <c r="V602" i="6" s="1"/>
  <c r="W611" i="6" s="1"/>
  <c r="AN597" i="6"/>
  <c r="AB599" i="6" s="1"/>
  <c r="O602" i="6" s="1"/>
  <c r="P611" i="6" s="1"/>
  <c r="X597" i="6"/>
  <c r="R599" i="6" s="1"/>
  <c r="L602" i="6" s="1"/>
  <c r="M611" i="6" s="1"/>
  <c r="O597" i="6"/>
  <c r="K599" i="6" s="1"/>
  <c r="C602" i="6" s="1"/>
  <c r="D611" i="6" s="1"/>
  <c r="AH597" i="6"/>
  <c r="X599" i="6" s="1"/>
  <c r="AC602" i="6" s="1"/>
  <c r="AD611" i="6" s="1"/>
  <c r="D597" i="6"/>
  <c r="D599" i="6" s="1"/>
  <c r="I602" i="6" s="1"/>
  <c r="J611" i="6" s="1"/>
  <c r="L597" i="6"/>
  <c r="J599" i="6" s="1"/>
  <c r="S602" i="6" s="1"/>
  <c r="T611" i="6" s="1"/>
  <c r="C597" i="6"/>
  <c r="C599" i="6" s="1"/>
  <c r="R602" i="6" s="1"/>
  <c r="S611" i="6" s="1"/>
  <c r="J597" i="6"/>
  <c r="H599" i="6" s="1"/>
  <c r="N602" i="6" s="1"/>
  <c r="O611" i="6" s="1"/>
  <c r="AM597" i="6"/>
  <c r="AA599" i="6" s="1"/>
  <c r="U602" i="6" s="1"/>
  <c r="V611" i="6" s="1"/>
  <c r="W597" i="6"/>
  <c r="Q599" i="6" s="1"/>
  <c r="AG602" i="6" s="1"/>
  <c r="AH611" i="6" s="1"/>
  <c r="Q597" i="6"/>
  <c r="M599" i="6" s="1"/>
  <c r="Y602" i="6" s="1"/>
  <c r="Z611" i="6" s="1"/>
  <c r="AJ597" i="6"/>
  <c r="Z599" i="6" s="1"/>
  <c r="K602" i="6" s="1"/>
  <c r="L611" i="6" s="1"/>
  <c r="Q657" i="6"/>
  <c r="L622" i="6"/>
  <c r="W630" i="6" s="1"/>
  <c r="W638" i="6" s="1"/>
  <c r="K615" i="6" l="1"/>
  <c r="AC615" i="6"/>
  <c r="AF615" i="6"/>
  <c r="S615" i="6"/>
  <c r="Q615" i="6"/>
  <c r="E615" i="6"/>
  <c r="AB615" i="6"/>
  <c r="N615" i="6"/>
  <c r="V615" i="6"/>
  <c r="T615" i="6"/>
  <c r="AG615" i="6"/>
  <c r="L615" i="6"/>
  <c r="W615" i="6"/>
  <c r="H615" i="6"/>
  <c r="AE615" i="6"/>
  <c r="U615" i="6"/>
  <c r="R615" i="6"/>
  <c r="I615" i="6"/>
  <c r="O615" i="6"/>
  <c r="AH615" i="6"/>
  <c r="G615" i="6"/>
  <c r="AD615" i="6"/>
  <c r="Y615" i="6"/>
  <c r="C615" i="6"/>
  <c r="O626" i="6" l="1"/>
  <c r="AX630" i="6" s="1"/>
  <c r="AX638" i="6" s="1"/>
  <c r="D657" i="6"/>
  <c r="K619" i="6"/>
  <c r="D630" i="6" s="1"/>
  <c r="D638" i="6" s="1"/>
  <c r="K620" i="6"/>
  <c r="J630" i="6" s="1"/>
  <c r="J638" i="6" s="1"/>
  <c r="H657" i="6"/>
  <c r="O619" i="6"/>
  <c r="H630" i="6" s="1"/>
  <c r="H638" i="6" s="1"/>
  <c r="J623" i="6"/>
  <c r="AA630" i="6" s="1"/>
  <c r="AA638" i="6" s="1"/>
  <c r="N622" i="6"/>
  <c r="Y630" i="6" s="1"/>
  <c r="Y638" i="6" s="1"/>
  <c r="S657" i="6"/>
  <c r="O623" i="6"/>
  <c r="AF630" i="6" s="1"/>
  <c r="AF638" i="6" s="1"/>
  <c r="X657" i="6"/>
  <c r="K624" i="6"/>
  <c r="AH630" i="6" s="1"/>
  <c r="AH638" i="6" s="1"/>
  <c r="J624" i="6"/>
  <c r="AG630" i="6" s="1"/>
  <c r="AG638" i="6" s="1"/>
  <c r="W657" i="6"/>
  <c r="N623" i="6"/>
  <c r="AE630" i="6" s="1"/>
  <c r="AE638" i="6" s="1"/>
  <c r="R657" i="6"/>
  <c r="M622" i="6"/>
  <c r="X630" i="6" s="1"/>
  <c r="X638" i="6" s="1"/>
  <c r="L657" i="6"/>
  <c r="K621" i="6"/>
  <c r="P630" i="6" s="1"/>
  <c r="P638" i="6" s="1"/>
  <c r="O620" i="6"/>
  <c r="N630" i="6" s="1"/>
  <c r="N638" i="6" s="1"/>
  <c r="Z657" i="6"/>
  <c r="M624" i="6"/>
  <c r="AJ630" i="6" s="1"/>
  <c r="AJ638" i="6" s="1"/>
  <c r="N626" i="6"/>
  <c r="AW630" i="6" s="1"/>
  <c r="AW638" i="6" s="1"/>
  <c r="J619" i="6"/>
  <c r="C630" i="6" s="1"/>
  <c r="C638" i="6" s="1"/>
  <c r="AI657" i="6"/>
  <c r="V657" i="6"/>
  <c r="M623" i="6"/>
  <c r="AD630" i="6" s="1"/>
  <c r="AD638" i="6" s="1"/>
  <c r="L621" i="6"/>
  <c r="Q630" i="6" s="1"/>
  <c r="Q638" i="6" s="1"/>
  <c r="M657" i="6"/>
  <c r="O657" i="6"/>
  <c r="J622" i="6"/>
  <c r="U630" i="6" s="1"/>
  <c r="U638" i="6" s="1"/>
  <c r="N621" i="6"/>
  <c r="S630" i="6" s="1"/>
  <c r="S638" i="6" s="1"/>
  <c r="K623" i="6"/>
  <c r="AB630" i="6" s="1"/>
  <c r="AB638" i="6" s="1"/>
  <c r="O622" i="6"/>
  <c r="Z630" i="6" s="1"/>
  <c r="Z638" i="6" s="1"/>
  <c r="T657" i="6"/>
  <c r="P657" i="6"/>
  <c r="O621" i="6"/>
  <c r="T630" i="6" s="1"/>
  <c r="T638" i="6" s="1"/>
  <c r="K622" i="6"/>
  <c r="V630" i="6" s="1"/>
  <c r="V638" i="6" s="1"/>
  <c r="O625" i="6"/>
  <c r="AR630" i="6" s="1"/>
  <c r="AR638" i="6" s="1"/>
  <c r="K626" i="6"/>
  <c r="AT630" i="6" s="1"/>
  <c r="AT638" i="6" s="1"/>
  <c r="AF657" i="6"/>
  <c r="AH657" i="6"/>
  <c r="M626" i="6"/>
  <c r="AV630" i="6" s="1"/>
  <c r="AV638" i="6" s="1"/>
  <c r="AC657" i="6"/>
  <c r="L625" i="6"/>
  <c r="AO630" i="6" s="1"/>
  <c r="AO638" i="6" s="1"/>
  <c r="L626" i="6"/>
  <c r="AU630" i="6" s="1"/>
  <c r="AU638" i="6" s="1"/>
  <c r="AG657" i="6"/>
  <c r="J626" i="6"/>
  <c r="AS630" i="6" s="1"/>
  <c r="AS638" i="6" s="1"/>
  <c r="AE657" i="6"/>
  <c r="N625" i="6"/>
  <c r="AQ630" i="6" s="1"/>
  <c r="AQ638" i="6" s="1"/>
  <c r="M620" i="6"/>
  <c r="L630" i="6" s="1"/>
  <c r="L638" i="6" s="1"/>
  <c r="J657" i="6"/>
  <c r="I657" i="6"/>
  <c r="L620" i="6"/>
  <c r="K630" i="6" s="1"/>
  <c r="K638" i="6" s="1"/>
  <c r="L623" i="6"/>
  <c r="AC630" i="6" s="1"/>
  <c r="AC638" i="6" s="1"/>
  <c r="U657" i="6"/>
  <c r="M619" i="6"/>
  <c r="F630" i="6" s="1"/>
  <c r="F638" i="6" s="1"/>
  <c r="F657" i="6"/>
  <c r="M625" i="6"/>
  <c r="AP630" i="6" s="1"/>
  <c r="AP638" i="6" s="1"/>
  <c r="AD657" i="6"/>
  <c r="O641" i="6" l="1"/>
  <c r="AA640" i="6"/>
  <c r="AG641" i="6"/>
  <c r="AS641" i="6"/>
  <c r="AS640" i="6"/>
  <c r="C641" i="6"/>
  <c r="I641" i="6"/>
  <c r="AG640" i="6"/>
  <c r="I640" i="6"/>
  <c r="AM641" i="6"/>
  <c r="U641" i="6"/>
  <c r="O640" i="6"/>
  <c r="AA641" i="6"/>
  <c r="C640" i="6"/>
  <c r="AM640" i="6"/>
  <c r="U640" i="6"/>
  <c r="O643" i="6" l="1"/>
  <c r="AS643" i="6"/>
  <c r="U643" i="6"/>
  <c r="I643" i="6"/>
  <c r="AG643" i="6"/>
  <c r="AM643" i="6"/>
  <c r="C643" i="6"/>
  <c r="AA643" i="6"/>
  <c r="AH645" i="6" l="1"/>
  <c r="AG645" i="6"/>
  <c r="AJ645" i="6"/>
  <c r="AI645" i="6"/>
  <c r="O645" i="6"/>
  <c r="Q645" i="6"/>
  <c r="R645" i="6"/>
  <c r="P645" i="6"/>
  <c r="AA645" i="6"/>
  <c r="AD645" i="6"/>
  <c r="AC645" i="6"/>
  <c r="AB645" i="6"/>
  <c r="I645" i="6"/>
  <c r="L645" i="6"/>
  <c r="K645" i="6"/>
  <c r="J645" i="6"/>
  <c r="F645" i="6"/>
  <c r="D645" i="6"/>
  <c r="C645" i="6"/>
  <c r="E645" i="6"/>
  <c r="V645" i="6"/>
  <c r="W645" i="6"/>
  <c r="X645" i="6"/>
  <c r="U645" i="6"/>
  <c r="AO645" i="6"/>
  <c r="AM645" i="6"/>
  <c r="AN645" i="6"/>
  <c r="AP645" i="6"/>
  <c r="AT645" i="6"/>
  <c r="AV645" i="6"/>
  <c r="AS645" i="6"/>
  <c r="AU645" i="6"/>
  <c r="J646" i="6" l="1"/>
  <c r="H648" i="6" s="1"/>
  <c r="N651" i="6" s="1"/>
  <c r="O660" i="6" s="1"/>
  <c r="V646" i="6"/>
  <c r="P648" i="6" s="1"/>
  <c r="T651" i="6" s="1"/>
  <c r="U660" i="6" s="1"/>
  <c r="O646" i="6"/>
  <c r="K648" i="6" s="1"/>
  <c r="C651" i="6" s="1"/>
  <c r="D660" i="6" s="1"/>
  <c r="AU646" i="6"/>
  <c r="AG648" i="6" s="1"/>
  <c r="F651" i="6" s="1"/>
  <c r="G660" i="6" s="1"/>
  <c r="E646" i="6"/>
  <c r="E648" i="6" s="1"/>
  <c r="V651" i="6" s="1"/>
  <c r="W660" i="6" s="1"/>
  <c r="P646" i="6"/>
  <c r="L648" i="6" s="1"/>
  <c r="Q651" i="6" s="1"/>
  <c r="R660" i="6" s="1"/>
  <c r="AN646" i="6"/>
  <c r="AB648" i="6" s="1"/>
  <c r="O651" i="6" s="1"/>
  <c r="P660" i="6" s="1"/>
  <c r="K646" i="6"/>
  <c r="I648" i="6" s="1"/>
  <c r="AD651" i="6" s="1"/>
  <c r="AE660" i="6" s="1"/>
  <c r="R646" i="6"/>
  <c r="N648" i="6" s="1"/>
  <c r="AB651" i="6" s="1"/>
  <c r="AC660" i="6" s="1"/>
  <c r="AJ646" i="6"/>
  <c r="Z648" i="6" s="1"/>
  <c r="K651" i="6" s="1"/>
  <c r="L660" i="6" s="1"/>
  <c r="AT646" i="6"/>
  <c r="AF648" i="6" s="1"/>
  <c r="M651" i="6" s="1"/>
  <c r="N660" i="6" s="1"/>
  <c r="F646" i="6"/>
  <c r="F648" i="6" s="1"/>
  <c r="W651" i="6" s="1"/>
  <c r="X660" i="6" s="1"/>
  <c r="AA646" i="6"/>
  <c r="S648" i="6" s="1"/>
  <c r="D651" i="6" s="1"/>
  <c r="E660" i="6" s="1"/>
  <c r="AP646" i="6"/>
  <c r="AD648" i="6" s="1"/>
  <c r="H651" i="6" s="1"/>
  <c r="I660" i="6" s="1"/>
  <c r="U646" i="6"/>
  <c r="O648" i="6" s="1"/>
  <c r="G651" i="6" s="1"/>
  <c r="H660" i="6" s="1"/>
  <c r="AB646" i="6"/>
  <c r="T648" i="6" s="1"/>
  <c r="J651" i="6" s="1"/>
  <c r="K660" i="6" s="1"/>
  <c r="AI646" i="6"/>
  <c r="Y648" i="6" s="1"/>
  <c r="E651" i="6" s="1"/>
  <c r="F660" i="6" s="1"/>
  <c r="AS646" i="6"/>
  <c r="AE648" i="6" s="1"/>
  <c r="X651" i="6" s="1"/>
  <c r="Y660" i="6" s="1"/>
  <c r="X646" i="6"/>
  <c r="R648" i="6" s="1"/>
  <c r="L651" i="6" s="1"/>
  <c r="M660" i="6" s="1"/>
  <c r="C646" i="6"/>
  <c r="C648" i="6" s="1"/>
  <c r="R651" i="6" s="1"/>
  <c r="S660" i="6" s="1"/>
  <c r="AC646" i="6"/>
  <c r="U648" i="6" s="1"/>
  <c r="Z651" i="6" s="1"/>
  <c r="AA660" i="6" s="1"/>
  <c r="AV646" i="6"/>
  <c r="AH648" i="6" s="1"/>
  <c r="AA651" i="6" s="1"/>
  <c r="AB660" i="6" s="1"/>
  <c r="AM646" i="6"/>
  <c r="AA648" i="6" s="1"/>
  <c r="U651" i="6" s="1"/>
  <c r="V660" i="6" s="1"/>
  <c r="W646" i="6"/>
  <c r="Q648" i="6" s="1"/>
  <c r="AG651" i="6" s="1"/>
  <c r="AH660" i="6" s="1"/>
  <c r="D646" i="6"/>
  <c r="D648" i="6" s="1"/>
  <c r="I651" i="6" s="1"/>
  <c r="J660" i="6" s="1"/>
  <c r="L646" i="6"/>
  <c r="J648" i="6" s="1"/>
  <c r="S651" i="6" s="1"/>
  <c r="T660" i="6" s="1"/>
  <c r="AD646" i="6"/>
  <c r="V648" i="6" s="1"/>
  <c r="P651" i="6" s="1"/>
  <c r="Q660" i="6" s="1"/>
  <c r="Q646" i="6"/>
  <c r="M648" i="6" s="1"/>
  <c r="Y651" i="6" s="1"/>
  <c r="Z660" i="6" s="1"/>
  <c r="AG646" i="6"/>
  <c r="W648" i="6" s="1"/>
  <c r="AH651" i="6" s="1"/>
  <c r="AI660" i="6" s="1"/>
  <c r="AO646" i="6"/>
  <c r="AC648" i="6" s="1"/>
  <c r="AF651" i="6" s="1"/>
  <c r="AG660" i="6" s="1"/>
  <c r="I646" i="6"/>
  <c r="G648" i="6" s="1"/>
  <c r="AE651" i="6" s="1"/>
  <c r="AF660" i="6" s="1"/>
  <c r="AH646" i="6"/>
  <c r="X648" i="6" s="1"/>
  <c r="AC651" i="6" s="1"/>
  <c r="AD660" i="6" s="1"/>
  <c r="AF664" i="6" l="1"/>
  <c r="S664" i="6"/>
  <c r="X664" i="6"/>
  <c r="H664" i="6"/>
  <c r="K664" i="6"/>
  <c r="Q664" i="6"/>
  <c r="AH664" i="6"/>
  <c r="I664" i="6"/>
  <c r="Z664" i="6"/>
  <c r="E664" i="6"/>
  <c r="D664" i="6"/>
  <c r="AB664" i="6"/>
  <c r="V664" i="6"/>
  <c r="N664" i="6"/>
  <c r="AC664" i="6"/>
  <c r="Y664" i="6"/>
  <c r="AG664" i="6"/>
  <c r="R664" i="6"/>
  <c r="J664" i="6"/>
  <c r="W664" i="6"/>
  <c r="AD664" i="6"/>
  <c r="F664" i="6"/>
  <c r="AE664" i="6"/>
  <c r="P664" i="6"/>
  <c r="U664" i="6"/>
  <c r="L664" i="6"/>
  <c r="G664" i="6"/>
  <c r="M664" i="6"/>
  <c r="O664" i="6"/>
  <c r="C664" i="6"/>
  <c r="AA664" i="6"/>
  <c r="T664" i="6"/>
  <c r="O670" i="6" l="1"/>
  <c r="T679" i="6" s="1"/>
  <c r="T687" i="6" s="1"/>
  <c r="P706" i="6"/>
  <c r="K671" i="6"/>
  <c r="V679" i="6" s="1"/>
  <c r="V687" i="6" s="1"/>
  <c r="M672" i="6"/>
  <c r="AD679" i="6" s="1"/>
  <c r="AD687" i="6" s="1"/>
  <c r="V706" i="6"/>
  <c r="AE706" i="6"/>
  <c r="N674" i="6"/>
  <c r="AQ679" i="6" s="1"/>
  <c r="AQ687" i="6" s="1"/>
  <c r="J675" i="6"/>
  <c r="AS679" i="6" s="1"/>
  <c r="AS687" i="6" s="1"/>
  <c r="M675" i="6"/>
  <c r="AV679" i="6" s="1"/>
  <c r="AV687" i="6" s="1"/>
  <c r="AH706" i="6"/>
  <c r="W706" i="6"/>
  <c r="J673" i="6"/>
  <c r="AG679" i="6" s="1"/>
  <c r="AG687" i="6" s="1"/>
  <c r="N672" i="6"/>
  <c r="AE679" i="6" s="1"/>
  <c r="AE687" i="6" s="1"/>
  <c r="AA706" i="6"/>
  <c r="N673" i="6"/>
  <c r="AK679" i="6" s="1"/>
  <c r="AK687" i="6" s="1"/>
  <c r="J674" i="6"/>
  <c r="AM679" i="6" s="1"/>
  <c r="AM687" i="6" s="1"/>
  <c r="L706" i="6"/>
  <c r="O669" i="6"/>
  <c r="N679" i="6" s="1"/>
  <c r="N687" i="6" s="1"/>
  <c r="K670" i="6"/>
  <c r="P679" i="6" s="1"/>
  <c r="P687" i="6" s="1"/>
  <c r="AG706" i="6"/>
  <c r="L675" i="6"/>
  <c r="AU679" i="6" s="1"/>
  <c r="AU687" i="6" s="1"/>
  <c r="L672" i="6"/>
  <c r="AC679" i="6" s="1"/>
  <c r="AC687" i="6" s="1"/>
  <c r="U706" i="6"/>
  <c r="M670" i="6"/>
  <c r="R679" i="6" s="1"/>
  <c r="R687" i="6" s="1"/>
  <c r="N706" i="6"/>
  <c r="Q706" i="6"/>
  <c r="L671" i="6"/>
  <c r="W679" i="6" s="1"/>
  <c r="W687" i="6" s="1"/>
  <c r="X706" i="6"/>
  <c r="O672" i="6"/>
  <c r="AF679" i="6" s="1"/>
  <c r="AF687" i="6" s="1"/>
  <c r="K673" i="6"/>
  <c r="AH679" i="6" s="1"/>
  <c r="AH687" i="6" s="1"/>
  <c r="Z706" i="6"/>
  <c r="M673" i="6"/>
  <c r="AJ679" i="6" s="1"/>
  <c r="AJ687" i="6" s="1"/>
  <c r="L674" i="6"/>
  <c r="AO679" i="6" s="1"/>
  <c r="AO687" i="6" s="1"/>
  <c r="AC706" i="6"/>
  <c r="J706" i="6"/>
  <c r="M669" i="6"/>
  <c r="L679" i="6" s="1"/>
  <c r="L687" i="6" s="1"/>
  <c r="L669" i="6"/>
  <c r="K679" i="6" s="1"/>
  <c r="K687" i="6" s="1"/>
  <c r="I706" i="6"/>
  <c r="AB706" i="6"/>
  <c r="K674" i="6"/>
  <c r="AN679" i="6" s="1"/>
  <c r="AN687" i="6" s="1"/>
  <c r="O673" i="6"/>
  <c r="AL679" i="6" s="1"/>
  <c r="AL687" i="6" s="1"/>
  <c r="O668" i="6"/>
  <c r="H679" i="6" s="1"/>
  <c r="H687" i="6" s="1"/>
  <c r="H706" i="6"/>
  <c r="K669" i="6"/>
  <c r="J679" i="6" s="1"/>
  <c r="J687" i="6" s="1"/>
  <c r="AF706" i="6"/>
  <c r="O674" i="6"/>
  <c r="AR679" i="6" s="1"/>
  <c r="AR687" i="6" s="1"/>
  <c r="K675" i="6"/>
  <c r="AT679" i="6" s="1"/>
  <c r="AT687" i="6" s="1"/>
  <c r="J670" i="6"/>
  <c r="O679" i="6" s="1"/>
  <c r="O687" i="6" s="1"/>
  <c r="N669" i="6"/>
  <c r="M679" i="6" s="1"/>
  <c r="M687" i="6" s="1"/>
  <c r="K706" i="6"/>
  <c r="AD706" i="6"/>
  <c r="M674" i="6"/>
  <c r="AP679" i="6" s="1"/>
  <c r="AP687" i="6" s="1"/>
  <c r="E706" i="6"/>
  <c r="L668" i="6"/>
  <c r="E679" i="6" s="1"/>
  <c r="E687" i="6" s="1"/>
  <c r="N675" i="6"/>
  <c r="AW679" i="6" s="1"/>
  <c r="AW687" i="6" s="1"/>
  <c r="J668" i="6"/>
  <c r="C679" i="6" s="1"/>
  <c r="C687" i="6" s="1"/>
  <c r="AI706" i="6"/>
  <c r="L673" i="6"/>
  <c r="AI679" i="6" s="1"/>
  <c r="AI687" i="6" s="1"/>
  <c r="Y706" i="6"/>
  <c r="D706" i="6"/>
  <c r="O675" i="6"/>
  <c r="AX679" i="6" s="1"/>
  <c r="AX687" i="6" s="1"/>
  <c r="K668" i="6"/>
  <c r="D679" i="6" s="1"/>
  <c r="D687" i="6" s="1"/>
  <c r="M706" i="6"/>
  <c r="L670" i="6"/>
  <c r="Q679" i="6" s="1"/>
  <c r="Q687" i="6" s="1"/>
  <c r="G706" i="6"/>
  <c r="J669" i="6"/>
  <c r="I679" i="6" s="1"/>
  <c r="I687" i="6" s="1"/>
  <c r="N668" i="6"/>
  <c r="G679" i="6" s="1"/>
  <c r="G687" i="6" s="1"/>
  <c r="S706" i="6"/>
  <c r="J672" i="6"/>
  <c r="AA679" i="6" s="1"/>
  <c r="AA687" i="6" s="1"/>
  <c r="N671" i="6"/>
  <c r="Y679" i="6" s="1"/>
  <c r="Y687" i="6" s="1"/>
  <c r="N670" i="6"/>
  <c r="S679" i="6" s="1"/>
  <c r="S687" i="6" s="1"/>
  <c r="O706" i="6"/>
  <c r="J671" i="6"/>
  <c r="U679" i="6" s="1"/>
  <c r="U687" i="6" s="1"/>
  <c r="M668" i="6"/>
  <c r="F679" i="6" s="1"/>
  <c r="F687" i="6" s="1"/>
  <c r="F706" i="6"/>
  <c r="R706" i="6"/>
  <c r="M671" i="6"/>
  <c r="X679" i="6" s="1"/>
  <c r="X687" i="6" s="1"/>
  <c r="K672" i="6"/>
  <c r="AB679" i="6" s="1"/>
  <c r="AB687" i="6" s="1"/>
  <c r="T706" i="6"/>
  <c r="O671" i="6"/>
  <c r="Z679" i="6" s="1"/>
  <c r="Z687" i="6" s="1"/>
  <c r="U690" i="6" l="1"/>
  <c r="AA690" i="6"/>
  <c r="C690" i="6"/>
  <c r="O690" i="6"/>
  <c r="I689" i="6"/>
  <c r="AM689" i="6"/>
  <c r="AM690" i="6"/>
  <c r="AG690" i="6"/>
  <c r="AS690" i="6"/>
  <c r="AS689" i="6"/>
  <c r="O689" i="6"/>
  <c r="U689" i="6"/>
  <c r="AA689" i="6"/>
  <c r="I690" i="6"/>
  <c r="C689" i="6"/>
  <c r="AG689" i="6"/>
  <c r="AS692" i="6" l="1"/>
  <c r="AU694" i="6" s="1"/>
  <c r="U692" i="6"/>
  <c r="W694" i="6" s="1"/>
  <c r="AG692" i="6"/>
  <c r="O692" i="6"/>
  <c r="C692" i="6"/>
  <c r="I692" i="6"/>
  <c r="AM692" i="6"/>
  <c r="AA692" i="6"/>
  <c r="AS694" i="6" l="1"/>
  <c r="AS695" i="6" s="1"/>
  <c r="AE697" i="6" s="1"/>
  <c r="X700" i="6" s="1"/>
  <c r="Y709" i="6" s="1"/>
  <c r="U694" i="6"/>
  <c r="U695" i="6" s="1"/>
  <c r="O697" i="6" s="1"/>
  <c r="G700" i="6" s="1"/>
  <c r="H709" i="6" s="1"/>
  <c r="X694" i="6"/>
  <c r="X695" i="6" s="1"/>
  <c r="R697" i="6" s="1"/>
  <c r="L700" i="6" s="1"/>
  <c r="M709" i="6" s="1"/>
  <c r="AT694" i="6"/>
  <c r="AT695" i="6" s="1"/>
  <c r="AF697" i="6" s="1"/>
  <c r="M700" i="6" s="1"/>
  <c r="N709" i="6" s="1"/>
  <c r="AV694" i="6"/>
  <c r="AV695" i="6" s="1"/>
  <c r="AH697" i="6" s="1"/>
  <c r="AA700" i="6" s="1"/>
  <c r="AB709" i="6" s="1"/>
  <c r="V694" i="6"/>
  <c r="V695" i="6" s="1"/>
  <c r="P697" i="6" s="1"/>
  <c r="T700" i="6" s="1"/>
  <c r="U709" i="6" s="1"/>
  <c r="K694" i="6"/>
  <c r="J694" i="6"/>
  <c r="I694" i="6"/>
  <c r="L694" i="6"/>
  <c r="W695" i="6"/>
  <c r="Q697" i="6" s="1"/>
  <c r="AG700" i="6" s="1"/>
  <c r="AH709" i="6" s="1"/>
  <c r="E694" i="6"/>
  <c r="D694" i="6"/>
  <c r="C694" i="6"/>
  <c r="F694" i="6"/>
  <c r="AD694" i="6"/>
  <c r="AA694" i="6"/>
  <c r="AB694" i="6"/>
  <c r="AC694" i="6"/>
  <c r="P694" i="6"/>
  <c r="R694" i="6"/>
  <c r="O694" i="6"/>
  <c r="Q694" i="6"/>
  <c r="AN694" i="6"/>
  <c r="AO694" i="6"/>
  <c r="AP694" i="6"/>
  <c r="AM694" i="6"/>
  <c r="AG694" i="6"/>
  <c r="AH694" i="6"/>
  <c r="AJ694" i="6"/>
  <c r="AI694" i="6"/>
  <c r="AU695" i="6"/>
  <c r="AG697" i="6" s="1"/>
  <c r="F700" i="6" s="1"/>
  <c r="G709" i="6" s="1"/>
  <c r="AA713" i="6" l="1"/>
  <c r="F713" i="6"/>
  <c r="L713" i="6"/>
  <c r="AG713" i="6"/>
  <c r="G713" i="6"/>
  <c r="T713" i="6"/>
  <c r="X713" i="6"/>
  <c r="M713" i="6"/>
  <c r="AJ695" i="6"/>
  <c r="Z697" i="6" s="1"/>
  <c r="K700" i="6" s="1"/>
  <c r="L709" i="6" s="1"/>
  <c r="AH695" i="6"/>
  <c r="X697" i="6" s="1"/>
  <c r="AC700" i="6" s="1"/>
  <c r="AD709" i="6" s="1"/>
  <c r="AO695" i="6"/>
  <c r="AC697" i="6" s="1"/>
  <c r="AF700" i="6" s="1"/>
  <c r="AG709" i="6" s="1"/>
  <c r="R695" i="6"/>
  <c r="N697" i="6" s="1"/>
  <c r="AB700" i="6" s="1"/>
  <c r="AC709" i="6" s="1"/>
  <c r="AA695" i="6"/>
  <c r="S697" i="6" s="1"/>
  <c r="D700" i="6" s="1"/>
  <c r="E709" i="6" s="1"/>
  <c r="F695" i="6"/>
  <c r="F697" i="6" s="1"/>
  <c r="W700" i="6" s="1"/>
  <c r="X709" i="6" s="1"/>
  <c r="L695" i="6"/>
  <c r="J697" i="6" s="1"/>
  <c r="S700" i="6" s="1"/>
  <c r="T709" i="6" s="1"/>
  <c r="AG695" i="6"/>
  <c r="W697" i="6" s="1"/>
  <c r="AH700" i="6" s="1"/>
  <c r="AI709" i="6" s="1"/>
  <c r="AN695" i="6"/>
  <c r="AB697" i="6" s="1"/>
  <c r="O700" i="6" s="1"/>
  <c r="P709" i="6" s="1"/>
  <c r="P695" i="6"/>
  <c r="L697" i="6" s="1"/>
  <c r="Q700" i="6" s="1"/>
  <c r="R709" i="6" s="1"/>
  <c r="AD695" i="6"/>
  <c r="V697" i="6" s="1"/>
  <c r="P700" i="6" s="1"/>
  <c r="Q709" i="6" s="1"/>
  <c r="C695" i="6"/>
  <c r="C697" i="6" s="1"/>
  <c r="R700" i="6" s="1"/>
  <c r="S709" i="6" s="1"/>
  <c r="I695" i="6"/>
  <c r="G697" i="6" s="1"/>
  <c r="AE700" i="6" s="1"/>
  <c r="AF709" i="6" s="1"/>
  <c r="AI695" i="6"/>
  <c r="Y697" i="6" s="1"/>
  <c r="E700" i="6" s="1"/>
  <c r="F709" i="6" s="1"/>
  <c r="AM695" i="6"/>
  <c r="AA697" i="6" s="1"/>
  <c r="U700" i="6" s="1"/>
  <c r="V709" i="6" s="1"/>
  <c r="Q695" i="6"/>
  <c r="M697" i="6" s="1"/>
  <c r="Y700" i="6" s="1"/>
  <c r="Z709" i="6" s="1"/>
  <c r="AC695" i="6"/>
  <c r="U697" i="6" s="1"/>
  <c r="Z700" i="6" s="1"/>
  <c r="AA709" i="6" s="1"/>
  <c r="D695" i="6"/>
  <c r="D697" i="6" s="1"/>
  <c r="I700" i="6" s="1"/>
  <c r="J709" i="6" s="1"/>
  <c r="J695" i="6"/>
  <c r="H697" i="6" s="1"/>
  <c r="N700" i="6" s="1"/>
  <c r="O709" i="6" s="1"/>
  <c r="AP695" i="6"/>
  <c r="AD697" i="6" s="1"/>
  <c r="H700" i="6" s="1"/>
  <c r="I709" i="6" s="1"/>
  <c r="O695" i="6"/>
  <c r="K697" i="6" s="1"/>
  <c r="C700" i="6" s="1"/>
  <c r="D709" i="6" s="1"/>
  <c r="AB695" i="6"/>
  <c r="T697" i="6" s="1"/>
  <c r="J700" i="6" s="1"/>
  <c r="K709" i="6" s="1"/>
  <c r="E695" i="6"/>
  <c r="E697" i="6" s="1"/>
  <c r="V700" i="6" s="1"/>
  <c r="W709" i="6" s="1"/>
  <c r="K695" i="6"/>
  <c r="I697" i="6" s="1"/>
  <c r="AD700" i="6" s="1"/>
  <c r="AE709" i="6" s="1"/>
  <c r="H713" i="6" l="1"/>
  <c r="R713" i="6"/>
  <c r="AB713" i="6"/>
  <c r="J713" i="6"/>
  <c r="E713" i="6"/>
  <c r="W713" i="6"/>
  <c r="AD713" i="6"/>
  <c r="Y713" i="6"/>
  <c r="AH713" i="6"/>
  <c r="I713" i="6"/>
  <c r="Q713" i="6"/>
  <c r="AC713" i="6"/>
  <c r="V713" i="6"/>
  <c r="N713" i="6"/>
  <c r="Z713" i="6"/>
  <c r="C713" i="6"/>
  <c r="U713" i="6"/>
  <c r="AE713" i="6"/>
  <c r="P713" i="6"/>
  <c r="O713" i="6"/>
  <c r="S713" i="6"/>
  <c r="D713" i="6"/>
  <c r="AF713" i="6"/>
  <c r="K713" i="6"/>
  <c r="M719" i="6"/>
  <c r="R728" i="6" s="1"/>
  <c r="R736" i="6" s="1"/>
  <c r="N755" i="6"/>
  <c r="M724" i="6"/>
  <c r="AV728" i="6" s="1"/>
  <c r="AV736" i="6" s="1"/>
  <c r="AH755" i="6"/>
  <c r="L722" i="6"/>
  <c r="AI728" i="6" s="1"/>
  <c r="AI736" i="6" s="1"/>
  <c r="Y755" i="6"/>
  <c r="L719" i="6"/>
  <c r="Q728" i="6" s="1"/>
  <c r="Q736" i="6" s="1"/>
  <c r="M755" i="6"/>
  <c r="L721" i="6"/>
  <c r="AC728" i="6" s="1"/>
  <c r="AC736" i="6" s="1"/>
  <c r="U755" i="6"/>
  <c r="J718" i="6"/>
  <c r="I728" i="6" s="1"/>
  <c r="I736" i="6" s="1"/>
  <c r="N717" i="6"/>
  <c r="G728" i="6" s="1"/>
  <c r="G736" i="6" s="1"/>
  <c r="G755" i="6"/>
  <c r="H755" i="6"/>
  <c r="K718" i="6"/>
  <c r="J728" i="6" s="1"/>
  <c r="J736" i="6" s="1"/>
  <c r="O717" i="6"/>
  <c r="H728" i="6" s="1"/>
  <c r="H736" i="6" s="1"/>
  <c r="AB755" i="6"/>
  <c r="K723" i="6"/>
  <c r="AN728" i="6" s="1"/>
  <c r="AN736" i="6" s="1"/>
  <c r="O722" i="6"/>
  <c r="AL728" i="6" s="1"/>
  <c r="AL736" i="6" s="1"/>
  <c r="J719" i="6" l="1"/>
  <c r="O728" i="6" s="1"/>
  <c r="O736" i="6" s="1"/>
  <c r="N718" i="6"/>
  <c r="M728" i="6" s="1"/>
  <c r="M736" i="6" s="1"/>
  <c r="K755" i="6"/>
  <c r="V755" i="6"/>
  <c r="M721" i="6"/>
  <c r="AD728" i="6" s="1"/>
  <c r="AD736" i="6" s="1"/>
  <c r="AI755" i="6"/>
  <c r="N724" i="6"/>
  <c r="AW728" i="6" s="1"/>
  <c r="AW736" i="6" s="1"/>
  <c r="J717" i="6"/>
  <c r="C728" i="6" s="1"/>
  <c r="C736" i="6" s="1"/>
  <c r="O718" i="6"/>
  <c r="N728" i="6" s="1"/>
  <c r="N736" i="6" s="1"/>
  <c r="K719" i="6"/>
  <c r="P728" i="6" s="1"/>
  <c r="P736" i="6" s="1"/>
  <c r="L755" i="6"/>
  <c r="M723" i="6"/>
  <c r="AP728" i="6" s="1"/>
  <c r="AP736" i="6" s="1"/>
  <c r="AD755" i="6"/>
  <c r="AG755" i="6"/>
  <c r="L724" i="6"/>
  <c r="AU728" i="6" s="1"/>
  <c r="AU736" i="6" s="1"/>
  <c r="L720" i="6"/>
  <c r="W728" i="6" s="1"/>
  <c r="W736" i="6" s="1"/>
  <c r="Q755" i="6"/>
  <c r="J723" i="6"/>
  <c r="AM728" i="6" s="1"/>
  <c r="AM736" i="6" s="1"/>
  <c r="AA755" i="6"/>
  <c r="N722" i="6"/>
  <c r="AK728" i="6" s="1"/>
  <c r="AK736" i="6" s="1"/>
  <c r="R755" i="6"/>
  <c r="M720" i="6"/>
  <c r="X728" i="6" s="1"/>
  <c r="X736" i="6" s="1"/>
  <c r="AE755" i="6"/>
  <c r="N723" i="6"/>
  <c r="AQ728" i="6" s="1"/>
  <c r="AQ736" i="6" s="1"/>
  <c r="J724" i="6"/>
  <c r="AS728" i="6" s="1"/>
  <c r="AS736" i="6" s="1"/>
  <c r="L723" i="6"/>
  <c r="AO728" i="6" s="1"/>
  <c r="AO736" i="6" s="1"/>
  <c r="AC755" i="6"/>
  <c r="K721" i="6"/>
  <c r="AB728" i="6" s="1"/>
  <c r="AB736" i="6" s="1"/>
  <c r="T755" i="6"/>
  <c r="O720" i="6"/>
  <c r="Z728" i="6" s="1"/>
  <c r="Z736" i="6" s="1"/>
  <c r="W755" i="6"/>
  <c r="J722" i="6"/>
  <c r="AG728" i="6" s="1"/>
  <c r="AG736" i="6" s="1"/>
  <c r="N721" i="6"/>
  <c r="AE728" i="6" s="1"/>
  <c r="AE736" i="6" s="1"/>
  <c r="F755" i="6"/>
  <c r="M717" i="6"/>
  <c r="F728" i="6" s="1"/>
  <c r="F736" i="6" s="1"/>
  <c r="O719" i="6"/>
  <c r="T728" i="6" s="1"/>
  <c r="T736" i="6" s="1"/>
  <c r="P755" i="6"/>
  <c r="K720" i="6"/>
  <c r="V728" i="6" s="1"/>
  <c r="V736" i="6" s="1"/>
  <c r="O724" i="6"/>
  <c r="AX728" i="6" s="1"/>
  <c r="AX736" i="6" s="1"/>
  <c r="K717" i="6"/>
  <c r="D728" i="6" s="1"/>
  <c r="D736" i="6" s="1"/>
  <c r="D755" i="6"/>
  <c r="Z755" i="6"/>
  <c r="M722" i="6"/>
  <c r="AJ728" i="6" s="1"/>
  <c r="AJ736" i="6" s="1"/>
  <c r="E755" i="6"/>
  <c r="L717" i="6"/>
  <c r="E728" i="6" s="1"/>
  <c r="E736" i="6" s="1"/>
  <c r="O723" i="6"/>
  <c r="AR728" i="6" s="1"/>
  <c r="AR736" i="6" s="1"/>
  <c r="AF755" i="6"/>
  <c r="K724" i="6"/>
  <c r="AT728" i="6" s="1"/>
  <c r="AT736" i="6" s="1"/>
  <c r="O755" i="6"/>
  <c r="N719" i="6"/>
  <c r="S728" i="6" s="1"/>
  <c r="S736" i="6" s="1"/>
  <c r="J720" i="6"/>
  <c r="U728" i="6" s="1"/>
  <c r="U736" i="6" s="1"/>
  <c r="M718" i="6"/>
  <c r="L728" i="6" s="1"/>
  <c r="L736" i="6" s="1"/>
  <c r="J755" i="6"/>
  <c r="K722" i="6"/>
  <c r="AH728" i="6" s="1"/>
  <c r="AH736" i="6" s="1"/>
  <c r="X755" i="6"/>
  <c r="O721" i="6"/>
  <c r="AF728" i="6" s="1"/>
  <c r="AF736" i="6" s="1"/>
  <c r="S755" i="6"/>
  <c r="J721" i="6"/>
  <c r="AA728" i="6" s="1"/>
  <c r="AA736" i="6" s="1"/>
  <c r="N720" i="6"/>
  <c r="Y728" i="6" s="1"/>
  <c r="Y736" i="6" s="1"/>
  <c r="L718" i="6"/>
  <c r="K728" i="6" s="1"/>
  <c r="K736" i="6" s="1"/>
  <c r="I755" i="6"/>
  <c r="AG738" i="6" l="1"/>
  <c r="AM739" i="6"/>
  <c r="AS739" i="6"/>
  <c r="I739" i="6"/>
  <c r="O739" i="6"/>
  <c r="I738" i="6"/>
  <c r="AS738" i="6"/>
  <c r="C738" i="6"/>
  <c r="AG739" i="6"/>
  <c r="AA738" i="6"/>
  <c r="C739" i="6"/>
  <c r="AA739" i="6"/>
  <c r="U738" i="6"/>
  <c r="AM738" i="6"/>
  <c r="O738" i="6"/>
  <c r="U739" i="6"/>
  <c r="AM741" i="6" l="1"/>
  <c r="AN743" i="6" s="1"/>
  <c r="AG741" i="6"/>
  <c r="AH743" i="6" s="1"/>
  <c r="AA741" i="6"/>
  <c r="AB743" i="6" s="1"/>
  <c r="U741" i="6"/>
  <c r="O741" i="6"/>
  <c r="C741" i="6"/>
  <c r="AS741" i="6"/>
  <c r="I741" i="6"/>
  <c r="AO743" i="6" l="1"/>
  <c r="AO744" i="6" s="1"/>
  <c r="AC746" i="6" s="1"/>
  <c r="AF749" i="6" s="1"/>
  <c r="AG758" i="6" s="1"/>
  <c r="AM743" i="6"/>
  <c r="AM744" i="6" s="1"/>
  <c r="AA746" i="6" s="1"/>
  <c r="U749" i="6" s="1"/>
  <c r="V758" i="6" s="1"/>
  <c r="AP743" i="6"/>
  <c r="AP744" i="6" s="1"/>
  <c r="AD746" i="6" s="1"/>
  <c r="H749" i="6" s="1"/>
  <c r="I758" i="6" s="1"/>
  <c r="AI743" i="6"/>
  <c r="AI744" i="6" s="1"/>
  <c r="Y746" i="6" s="1"/>
  <c r="E749" i="6" s="1"/>
  <c r="F758" i="6" s="1"/>
  <c r="AJ743" i="6"/>
  <c r="AJ744" i="6" s="1"/>
  <c r="Z746" i="6" s="1"/>
  <c r="K749" i="6" s="1"/>
  <c r="L758" i="6" s="1"/>
  <c r="AC743" i="6"/>
  <c r="AC744" i="6" s="1"/>
  <c r="U746" i="6" s="1"/>
  <c r="Z749" i="6" s="1"/>
  <c r="AA758" i="6" s="1"/>
  <c r="AG743" i="6"/>
  <c r="AG744" i="6" s="1"/>
  <c r="W746" i="6" s="1"/>
  <c r="AH749" i="6" s="1"/>
  <c r="AI758" i="6" s="1"/>
  <c r="AA743" i="6"/>
  <c r="AA744" i="6" s="1"/>
  <c r="S746" i="6" s="1"/>
  <c r="D749" i="6" s="1"/>
  <c r="E758" i="6" s="1"/>
  <c r="AD743" i="6"/>
  <c r="AD744" i="6" s="1"/>
  <c r="V746" i="6" s="1"/>
  <c r="P749" i="6" s="1"/>
  <c r="Q758" i="6" s="1"/>
  <c r="AS743" i="6"/>
  <c r="AV743" i="6"/>
  <c r="AU743" i="6"/>
  <c r="AT743" i="6"/>
  <c r="D743" i="6"/>
  <c r="F743" i="6"/>
  <c r="C743" i="6"/>
  <c r="E743" i="6"/>
  <c r="Q743" i="6"/>
  <c r="P743" i="6"/>
  <c r="O743" i="6"/>
  <c r="R743" i="6"/>
  <c r="AB744" i="6"/>
  <c r="T746" i="6" s="1"/>
  <c r="J749" i="6" s="1"/>
  <c r="K758" i="6" s="1"/>
  <c r="J743" i="6"/>
  <c r="K743" i="6"/>
  <c r="L743" i="6"/>
  <c r="I743" i="6"/>
  <c r="AN744" i="6"/>
  <c r="AB746" i="6" s="1"/>
  <c r="O749" i="6" s="1"/>
  <c r="P758" i="6" s="1"/>
  <c r="V743" i="6"/>
  <c r="X743" i="6"/>
  <c r="W743" i="6"/>
  <c r="U743" i="6"/>
  <c r="AH744" i="6"/>
  <c r="X746" i="6" s="1"/>
  <c r="AC749" i="6" s="1"/>
  <c r="AD758" i="6" s="1"/>
  <c r="O762" i="6" l="1"/>
  <c r="AF762" i="6"/>
  <c r="AC762" i="6"/>
  <c r="U762" i="6"/>
  <c r="J762" i="6"/>
  <c r="P762" i="6"/>
  <c r="D762" i="6"/>
  <c r="Z762" i="6"/>
  <c r="AH762" i="6"/>
  <c r="H762" i="6"/>
  <c r="E762" i="6"/>
  <c r="K762" i="6"/>
  <c r="P744" i="6"/>
  <c r="L746" i="6" s="1"/>
  <c r="Q749" i="6" s="1"/>
  <c r="R758" i="6" s="1"/>
  <c r="Q744" i="6"/>
  <c r="M746" i="6" s="1"/>
  <c r="Y749" i="6" s="1"/>
  <c r="Z758" i="6" s="1"/>
  <c r="AU744" i="6"/>
  <c r="AG746" i="6" s="1"/>
  <c r="F749" i="6" s="1"/>
  <c r="G758" i="6" s="1"/>
  <c r="X744" i="6"/>
  <c r="R746" i="6" s="1"/>
  <c r="L749" i="6" s="1"/>
  <c r="M758" i="6" s="1"/>
  <c r="K744" i="6"/>
  <c r="I746" i="6" s="1"/>
  <c r="AD749" i="6" s="1"/>
  <c r="AE758" i="6" s="1"/>
  <c r="E744" i="6"/>
  <c r="E746" i="6" s="1"/>
  <c r="V749" i="6" s="1"/>
  <c r="W758" i="6" s="1"/>
  <c r="AT744" i="6"/>
  <c r="AF746" i="6" s="1"/>
  <c r="M749" i="6" s="1"/>
  <c r="N758" i="6" s="1"/>
  <c r="V744" i="6"/>
  <c r="P746" i="6" s="1"/>
  <c r="T749" i="6" s="1"/>
  <c r="U758" i="6" s="1"/>
  <c r="J744" i="6"/>
  <c r="H746" i="6" s="1"/>
  <c r="N749" i="6" s="1"/>
  <c r="O758" i="6" s="1"/>
  <c r="C744" i="6"/>
  <c r="C746" i="6" s="1"/>
  <c r="R749" i="6" s="1"/>
  <c r="S758" i="6" s="1"/>
  <c r="U744" i="6"/>
  <c r="O746" i="6" s="1"/>
  <c r="G749" i="6" s="1"/>
  <c r="H758" i="6" s="1"/>
  <c r="I744" i="6"/>
  <c r="G746" i="6" s="1"/>
  <c r="AE749" i="6" s="1"/>
  <c r="AF758" i="6" s="1"/>
  <c r="R744" i="6"/>
  <c r="N746" i="6" s="1"/>
  <c r="AB749" i="6" s="1"/>
  <c r="AC758" i="6" s="1"/>
  <c r="F744" i="6"/>
  <c r="F746" i="6" s="1"/>
  <c r="W749" i="6" s="1"/>
  <c r="X758" i="6" s="1"/>
  <c r="AV744" i="6"/>
  <c r="AH746" i="6" s="1"/>
  <c r="AA749" i="6" s="1"/>
  <c r="AB758" i="6" s="1"/>
  <c r="W744" i="6"/>
  <c r="Q746" i="6" s="1"/>
  <c r="AG749" i="6" s="1"/>
  <c r="AH758" i="6" s="1"/>
  <c r="L744" i="6"/>
  <c r="J746" i="6" s="1"/>
  <c r="S749" i="6" s="1"/>
  <c r="T758" i="6" s="1"/>
  <c r="O744" i="6"/>
  <c r="K746" i="6" s="1"/>
  <c r="C749" i="6" s="1"/>
  <c r="D758" i="6" s="1"/>
  <c r="D744" i="6"/>
  <c r="D746" i="6" s="1"/>
  <c r="I749" i="6" s="1"/>
  <c r="J758" i="6" s="1"/>
  <c r="AS744" i="6"/>
  <c r="AE746" i="6" s="1"/>
  <c r="X749" i="6" s="1"/>
  <c r="Y758" i="6" s="1"/>
  <c r="X762" i="6" l="1"/>
  <c r="AE762" i="6"/>
  <c r="L762" i="6"/>
  <c r="W762" i="6"/>
  <c r="V762" i="6"/>
  <c r="AG762" i="6"/>
  <c r="T762" i="6"/>
  <c r="C762" i="6"/>
  <c r="R762" i="6"/>
  <c r="Y762" i="6"/>
  <c r="I762" i="6"/>
  <c r="S762" i="6"/>
  <c r="AA762" i="6"/>
  <c r="AB762" i="6"/>
  <c r="G762" i="6"/>
  <c r="N762" i="6"/>
  <c r="M762" i="6"/>
  <c r="AD762" i="6"/>
  <c r="F762" i="6"/>
  <c r="Q762" i="6"/>
  <c r="F804" i="6"/>
  <c r="AK812" i="6" s="1"/>
  <c r="K823" i="6" s="1"/>
  <c r="AQ828" i="6" s="1"/>
  <c r="M766" i="6"/>
  <c r="F777" i="6" s="1"/>
  <c r="F785" i="6" s="1"/>
  <c r="E804" i="6"/>
  <c r="AJ812" i="6" s="1"/>
  <c r="K824" i="6" s="1"/>
  <c r="AY828" i="6" s="1"/>
  <c r="L766" i="6"/>
  <c r="E777" i="6" s="1"/>
  <c r="E785" i="6" s="1"/>
  <c r="AD804" i="6"/>
  <c r="BI812" i="6" s="1"/>
  <c r="Q823" i="6" s="1"/>
  <c r="AW828" i="6" s="1"/>
  <c r="M772" i="6"/>
  <c r="AP777" i="6" s="1"/>
  <c r="AP785" i="6" s="1"/>
  <c r="L804" i="6"/>
  <c r="AQ812" i="6" s="1"/>
  <c r="M825" i="6" s="1"/>
  <c r="BI828" i="6" s="1"/>
  <c r="O767" i="6"/>
  <c r="N777" i="6" s="1"/>
  <c r="N785" i="6" s="1"/>
  <c r="K768" i="6"/>
  <c r="P777" i="6" s="1"/>
  <c r="P785" i="6" s="1"/>
  <c r="AA804" i="6"/>
  <c r="BF812" i="6" s="1"/>
  <c r="O818" i="6" s="1"/>
  <c r="G828" i="6" s="1"/>
  <c r="N771" i="6"/>
  <c r="AK777" i="6" s="1"/>
  <c r="AK785" i="6" s="1"/>
  <c r="J772" i="6"/>
  <c r="AM777" i="6" s="1"/>
  <c r="AM785" i="6" s="1"/>
  <c r="M770" i="6"/>
  <c r="AD777" i="6" s="1"/>
  <c r="AD785" i="6" s="1"/>
  <c r="V804" i="6"/>
  <c r="BA812" i="6" s="1"/>
  <c r="O823" i="6" s="1"/>
  <c r="AU828" i="6" s="1"/>
  <c r="I804" i="6"/>
  <c r="AN812" i="6" s="1"/>
  <c r="K820" i="6" s="1"/>
  <c r="S828" i="6" s="1"/>
  <c r="L767" i="6"/>
  <c r="K777" i="6" s="1"/>
  <c r="K785" i="6" s="1"/>
  <c r="Q804" i="6"/>
  <c r="AV812" i="6" s="1"/>
  <c r="M820" i="6" s="1"/>
  <c r="U828" i="6" s="1"/>
  <c r="L769" i="6"/>
  <c r="W777" i="6" s="1"/>
  <c r="W785" i="6" s="1"/>
  <c r="L773" i="6"/>
  <c r="AU777" i="6" s="1"/>
  <c r="AU785" i="6" s="1"/>
  <c r="AG804" i="6"/>
  <c r="BL812" i="6" s="1"/>
  <c r="Q820" i="6" s="1"/>
  <c r="Y828" i="6" s="1"/>
  <c r="AI804" i="6"/>
  <c r="BN812" i="6" s="1"/>
  <c r="Q818" i="6" s="1"/>
  <c r="I828" i="6" s="1"/>
  <c r="N773" i="6"/>
  <c r="AW777" i="6" s="1"/>
  <c r="AW785" i="6" s="1"/>
  <c r="J766" i="6"/>
  <c r="C777" i="6" s="1"/>
  <c r="C785" i="6" s="1"/>
  <c r="N767" i="6"/>
  <c r="M777" i="6" s="1"/>
  <c r="M785" i="6" s="1"/>
  <c r="J768" i="6"/>
  <c r="O777" i="6" s="1"/>
  <c r="O785" i="6" s="1"/>
  <c r="K804" i="6"/>
  <c r="AP812" i="6" s="1"/>
  <c r="K818" i="6" s="1"/>
  <c r="C828" i="6" s="1"/>
  <c r="P804" i="6"/>
  <c r="AU812" i="6" s="1"/>
  <c r="M821" i="6" s="1"/>
  <c r="AC828" i="6" s="1"/>
  <c r="K769" i="6"/>
  <c r="V777" i="6" s="1"/>
  <c r="V785" i="6" s="1"/>
  <c r="O768" i="6"/>
  <c r="T777" i="6" s="1"/>
  <c r="T785" i="6" s="1"/>
  <c r="O788" i="6" l="1"/>
  <c r="AE804" i="6"/>
  <c r="BJ812" i="6" s="1"/>
  <c r="Q822" i="6" s="1"/>
  <c r="AO828" i="6" s="1"/>
  <c r="N772" i="6"/>
  <c r="AQ777" i="6" s="1"/>
  <c r="AQ785" i="6" s="1"/>
  <c r="J773" i="6"/>
  <c r="AS777" i="6" s="1"/>
  <c r="AS785" i="6" s="1"/>
  <c r="L772" i="6"/>
  <c r="AO777" i="6" s="1"/>
  <c r="AO785" i="6" s="1"/>
  <c r="AC804" i="6"/>
  <c r="BH812" i="6" s="1"/>
  <c r="Q824" i="6" s="1"/>
  <c r="BE828" i="6" s="1"/>
  <c r="Z804" i="6"/>
  <c r="BE812" i="6" s="1"/>
  <c r="O819" i="6" s="1"/>
  <c r="O828" i="6" s="1"/>
  <c r="M771" i="6"/>
  <c r="AJ777" i="6" s="1"/>
  <c r="AJ785" i="6" s="1"/>
  <c r="AH804" i="6"/>
  <c r="BM812" i="6" s="1"/>
  <c r="Q819" i="6" s="1"/>
  <c r="Q828" i="6" s="1"/>
  <c r="M773" i="6"/>
  <c r="AV777" i="6" s="1"/>
  <c r="AV785" i="6" s="1"/>
  <c r="O772" i="6"/>
  <c r="AR777" i="6" s="1"/>
  <c r="AR785" i="6" s="1"/>
  <c r="AF804" i="6"/>
  <c r="BK812" i="6" s="1"/>
  <c r="Q821" i="6" s="1"/>
  <c r="AG828" i="6" s="1"/>
  <c r="K773" i="6"/>
  <c r="AT777" i="6" s="1"/>
  <c r="AT785" i="6" s="1"/>
  <c r="R804" i="6"/>
  <c r="AW812" i="6" s="1"/>
  <c r="M819" i="6" s="1"/>
  <c r="M828" i="6" s="1"/>
  <c r="M769" i="6"/>
  <c r="X777" i="6" s="1"/>
  <c r="X785" i="6" s="1"/>
  <c r="O804" i="6"/>
  <c r="AT812" i="6" s="1"/>
  <c r="M822" i="6" s="1"/>
  <c r="AK828" i="6" s="1"/>
  <c r="N768" i="6"/>
  <c r="S777" i="6" s="1"/>
  <c r="S785" i="6" s="1"/>
  <c r="J769" i="6"/>
  <c r="U777" i="6" s="1"/>
  <c r="U785" i="6" s="1"/>
  <c r="T804" i="6"/>
  <c r="AY812" i="6" s="1"/>
  <c r="O825" i="6" s="1"/>
  <c r="BK828" i="6" s="1"/>
  <c r="O769" i="6"/>
  <c r="Z777" i="6" s="1"/>
  <c r="Z785" i="6" s="1"/>
  <c r="K770" i="6"/>
  <c r="AB777" i="6" s="1"/>
  <c r="AB785" i="6" s="1"/>
  <c r="O773" i="6"/>
  <c r="AX777" i="6" s="1"/>
  <c r="AX785" i="6" s="1"/>
  <c r="K766" i="6"/>
  <c r="D777" i="6" s="1"/>
  <c r="D785" i="6" s="1"/>
  <c r="D804" i="6"/>
  <c r="AI812" i="6" s="1"/>
  <c r="K825" i="6" s="1"/>
  <c r="BG828" i="6" s="1"/>
  <c r="K771" i="6"/>
  <c r="AH777" i="6" s="1"/>
  <c r="AH785" i="6" s="1"/>
  <c r="X804" i="6"/>
  <c r="BC812" i="6" s="1"/>
  <c r="O821" i="6" s="1"/>
  <c r="AE828" i="6" s="1"/>
  <c r="O770" i="6"/>
  <c r="AF777" i="6" s="1"/>
  <c r="AF785" i="6" s="1"/>
  <c r="N766" i="6"/>
  <c r="G777" i="6" s="1"/>
  <c r="G785" i="6" s="1"/>
  <c r="J767" i="6"/>
  <c r="I777" i="6" s="1"/>
  <c r="I785" i="6" s="1"/>
  <c r="G804" i="6"/>
  <c r="AL812" i="6" s="1"/>
  <c r="K822" i="6" s="1"/>
  <c r="AI828" i="6" s="1"/>
  <c r="K767" i="6"/>
  <c r="J777" i="6" s="1"/>
  <c r="J785" i="6" s="1"/>
  <c r="O766" i="6"/>
  <c r="H777" i="6" s="1"/>
  <c r="H785" i="6" s="1"/>
  <c r="H804" i="6"/>
  <c r="AM812" i="6" s="1"/>
  <c r="K821" i="6" s="1"/>
  <c r="AA828" i="6" s="1"/>
  <c r="J804" i="6"/>
  <c r="AO812" i="6" s="1"/>
  <c r="K819" i="6" s="1"/>
  <c r="K828" i="6" s="1"/>
  <c r="M767" i="6"/>
  <c r="L777" i="6" s="1"/>
  <c r="L785" i="6" s="1"/>
  <c r="U804" i="6"/>
  <c r="AZ812" i="6" s="1"/>
  <c r="O824" i="6" s="1"/>
  <c r="BC828" i="6" s="1"/>
  <c r="L770" i="6"/>
  <c r="AC777" i="6" s="1"/>
  <c r="AC785" i="6" s="1"/>
  <c r="M804" i="6"/>
  <c r="AR812" i="6" s="1"/>
  <c r="M824" i="6" s="1"/>
  <c r="BA828" i="6" s="1"/>
  <c r="L768" i="6"/>
  <c r="Q777" i="6" s="1"/>
  <c r="Q785" i="6" s="1"/>
  <c r="N804" i="6"/>
  <c r="AS812" i="6" s="1"/>
  <c r="M823" i="6" s="1"/>
  <c r="AS828" i="6" s="1"/>
  <c r="M768" i="6"/>
  <c r="R777" i="6" s="1"/>
  <c r="R785" i="6" s="1"/>
  <c r="K772" i="6"/>
  <c r="AN777" i="6" s="1"/>
  <c r="AN785" i="6" s="1"/>
  <c r="AB804" i="6"/>
  <c r="BG812" i="6" s="1"/>
  <c r="Q825" i="6" s="1"/>
  <c r="BM828" i="6" s="1"/>
  <c r="O771" i="6"/>
  <c r="AL777" i="6" s="1"/>
  <c r="AL785" i="6" s="1"/>
  <c r="N769" i="6"/>
  <c r="Y777" i="6" s="1"/>
  <c r="Y785" i="6" s="1"/>
  <c r="S804" i="6"/>
  <c r="AX812" i="6" s="1"/>
  <c r="M818" i="6" s="1"/>
  <c r="E828" i="6" s="1"/>
  <c r="J770" i="6"/>
  <c r="AA777" i="6" s="1"/>
  <c r="AA785" i="6" s="1"/>
  <c r="W804" i="6"/>
  <c r="BB812" i="6" s="1"/>
  <c r="O822" i="6" s="1"/>
  <c r="AM828" i="6" s="1"/>
  <c r="J771" i="6"/>
  <c r="AG777" i="6" s="1"/>
  <c r="AG785" i="6" s="1"/>
  <c r="N770" i="6"/>
  <c r="AE777" i="6" s="1"/>
  <c r="AE785" i="6" s="1"/>
  <c r="Y804" i="6"/>
  <c r="BD812" i="6" s="1"/>
  <c r="O820" i="6" s="1"/>
  <c r="W828" i="6" s="1"/>
  <c r="L771" i="6"/>
  <c r="AI777" i="6" s="1"/>
  <c r="AI785" i="6" s="1"/>
  <c r="AA788" i="6" l="1"/>
  <c r="C788" i="6"/>
  <c r="AG787" i="6"/>
  <c r="AA787" i="6"/>
  <c r="AS787" i="6"/>
  <c r="AM787" i="6"/>
  <c r="O787" i="6"/>
  <c r="O790" i="6" s="1"/>
  <c r="I787" i="6"/>
  <c r="AS788" i="6"/>
  <c r="AG788" i="6"/>
  <c r="C787" i="6"/>
  <c r="U787" i="6"/>
  <c r="AM788" i="6"/>
  <c r="I788" i="6"/>
  <c r="U788" i="6"/>
  <c r="AA790" i="6" l="1"/>
  <c r="AB792" i="6" s="1"/>
  <c r="I790" i="6"/>
  <c r="I792" i="6" s="1"/>
  <c r="AG790" i="6"/>
  <c r="AJ792" i="6" s="1"/>
  <c r="C790" i="6"/>
  <c r="C792" i="6" s="1"/>
  <c r="AM790" i="6"/>
  <c r="AS790" i="6"/>
  <c r="U790" i="6"/>
  <c r="P792" i="6"/>
  <c r="Q792" i="6"/>
  <c r="O792" i="6"/>
  <c r="R792" i="6"/>
  <c r="AC792" i="6" l="1"/>
  <c r="AC793" i="6" s="1"/>
  <c r="U795" i="6" s="1"/>
  <c r="Z798" i="6" s="1"/>
  <c r="AA807" i="6" s="1"/>
  <c r="AA792" i="6"/>
  <c r="AA793" i="6" s="1"/>
  <c r="S795" i="6" s="1"/>
  <c r="D798" i="6" s="1"/>
  <c r="E807" i="6" s="1"/>
  <c r="K792" i="6"/>
  <c r="K793" i="6" s="1"/>
  <c r="I795" i="6" s="1"/>
  <c r="AD798" i="6" s="1"/>
  <c r="AE807" i="6" s="1"/>
  <c r="J792" i="6"/>
  <c r="J793" i="6" s="1"/>
  <c r="H795" i="6" s="1"/>
  <c r="N798" i="6" s="1"/>
  <c r="O807" i="6" s="1"/>
  <c r="L792" i="6"/>
  <c r="L793" i="6" s="1"/>
  <c r="J795" i="6" s="1"/>
  <c r="S798" i="6" s="1"/>
  <c r="T807" i="6" s="1"/>
  <c r="E792" i="6"/>
  <c r="E793" i="6" s="1"/>
  <c r="E795" i="6" s="1"/>
  <c r="V798" i="6" s="1"/>
  <c r="W807" i="6" s="1"/>
  <c r="AG792" i="6"/>
  <c r="AG793" i="6" s="1"/>
  <c r="W795" i="6" s="1"/>
  <c r="AH798" i="6" s="1"/>
  <c r="AI807" i="6" s="1"/>
  <c r="AD792" i="6"/>
  <c r="AD793" i="6" s="1"/>
  <c r="V795" i="6" s="1"/>
  <c r="P798" i="6" s="1"/>
  <c r="Q807" i="6" s="1"/>
  <c r="D792" i="6"/>
  <c r="D793" i="6" s="1"/>
  <c r="D795" i="6" s="1"/>
  <c r="I798" i="6" s="1"/>
  <c r="J807" i="6" s="1"/>
  <c r="AH792" i="6"/>
  <c r="AH793" i="6" s="1"/>
  <c r="X795" i="6" s="1"/>
  <c r="AC798" i="6" s="1"/>
  <c r="AD807" i="6" s="1"/>
  <c r="F792" i="6"/>
  <c r="F793" i="6" s="1"/>
  <c r="F795" i="6" s="1"/>
  <c r="W798" i="6" s="1"/>
  <c r="X807" i="6" s="1"/>
  <c r="AI792" i="6"/>
  <c r="AI793" i="6" s="1"/>
  <c r="Y795" i="6" s="1"/>
  <c r="E798" i="6" s="1"/>
  <c r="F807" i="6" s="1"/>
  <c r="C793" i="6"/>
  <c r="C795" i="6" s="1"/>
  <c r="R798" i="6" s="1"/>
  <c r="S807" i="6" s="1"/>
  <c r="Q793" i="6"/>
  <c r="M795" i="6" s="1"/>
  <c r="Y798" i="6" s="1"/>
  <c r="Z807" i="6" s="1"/>
  <c r="AN792" i="6"/>
  <c r="AO792" i="6"/>
  <c r="AP792" i="6"/>
  <c r="AM792" i="6"/>
  <c r="P793" i="6"/>
  <c r="L795" i="6" s="1"/>
  <c r="Q798" i="6" s="1"/>
  <c r="R807" i="6" s="1"/>
  <c r="AJ793" i="6"/>
  <c r="Z795" i="6" s="1"/>
  <c r="K798" i="6" s="1"/>
  <c r="L807" i="6" s="1"/>
  <c r="I793" i="6"/>
  <c r="G795" i="6" s="1"/>
  <c r="AE798" i="6" s="1"/>
  <c r="AF807" i="6" s="1"/>
  <c r="R793" i="6"/>
  <c r="N795" i="6" s="1"/>
  <c r="AB798" i="6" s="1"/>
  <c r="AC807" i="6" s="1"/>
  <c r="AB793" i="6"/>
  <c r="T795" i="6" s="1"/>
  <c r="J798" i="6" s="1"/>
  <c r="K807" i="6" s="1"/>
  <c r="U792" i="6"/>
  <c r="X792" i="6"/>
  <c r="W792" i="6"/>
  <c r="V792" i="6"/>
  <c r="AS792" i="6"/>
  <c r="AV792" i="6"/>
  <c r="AT792" i="6"/>
  <c r="AU792" i="6"/>
  <c r="O793" i="6"/>
  <c r="K795" i="6" s="1"/>
  <c r="C798" i="6" s="1"/>
  <c r="D807" i="6" s="1"/>
  <c r="AC812" i="6" l="1"/>
  <c r="R823" i="6" s="1"/>
  <c r="AX828" i="6" s="1"/>
  <c r="AH812" i="6"/>
  <c r="R818" i="6" s="1"/>
  <c r="J828" i="6" s="1"/>
  <c r="E812" i="6"/>
  <c r="L823" i="6" s="1"/>
  <c r="AR828" i="6" s="1"/>
  <c r="Q812" i="6"/>
  <c r="N819" i="6" s="1"/>
  <c r="N828" i="6" s="1"/>
  <c r="C812" i="6"/>
  <c r="L825" i="6" s="1"/>
  <c r="BH828" i="6" s="1"/>
  <c r="K812" i="6"/>
  <c r="R812" i="6"/>
  <c r="N818" i="6" s="1"/>
  <c r="F828" i="6" s="1"/>
  <c r="D812" i="6"/>
  <c r="L824" i="6" s="1"/>
  <c r="AZ828" i="6" s="1"/>
  <c r="AB812" i="6"/>
  <c r="R824" i="6" s="1"/>
  <c r="BF828" i="6" s="1"/>
  <c r="Z812" i="6"/>
  <c r="P818" i="6" s="1"/>
  <c r="H828" i="6" s="1"/>
  <c r="S812" i="6"/>
  <c r="P825" i="6" s="1"/>
  <c r="BL828" i="6" s="1"/>
  <c r="W812" i="6"/>
  <c r="P821" i="6" s="1"/>
  <c r="AF828" i="6" s="1"/>
  <c r="N812" i="6"/>
  <c r="N822" i="6" s="1"/>
  <c r="AL828" i="6" s="1"/>
  <c r="AD812" i="6"/>
  <c r="R822" i="6" s="1"/>
  <c r="AP828" i="6" s="1"/>
  <c r="J812" i="6"/>
  <c r="L818" i="6" s="1"/>
  <c r="AE812" i="6"/>
  <c r="R821" i="6" s="1"/>
  <c r="AH828" i="6" s="1"/>
  <c r="P812" i="6"/>
  <c r="N820" i="6" s="1"/>
  <c r="V828" i="6" s="1"/>
  <c r="I812" i="6"/>
  <c r="L819" i="6" s="1"/>
  <c r="L828" i="6" s="1"/>
  <c r="Y812" i="6"/>
  <c r="P819" i="6" s="1"/>
  <c r="P828" i="6" s="1"/>
  <c r="V812" i="6"/>
  <c r="P822" i="6" s="1"/>
  <c r="AN828" i="6" s="1"/>
  <c r="W793" i="6"/>
  <c r="Q795" i="6" s="1"/>
  <c r="AG798" i="6" s="1"/>
  <c r="AH807" i="6" s="1"/>
  <c r="AV793" i="6"/>
  <c r="AH795" i="6" s="1"/>
  <c r="AA798" i="6" s="1"/>
  <c r="AB807" i="6" s="1"/>
  <c r="X793" i="6"/>
  <c r="R795" i="6" s="1"/>
  <c r="L798" i="6" s="1"/>
  <c r="M807" i="6" s="1"/>
  <c r="AS793" i="6"/>
  <c r="AE795" i="6" s="1"/>
  <c r="X798" i="6" s="1"/>
  <c r="Y807" i="6" s="1"/>
  <c r="U793" i="6"/>
  <c r="O795" i="6" s="1"/>
  <c r="G798" i="6" s="1"/>
  <c r="H807" i="6" s="1"/>
  <c r="AU793" i="6"/>
  <c r="AG795" i="6" s="1"/>
  <c r="F798" i="6" s="1"/>
  <c r="G807" i="6" s="1"/>
  <c r="V793" i="6"/>
  <c r="P795" i="6" s="1"/>
  <c r="T798" i="6" s="1"/>
  <c r="U807" i="6" s="1"/>
  <c r="AM793" i="6"/>
  <c r="AA795" i="6" s="1"/>
  <c r="U798" i="6" s="1"/>
  <c r="V807" i="6" s="1"/>
  <c r="AT793" i="6"/>
  <c r="AF795" i="6" s="1"/>
  <c r="M798" i="6" s="1"/>
  <c r="N807" i="6" s="1"/>
  <c r="AP793" i="6"/>
  <c r="AD795" i="6" s="1"/>
  <c r="H798" i="6" s="1"/>
  <c r="I807" i="6" s="1"/>
  <c r="AO793" i="6"/>
  <c r="AC795" i="6" s="1"/>
  <c r="AF798" i="6" s="1"/>
  <c r="AG807" i="6" s="1"/>
  <c r="AN793" i="6"/>
  <c r="AB795" i="6" s="1"/>
  <c r="O798" i="6" s="1"/>
  <c r="P807" i="6" s="1"/>
  <c r="H812" i="6" l="1"/>
  <c r="L820" i="6" s="1"/>
  <c r="T828" i="6" s="1"/>
  <c r="AA812" i="6"/>
  <c r="R825" i="6" s="1"/>
  <c r="BN828" i="6" s="1"/>
  <c r="O812" i="6"/>
  <c r="N821" i="6" s="1"/>
  <c r="AD828" i="6" s="1"/>
  <c r="X812" i="6"/>
  <c r="P820" i="6" s="1"/>
  <c r="X828" i="6" s="1"/>
  <c r="F812" i="6"/>
  <c r="L822" i="6" s="1"/>
  <c r="AJ828" i="6" s="1"/>
  <c r="U812" i="6"/>
  <c r="P823" i="6" s="1"/>
  <c r="AV828" i="6" s="1"/>
  <c r="AF812" i="6"/>
  <c r="R820" i="6" s="1"/>
  <c r="Z828" i="6" s="1"/>
  <c r="M812" i="6"/>
  <c r="N823" i="6" s="1"/>
  <c r="AT828" i="6" s="1"/>
  <c r="T812" i="6"/>
  <c r="P824" i="6" s="1"/>
  <c r="BD828" i="6" s="1"/>
  <c r="G812" i="6"/>
  <c r="L821" i="6" s="1"/>
  <c r="AB828" i="6" s="1"/>
  <c r="L812" i="6"/>
  <c r="N824" i="6" s="1"/>
  <c r="BB828" i="6" s="1"/>
  <c r="AG812" i="6"/>
  <c r="R819" i="6" s="1"/>
  <c r="R828" i="6" s="1"/>
  <c r="K829" i="6" s="1"/>
  <c r="K830" i="6" s="1"/>
  <c r="I833" i="6" s="1"/>
  <c r="AI829" i="6"/>
  <c r="AI830" i="6" s="1"/>
  <c r="L833" i="6" s="1"/>
  <c r="D828" i="6"/>
  <c r="C829" i="6" s="1"/>
  <c r="C830" i="6" s="1"/>
  <c r="H833" i="6" s="1"/>
  <c r="N825" i="6"/>
  <c r="BJ828" i="6" s="1"/>
  <c r="AQ829" i="6" l="1"/>
  <c r="AQ830" i="6" s="1"/>
  <c r="M833" i="6" s="1"/>
  <c r="BG829" i="6"/>
  <c r="BG830" i="6" s="1"/>
  <c r="O833" i="6" s="1"/>
  <c r="AA829" i="6"/>
  <c r="AA830" i="6" s="1"/>
  <c r="K833" i="6" s="1"/>
  <c r="AY829" i="6"/>
  <c r="AY830" i="6" s="1"/>
  <c r="N833" i="6" s="1"/>
  <c r="S829" i="6"/>
  <c r="S830" i="6" s="1"/>
  <c r="J83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</t>
        </r>
      </text>
    </comment>
    <comment ref="K4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</t>
        </r>
      </text>
    </comment>
    <comment ref="L4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</t>
        </r>
      </text>
    </comment>
    <comment ref="M4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</t>
        </r>
      </text>
    </comment>
    <comment ref="N46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5</t>
        </r>
      </text>
    </comment>
    <comment ref="O46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6</t>
        </r>
      </text>
    </comment>
    <comment ref="P46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7</t>
        </r>
      </text>
    </comment>
    <comment ref="Q46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</t>
        </r>
      </text>
    </comment>
  </commentList>
</comments>
</file>

<file path=xl/sharedStrings.xml><?xml version="1.0" encoding="utf-8"?>
<sst xmlns="http://schemas.openxmlformats.org/spreadsheetml/2006/main" count="1847" uniqueCount="659">
  <si>
    <t>L</t>
  </si>
  <si>
    <t>symbol</t>
  </si>
  <si>
    <t>DEC</t>
  </si>
  <si>
    <t>Binary</t>
  </si>
  <si>
    <t>00000000</t>
  </si>
  <si>
    <t>00000001</t>
  </si>
  <si>
    <t>00000010</t>
  </si>
  <si>
    <t>00000011</t>
  </si>
  <si>
    <t>00000100</t>
  </si>
  <si>
    <t>00000101</t>
  </si>
  <si>
    <t>00000110</t>
  </si>
  <si>
    <t>00000111</t>
  </si>
  <si>
    <t>00001000</t>
  </si>
  <si>
    <t>00001001</t>
  </si>
  <si>
    <t>00001010</t>
  </si>
  <si>
    <t>00001011</t>
  </si>
  <si>
    <t>00001100</t>
  </si>
  <si>
    <t>00001101</t>
  </si>
  <si>
    <t>00001110</t>
  </si>
  <si>
    <t>00001111</t>
  </si>
  <si>
    <t>00010000</t>
  </si>
  <si>
    <t>00010001</t>
  </si>
  <si>
    <t>00010010</t>
  </si>
  <si>
    <t>00010011</t>
  </si>
  <si>
    <t>00010100</t>
  </si>
  <si>
    <t>00010101</t>
  </si>
  <si>
    <t>00010110</t>
  </si>
  <si>
    <t>00010111</t>
  </si>
  <si>
    <t>00011000</t>
  </si>
  <si>
    <t>00011001</t>
  </si>
  <si>
    <t>00011010</t>
  </si>
  <si>
    <t>00011011</t>
  </si>
  <si>
    <t>00011100</t>
  </si>
  <si>
    <t>00011101</t>
  </si>
  <si>
    <t>00011110</t>
  </si>
  <si>
    <t>00011111</t>
  </si>
  <si>
    <t>00100000</t>
  </si>
  <si>
    <t>00100001</t>
  </si>
  <si>
    <t>00100010</t>
  </si>
  <si>
    <t>00100011</t>
  </si>
  <si>
    <t>00100100</t>
  </si>
  <si>
    <t>00100101</t>
  </si>
  <si>
    <t>00100110</t>
  </si>
  <si>
    <t>00100111</t>
  </si>
  <si>
    <t>00101000</t>
  </si>
  <si>
    <t>00101001</t>
  </si>
  <si>
    <t>00101010</t>
  </si>
  <si>
    <t>00101011</t>
  </si>
  <si>
    <t>00101100</t>
  </si>
  <si>
    <t>00101101</t>
  </si>
  <si>
    <t>00101110</t>
  </si>
  <si>
    <t>00101111</t>
  </si>
  <si>
    <t>00110000</t>
  </si>
  <si>
    <t>00110001</t>
  </si>
  <si>
    <t>00110010</t>
  </si>
  <si>
    <t>00110011</t>
  </si>
  <si>
    <t>00110100</t>
  </si>
  <si>
    <t>00110101</t>
  </si>
  <si>
    <t>00110110</t>
  </si>
  <si>
    <t>00110111</t>
  </si>
  <si>
    <t>00111000</t>
  </si>
  <si>
    <t>00111001</t>
  </si>
  <si>
    <t>00111010</t>
  </si>
  <si>
    <t>00111011</t>
  </si>
  <si>
    <t>00111100</t>
  </si>
  <si>
    <t>00111101</t>
  </si>
  <si>
    <t>00111110</t>
  </si>
  <si>
    <t>00111111</t>
  </si>
  <si>
    <t>01000000</t>
  </si>
  <si>
    <t>01000001</t>
  </si>
  <si>
    <t>01000010</t>
  </si>
  <si>
    <t>01000011</t>
  </si>
  <si>
    <t>01000100</t>
  </si>
  <si>
    <t>01000101</t>
  </si>
  <si>
    <t>01000110</t>
  </si>
  <si>
    <t>01000111</t>
  </si>
  <si>
    <t>01001000</t>
  </si>
  <si>
    <t>01001001</t>
  </si>
  <si>
    <t>01001010</t>
  </si>
  <si>
    <t>01001011</t>
  </si>
  <si>
    <t>01001100</t>
  </si>
  <si>
    <t>01001101</t>
  </si>
  <si>
    <t>01001110</t>
  </si>
  <si>
    <t>01001111</t>
  </si>
  <si>
    <t>01010000</t>
  </si>
  <si>
    <t>01010001</t>
  </si>
  <si>
    <t>01010010</t>
  </si>
  <si>
    <t>01010011</t>
  </si>
  <si>
    <t>01010100</t>
  </si>
  <si>
    <t>01010101</t>
  </si>
  <si>
    <t>01010110</t>
  </si>
  <si>
    <t>01010111</t>
  </si>
  <si>
    <t>01011000</t>
  </si>
  <si>
    <t>01011001</t>
  </si>
  <si>
    <t>01011010</t>
  </si>
  <si>
    <t>01011011</t>
  </si>
  <si>
    <t>01011100</t>
  </si>
  <si>
    <t>01011101</t>
  </si>
  <si>
    <t>01011110</t>
  </si>
  <si>
    <t>01011111</t>
  </si>
  <si>
    <t>01100000</t>
  </si>
  <si>
    <t>01100001</t>
  </si>
  <si>
    <t>01100010</t>
  </si>
  <si>
    <t>01100011</t>
  </si>
  <si>
    <t>01100100</t>
  </si>
  <si>
    <t>01100101</t>
  </si>
  <si>
    <t>01100110</t>
  </si>
  <si>
    <t>01100111</t>
  </si>
  <si>
    <t>01101000</t>
  </si>
  <si>
    <t>01101001</t>
  </si>
  <si>
    <t>01101010</t>
  </si>
  <si>
    <t>01101011</t>
  </si>
  <si>
    <t>01101100</t>
  </si>
  <si>
    <t>01101101</t>
  </si>
  <si>
    <t>01101110</t>
  </si>
  <si>
    <t>01101111</t>
  </si>
  <si>
    <t>01110000</t>
  </si>
  <si>
    <t>01110001</t>
  </si>
  <si>
    <t>01110010</t>
  </si>
  <si>
    <t>01110011</t>
  </si>
  <si>
    <t>01110100</t>
  </si>
  <si>
    <t>01110101</t>
  </si>
  <si>
    <t>01110110</t>
  </si>
  <si>
    <t>01110111</t>
  </si>
  <si>
    <t>01111000</t>
  </si>
  <si>
    <t>01111001</t>
  </si>
  <si>
    <t>01111010</t>
  </si>
  <si>
    <t>01111011</t>
  </si>
  <si>
    <t>01111100</t>
  </si>
  <si>
    <t>01111101</t>
  </si>
  <si>
    <t>01111110</t>
  </si>
  <si>
    <t>01111111</t>
  </si>
  <si>
    <t>10000000</t>
  </si>
  <si>
    <t>10000001</t>
  </si>
  <si>
    <t>10000010</t>
  </si>
  <si>
    <t>10000011</t>
  </si>
  <si>
    <t>10000100</t>
  </si>
  <si>
    <t>10000101</t>
  </si>
  <si>
    <t>10000110</t>
  </si>
  <si>
    <t>10000111</t>
  </si>
  <si>
    <t>10001000</t>
  </si>
  <si>
    <t>10001001</t>
  </si>
  <si>
    <t>10001010</t>
  </si>
  <si>
    <t>10001011</t>
  </si>
  <si>
    <t>10001100</t>
  </si>
  <si>
    <t>10001101</t>
  </si>
  <si>
    <t>10001110</t>
  </si>
  <si>
    <t>10001111</t>
  </si>
  <si>
    <t>10010000</t>
  </si>
  <si>
    <t>10010001</t>
  </si>
  <si>
    <t>10010010</t>
  </si>
  <si>
    <t>10010011</t>
  </si>
  <si>
    <t>10010100</t>
  </si>
  <si>
    <t>10010101</t>
  </si>
  <si>
    <t>10010110</t>
  </si>
  <si>
    <t>10010111</t>
  </si>
  <si>
    <t>10011000</t>
  </si>
  <si>
    <t>10011001</t>
  </si>
  <si>
    <t>10011010</t>
  </si>
  <si>
    <t>10011011</t>
  </si>
  <si>
    <t>10011100</t>
  </si>
  <si>
    <t>10011101</t>
  </si>
  <si>
    <t>10011110</t>
  </si>
  <si>
    <t>10011111</t>
  </si>
  <si>
    <t>10100000</t>
  </si>
  <si>
    <t>10100001</t>
  </si>
  <si>
    <t>10100010</t>
  </si>
  <si>
    <t>10100011</t>
  </si>
  <si>
    <t>10100100</t>
  </si>
  <si>
    <t>10100101</t>
  </si>
  <si>
    <t>10100110</t>
  </si>
  <si>
    <t>10100111</t>
  </si>
  <si>
    <t>10101000</t>
  </si>
  <si>
    <t>10101001</t>
  </si>
  <si>
    <t>10101010</t>
  </si>
  <si>
    <t>10101011</t>
  </si>
  <si>
    <t>10101100</t>
  </si>
  <si>
    <t>10101101</t>
  </si>
  <si>
    <t>10101110</t>
  </si>
  <si>
    <t>10101111</t>
  </si>
  <si>
    <t>10110000</t>
  </si>
  <si>
    <t>10110001</t>
  </si>
  <si>
    <t>10110010</t>
  </si>
  <si>
    <t>10110011</t>
  </si>
  <si>
    <t>10110100</t>
  </si>
  <si>
    <t>10110101</t>
  </si>
  <si>
    <t>10110110</t>
  </si>
  <si>
    <t>10110111</t>
  </si>
  <si>
    <t>10111000</t>
  </si>
  <si>
    <t>10111001</t>
  </si>
  <si>
    <t>10111010</t>
  </si>
  <si>
    <t>10111011</t>
  </si>
  <si>
    <t>10111100</t>
  </si>
  <si>
    <t>10111101</t>
  </si>
  <si>
    <t>10111110</t>
  </si>
  <si>
    <t>10111111</t>
  </si>
  <si>
    <t>11000000</t>
  </si>
  <si>
    <t>11000001</t>
  </si>
  <si>
    <t>11000010</t>
  </si>
  <si>
    <t>11000011</t>
  </si>
  <si>
    <t>11000100</t>
  </si>
  <si>
    <t>11000101</t>
  </si>
  <si>
    <t>11000110</t>
  </si>
  <si>
    <t>11000111</t>
  </si>
  <si>
    <t>11001000</t>
  </si>
  <si>
    <t>11001001</t>
  </si>
  <si>
    <t>11001010</t>
  </si>
  <si>
    <t>11001011</t>
  </si>
  <si>
    <t>11001100</t>
  </si>
  <si>
    <t>11001101</t>
  </si>
  <si>
    <t>11001110</t>
  </si>
  <si>
    <t>11001111</t>
  </si>
  <si>
    <t>11010000</t>
  </si>
  <si>
    <t>11010001</t>
  </si>
  <si>
    <t>11010010</t>
  </si>
  <si>
    <t>11010011</t>
  </si>
  <si>
    <t>11010100</t>
  </si>
  <si>
    <t>11010101</t>
  </si>
  <si>
    <t>11010110</t>
  </si>
  <si>
    <t>11010111</t>
  </si>
  <si>
    <t>11011000</t>
  </si>
  <si>
    <t>11011001</t>
  </si>
  <si>
    <t>11011010</t>
  </si>
  <si>
    <t>11011011</t>
  </si>
  <si>
    <t>11011100</t>
  </si>
  <si>
    <t>11011101</t>
  </si>
  <si>
    <t>11011110</t>
  </si>
  <si>
    <t>11011111</t>
  </si>
  <si>
    <t>11100000</t>
  </si>
  <si>
    <t>11100001</t>
  </si>
  <si>
    <t>11100010</t>
  </si>
  <si>
    <t>11100011</t>
  </si>
  <si>
    <t>11100100</t>
  </si>
  <si>
    <t>11100101</t>
  </si>
  <si>
    <t>11100110</t>
  </si>
  <si>
    <t>11100111</t>
  </si>
  <si>
    <t>11101000</t>
  </si>
  <si>
    <t>11101001</t>
  </si>
  <si>
    <t>11101010</t>
  </si>
  <si>
    <t>11101011</t>
  </si>
  <si>
    <t>11101100</t>
  </si>
  <si>
    <t>11101101</t>
  </si>
  <si>
    <t>11101110</t>
  </si>
  <si>
    <t>11101111</t>
  </si>
  <si>
    <t>11110000</t>
  </si>
  <si>
    <t>11110001</t>
  </si>
  <si>
    <t>11110010</t>
  </si>
  <si>
    <t>11110011</t>
  </si>
  <si>
    <t>11110100</t>
  </si>
  <si>
    <t>11110101</t>
  </si>
  <si>
    <t>11110110</t>
  </si>
  <si>
    <t>11110111</t>
  </si>
  <si>
    <t>11111000</t>
  </si>
  <si>
    <t>11111001</t>
  </si>
  <si>
    <t>11111010</t>
  </si>
  <si>
    <t>11111011</t>
  </si>
  <si>
    <t>11111100</t>
  </si>
  <si>
    <t>11111101</t>
  </si>
  <si>
    <t>11111110</t>
  </si>
  <si>
    <t>11111111</t>
  </si>
  <si>
    <t>G</t>
  </si>
  <si>
    <t>O</t>
  </si>
  <si>
    <t>V</t>
  </si>
  <si>
    <t>A</t>
  </si>
  <si>
    <t>N</t>
  </si>
  <si>
    <t>D</t>
  </si>
  <si>
    <t>S</t>
  </si>
  <si>
    <t>K</t>
  </si>
  <si>
    <t>R</t>
  </si>
  <si>
    <t>H</t>
  </si>
  <si>
    <t>M</t>
  </si>
  <si>
    <t>1A</t>
  </si>
  <si>
    <t>1B</t>
  </si>
  <si>
    <t>1C</t>
  </si>
  <si>
    <t>1D</t>
  </si>
  <si>
    <t>1E</t>
  </si>
  <si>
    <t>1F</t>
  </si>
  <si>
    <t>1G</t>
  </si>
  <si>
    <t>1H</t>
  </si>
  <si>
    <t>1I</t>
  </si>
  <si>
    <t>1J</t>
  </si>
  <si>
    <t>1K</t>
  </si>
  <si>
    <t>1L</t>
  </si>
  <si>
    <t>1M</t>
  </si>
  <si>
    <t>1N</t>
  </si>
  <si>
    <t>1O</t>
  </si>
  <si>
    <t>1P</t>
  </si>
  <si>
    <t>1Q</t>
  </si>
  <si>
    <t>1R</t>
  </si>
  <si>
    <t>1S</t>
  </si>
  <si>
    <t>1T</t>
  </si>
  <si>
    <t>1U</t>
  </si>
  <si>
    <t>1V</t>
  </si>
  <si>
    <t>1W</t>
  </si>
  <si>
    <t>1X</t>
  </si>
  <si>
    <t>1Y</t>
  </si>
  <si>
    <t>1Z</t>
  </si>
  <si>
    <t>2A</t>
  </si>
  <si>
    <t>2B</t>
  </si>
  <si>
    <t>2C</t>
  </si>
  <si>
    <t>2D</t>
  </si>
  <si>
    <t>2E</t>
  </si>
  <si>
    <t>2F</t>
  </si>
  <si>
    <t>2G</t>
  </si>
  <si>
    <t>2H</t>
  </si>
  <si>
    <t>2I</t>
  </si>
  <si>
    <t>2J</t>
  </si>
  <si>
    <t>2K</t>
  </si>
  <si>
    <t>2L</t>
  </si>
  <si>
    <t>2M</t>
  </si>
  <si>
    <t>2N</t>
  </si>
  <si>
    <t>2O</t>
  </si>
  <si>
    <t>2P</t>
  </si>
  <si>
    <t>2Q</t>
  </si>
  <si>
    <t>2R</t>
  </si>
  <si>
    <t>2S</t>
  </si>
  <si>
    <t>2T</t>
  </si>
  <si>
    <t>2U</t>
  </si>
  <si>
    <t>2V</t>
  </si>
  <si>
    <t>2W</t>
  </si>
  <si>
    <t>2X</t>
  </si>
  <si>
    <t>2Y</t>
  </si>
  <si>
    <t>2Z</t>
  </si>
  <si>
    <t>3A</t>
  </si>
  <si>
    <t>3B</t>
  </si>
  <si>
    <t>3C</t>
  </si>
  <si>
    <t>3D</t>
  </si>
  <si>
    <t>3E</t>
  </si>
  <si>
    <t>3F</t>
  </si>
  <si>
    <t>3G</t>
  </si>
  <si>
    <t>3H</t>
  </si>
  <si>
    <t>3I</t>
  </si>
  <si>
    <t>3J</t>
  </si>
  <si>
    <t>3K</t>
  </si>
  <si>
    <t>3L</t>
  </si>
  <si>
    <t>3M</t>
  </si>
  <si>
    <t>3N</t>
  </si>
  <si>
    <t>3O</t>
  </si>
  <si>
    <t>3P</t>
  </si>
  <si>
    <t>3Q</t>
  </si>
  <si>
    <t>3R</t>
  </si>
  <si>
    <t>3S</t>
  </si>
  <si>
    <t>3T</t>
  </si>
  <si>
    <t>3U</t>
  </si>
  <si>
    <t>3V</t>
  </si>
  <si>
    <t>3W</t>
  </si>
  <si>
    <t>3X</t>
  </si>
  <si>
    <t>3Y</t>
  </si>
  <si>
    <t>3Z</t>
  </si>
  <si>
    <t>4A</t>
  </si>
  <si>
    <t>4B</t>
  </si>
  <si>
    <t>4C</t>
  </si>
  <si>
    <t>4D</t>
  </si>
  <si>
    <t>4E</t>
  </si>
  <si>
    <t>4F</t>
  </si>
  <si>
    <t>4G</t>
  </si>
  <si>
    <t>4H</t>
  </si>
  <si>
    <t>4I</t>
  </si>
  <si>
    <t>4J</t>
  </si>
  <si>
    <t>4K</t>
  </si>
  <si>
    <t>4L</t>
  </si>
  <si>
    <t>4M</t>
  </si>
  <si>
    <t>4N</t>
  </si>
  <si>
    <t>4O</t>
  </si>
  <si>
    <t>4P</t>
  </si>
  <si>
    <t>4Q</t>
  </si>
  <si>
    <t>4R</t>
  </si>
  <si>
    <t>4S</t>
  </si>
  <si>
    <t>4T</t>
  </si>
  <si>
    <t>4U</t>
  </si>
  <si>
    <t>4V</t>
  </si>
  <si>
    <t>4W</t>
  </si>
  <si>
    <t>4X</t>
  </si>
  <si>
    <t>4Y</t>
  </si>
  <si>
    <t>4Z</t>
  </si>
  <si>
    <t>B</t>
  </si>
  <si>
    <t>C</t>
  </si>
  <si>
    <t>E</t>
  </si>
  <si>
    <t>F</t>
  </si>
  <si>
    <t>I</t>
  </si>
  <si>
    <t>J</t>
  </si>
  <si>
    <t>P</t>
  </si>
  <si>
    <t>Q</t>
  </si>
  <si>
    <t>T</t>
  </si>
  <si>
    <t>U</t>
  </si>
  <si>
    <t>W</t>
  </si>
  <si>
    <t>X</t>
  </si>
  <si>
    <t>Y</t>
  </si>
  <si>
    <t>Z</t>
  </si>
  <si>
    <t>@</t>
  </si>
  <si>
    <t>$</t>
  </si>
  <si>
    <t>(</t>
  </si>
  <si>
    <t>)</t>
  </si>
  <si>
    <t>*</t>
  </si>
  <si>
    <t>&amp;</t>
  </si>
  <si>
    <t>%</t>
  </si>
  <si>
    <t>^</t>
  </si>
  <si>
    <t>\</t>
  </si>
  <si>
    <t>?</t>
  </si>
  <si>
    <t>.</t>
  </si>
  <si>
    <t>,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</si>
  <si>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</si>
  <si>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</si>
  <si>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</si>
  <si>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</si>
  <si>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</si>
  <si>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</si>
  <si>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</si>
  <si>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</si>
  <si>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</si>
  <si>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</si>
  <si>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</si>
  <si>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</si>
  <si>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</si>
  <si>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</si>
  <si>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</si>
  <si>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</si>
  <si>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</si>
  <si>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</si>
  <si>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</si>
  <si>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</si>
  <si>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</si>
  <si>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</si>
  <si>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</si>
  <si>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</si>
  <si>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</si>
  <si>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</si>
  <si>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1a</t>
  </si>
  <si>
    <t>1b</t>
  </si>
  <si>
    <t>1c</t>
  </si>
  <si>
    <t>1d</t>
  </si>
  <si>
    <t>1e</t>
  </si>
  <si>
    <t>1f</t>
  </si>
  <si>
    <t>1g</t>
  </si>
  <si>
    <t>1h</t>
  </si>
  <si>
    <t>1i</t>
  </si>
  <si>
    <t>1j</t>
  </si>
  <si>
    <t>1k</t>
  </si>
  <si>
    <t>1l</t>
  </si>
  <si>
    <t>1m</t>
  </si>
  <si>
    <t>1n</t>
  </si>
  <si>
    <t>1o</t>
  </si>
  <si>
    <t>1p</t>
  </si>
  <si>
    <t>1q</t>
  </si>
  <si>
    <t>1r</t>
  </si>
  <si>
    <t>1s</t>
  </si>
  <si>
    <t>1t</t>
  </si>
  <si>
    <t>1u</t>
  </si>
  <si>
    <t>1v</t>
  </si>
  <si>
    <t>1w</t>
  </si>
  <si>
    <t>1x</t>
  </si>
  <si>
    <t>1y</t>
  </si>
  <si>
    <t>1z</t>
  </si>
  <si>
    <t>2a</t>
  </si>
  <si>
    <t>2b</t>
  </si>
  <si>
    <t>2c</t>
  </si>
  <si>
    <t>2d</t>
  </si>
  <si>
    <t>2e</t>
  </si>
  <si>
    <t>2f</t>
  </si>
  <si>
    <t>2g</t>
  </si>
  <si>
    <t>2h</t>
  </si>
  <si>
    <t>2i</t>
  </si>
  <si>
    <t>2j</t>
  </si>
  <si>
    <t>2k</t>
  </si>
  <si>
    <t>2l</t>
  </si>
  <si>
    <t>2m</t>
  </si>
  <si>
    <t>2n</t>
  </si>
  <si>
    <t>2o</t>
  </si>
  <si>
    <t>2p</t>
  </si>
  <si>
    <t>2q</t>
  </si>
  <si>
    <t>2r</t>
  </si>
  <si>
    <t>2s</t>
  </si>
  <si>
    <t>2t</t>
  </si>
  <si>
    <t>2u</t>
  </si>
  <si>
    <t>2v</t>
  </si>
  <si>
    <t>2w</t>
  </si>
  <si>
    <t>2x</t>
  </si>
  <si>
    <t>2y</t>
  </si>
  <si>
    <t>2z</t>
  </si>
  <si>
    <t>3a</t>
  </si>
  <si>
    <t>3b</t>
  </si>
  <si>
    <t>3c</t>
  </si>
  <si>
    <t>3d</t>
  </si>
  <si>
    <t>3e</t>
  </si>
  <si>
    <t>3f</t>
  </si>
  <si>
    <t>3g</t>
  </si>
  <si>
    <t>3h</t>
  </si>
  <si>
    <t>3i</t>
  </si>
  <si>
    <t>3j</t>
  </si>
  <si>
    <t>3k</t>
  </si>
  <si>
    <t>3l</t>
  </si>
  <si>
    <t>3m</t>
  </si>
  <si>
    <t>3n</t>
  </si>
  <si>
    <t>3o</t>
  </si>
  <si>
    <t>3p</t>
  </si>
  <si>
    <t>3q</t>
  </si>
  <si>
    <t>3r</t>
  </si>
  <si>
    <t>3s</t>
  </si>
  <si>
    <t>3t</t>
  </si>
  <si>
    <t>3u</t>
  </si>
  <si>
    <t>3v</t>
  </si>
  <si>
    <t>3w</t>
  </si>
  <si>
    <t>3x</t>
  </si>
  <si>
    <t>3y</t>
  </si>
  <si>
    <t>3z</t>
  </si>
  <si>
    <t>PC1</t>
  </si>
  <si>
    <t>56 key</t>
  </si>
  <si>
    <t>→</t>
  </si>
  <si>
    <t>LEFT-0</t>
  </si>
  <si>
    <t>RIGHT-0</t>
  </si>
  <si>
    <t>SHIFT BY 1</t>
  </si>
  <si>
    <t>LEFT-1</t>
  </si>
  <si>
    <t>RIGHT-1</t>
  </si>
  <si>
    <t xml:space="preserve">48 WILL BE CHOOSEN </t>
  </si>
  <si>
    <t>PC2</t>
  </si>
  <si>
    <t>Round 1 key</t>
  </si>
  <si>
    <t>LEFT-2</t>
  </si>
  <si>
    <t>RIGHT-2</t>
  </si>
  <si>
    <t>Round 2 key</t>
  </si>
  <si>
    <t>SHIFT BY 2</t>
  </si>
  <si>
    <t>LEFT-3</t>
  </si>
  <si>
    <t>RIGHT-3</t>
  </si>
  <si>
    <t>Round 3 key</t>
  </si>
  <si>
    <t>LEFT-4</t>
  </si>
  <si>
    <t>RIGHT-4</t>
  </si>
  <si>
    <t>Round 4 key</t>
  </si>
  <si>
    <t>LEFT-5</t>
  </si>
  <si>
    <t>RIGHT-5</t>
  </si>
  <si>
    <t>Round 5 key</t>
  </si>
  <si>
    <t>IP</t>
  </si>
  <si>
    <t>LEFT</t>
  </si>
  <si>
    <t>RIGHT</t>
  </si>
  <si>
    <t>EXPAND RIGHT</t>
  </si>
  <si>
    <t>Expanded Right</t>
  </si>
  <si>
    <t>key round 1</t>
  </si>
  <si>
    <t>ER XOR key</t>
  </si>
  <si>
    <t>S1</t>
  </si>
  <si>
    <t>S2</t>
  </si>
  <si>
    <t>S3</t>
  </si>
  <si>
    <t>S4</t>
  </si>
  <si>
    <t>S5</t>
  </si>
  <si>
    <t>S6</t>
  </si>
  <si>
    <t>S7</t>
  </si>
  <si>
    <t>S8</t>
  </si>
  <si>
    <t>DES Subtitution Boxes</t>
  </si>
  <si>
    <t>Colom</t>
  </si>
  <si>
    <t>Row</t>
  </si>
  <si>
    <t>Sbox Result</t>
  </si>
  <si>
    <t>P-Box</t>
  </si>
  <si>
    <t>Left n = Right n-1</t>
  </si>
  <si>
    <t>LEFT1</t>
  </si>
  <si>
    <t>Right n = Left n-1 XOR f(Right n-1, Key n)</t>
  </si>
  <si>
    <t>RIGHT1</t>
  </si>
  <si>
    <t>RIGHT-6</t>
  </si>
  <si>
    <t>LEFT-6</t>
  </si>
  <si>
    <t>-</t>
  </si>
  <si>
    <t>Round 6 key</t>
  </si>
  <si>
    <t>LEFT-7</t>
  </si>
  <si>
    <t>RIGHT-7</t>
  </si>
  <si>
    <t>Round 7 key</t>
  </si>
  <si>
    <t>LEFT-8</t>
  </si>
  <si>
    <t>RIGHT-8</t>
  </si>
  <si>
    <t>Round 8 key</t>
  </si>
  <si>
    <t>LEFT-9</t>
  </si>
  <si>
    <t>RIGHT-9</t>
  </si>
  <si>
    <t>Round 9 key</t>
  </si>
  <si>
    <t>LEFT-10</t>
  </si>
  <si>
    <t>RIGHT-10</t>
  </si>
  <si>
    <t>Round 10 key</t>
  </si>
  <si>
    <t>LEFT-11</t>
  </si>
  <si>
    <t>RIGHT-11</t>
  </si>
  <si>
    <t>Round 11 key</t>
  </si>
  <si>
    <t>LEFT-12</t>
  </si>
  <si>
    <t>RIGHT-12</t>
  </si>
  <si>
    <t>Round 12 key</t>
  </si>
  <si>
    <t>LEFT-13</t>
  </si>
  <si>
    <t>RIGHT-13</t>
  </si>
  <si>
    <t>Round 13 key</t>
  </si>
  <si>
    <t>LEFT-14</t>
  </si>
  <si>
    <t>RIGHT-14</t>
  </si>
  <si>
    <t>Round 14 key</t>
  </si>
  <si>
    <t>Round 15 key</t>
  </si>
  <si>
    <t>LEFT-15</t>
  </si>
  <si>
    <t>RIGHT-15</t>
  </si>
  <si>
    <t>LEFT-16</t>
  </si>
  <si>
    <t>RIGHT-16</t>
  </si>
  <si>
    <t>Round 16 key</t>
  </si>
  <si>
    <t>key round 2</t>
  </si>
  <si>
    <t>PUT ALL TOGETHER</t>
  </si>
  <si>
    <t>ROUND ONE IS DONE</t>
  </si>
  <si>
    <t>LEFT2</t>
  </si>
  <si>
    <t>RIGHT2</t>
  </si>
  <si>
    <t>ROUND TWO IS DONE</t>
  </si>
  <si>
    <t>key round 3</t>
  </si>
  <si>
    <t>LEFT3</t>
  </si>
  <si>
    <t>RIGHT3</t>
  </si>
  <si>
    <t>ROUND THREE IS DONE</t>
  </si>
  <si>
    <t>key round 4</t>
  </si>
  <si>
    <t>LEFT4</t>
  </si>
  <si>
    <t>RIGHT4</t>
  </si>
  <si>
    <t>ROUND FOUR IS DONE</t>
  </si>
  <si>
    <t>key round 5</t>
  </si>
  <si>
    <t>ROUND FIVE IS DONE</t>
  </si>
  <si>
    <t>RIGHT5</t>
  </si>
  <si>
    <t>key round 6</t>
  </si>
  <si>
    <t>ROUND SIX IS DONE</t>
  </si>
  <si>
    <t>key round 7</t>
  </si>
  <si>
    <t>ROUND SEVEN IS DONE</t>
  </si>
  <si>
    <t>key round 8</t>
  </si>
  <si>
    <t>ROUND EIGHT IS DONE</t>
  </si>
  <si>
    <t>key round 9</t>
  </si>
  <si>
    <t>ROUND NINE IS DONE</t>
  </si>
  <si>
    <t>key round 10</t>
  </si>
  <si>
    <t>ROUND TEN IS DONE</t>
  </si>
  <si>
    <t>key round 11</t>
  </si>
  <si>
    <t>key round 12</t>
  </si>
  <si>
    <t>ROUND ELEVEN IS DONE</t>
  </si>
  <si>
    <t>ROUND TWELVE IS DONE</t>
  </si>
  <si>
    <t>key round 13</t>
  </si>
  <si>
    <t>ROUND THERTEEN IS DONE</t>
  </si>
  <si>
    <t>key round 14</t>
  </si>
  <si>
    <t>ROUND FOURTEEN IS DONE</t>
  </si>
  <si>
    <t>key round 15</t>
  </si>
  <si>
    <t>ROUND FIFTEEN IS DONE</t>
  </si>
  <si>
    <t>1</t>
  </si>
  <si>
    <t>key round 16</t>
  </si>
  <si>
    <t>Intial Key value</t>
  </si>
  <si>
    <t xml:space="preserve">IN Binary </t>
  </si>
  <si>
    <t>ROUND SIXTEEN IS DONE</t>
  </si>
  <si>
    <t>CIPHER TEXT</t>
  </si>
  <si>
    <t>RL</t>
  </si>
  <si>
    <t>2</t>
  </si>
  <si>
    <t>ROUND two IS DONE</t>
  </si>
  <si>
    <t>ROUND three IS DONE</t>
  </si>
  <si>
    <t>ROUND four IS DONE</t>
  </si>
  <si>
    <t>ROUND five IS DONE</t>
  </si>
  <si>
    <t>ROUND six IS DONE</t>
  </si>
  <si>
    <t>ROUND seven IS DONE</t>
  </si>
  <si>
    <t>ROUND eight IS DONE</t>
  </si>
  <si>
    <t>ROUND nine IS DONE</t>
  </si>
  <si>
    <t>ROUND ten IS DONE</t>
  </si>
  <si>
    <t>ROUND eleven IS DONE</t>
  </si>
  <si>
    <t>ROUND twelve IS DONE</t>
  </si>
  <si>
    <t>ROUND thirteen IS DONE</t>
  </si>
  <si>
    <t>ROUND fourteen IS DONE</t>
  </si>
  <si>
    <t>ROUND fifteen IS DONE</t>
  </si>
  <si>
    <t>ROUND sixteen IS DONE</t>
  </si>
  <si>
    <t>plain text</t>
  </si>
  <si>
    <t>right</t>
  </si>
  <si>
    <t>left</t>
  </si>
  <si>
    <t>IP''</t>
  </si>
  <si>
    <t>R -L</t>
  </si>
  <si>
    <t>RIGHT16=LEFT-0 d</t>
  </si>
  <si>
    <t>LEFT16=RIGHT 0 d</t>
  </si>
  <si>
    <t>done</t>
  </si>
  <si>
    <t>Enter Plain Text</t>
  </si>
  <si>
    <t>HaydarCS</t>
  </si>
  <si>
    <t>key</t>
  </si>
  <si>
    <t>\kurdish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</si>
</sst>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"/>
    <numFmt numFmtId="165" formatCode="00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5" fillId="36" borderId="7" applyNumberFormat="0" applyAlignment="0" applyProtection="0"/>
    <xf numFmtId="0" fontId="14" fillId="38" borderId="8" applyNumberFormat="0" applyAlignment="0" applyProtection="0"/>
  </cellStyleXfs>
  <cellXfs count="277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49" fontId="0" fillId="0" borderId="0" xfId="0" applyNumberFormat="1" applyBorder="1" applyAlignment="1">
      <alignment horizontal="center"/>
    </xf>
    <xf numFmtId="49" fontId="0" fillId="0" borderId="0" xfId="0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1" fillId="0" borderId="1" xfId="0" quotePrefix="1" applyFont="1" applyBorder="1" applyAlignment="1">
      <alignment horizontal="center"/>
    </xf>
    <xf numFmtId="49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14" borderId="0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24" borderId="0" xfId="0" applyFill="1" applyAlignment="1">
      <alignment horizontal="center" vertical="center"/>
    </xf>
    <xf numFmtId="1" fontId="4" fillId="24" borderId="1" xfId="0" applyNumberFormat="1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5" borderId="1" xfId="0" applyFont="1" applyFill="1" applyBorder="1" applyAlignment="1">
      <alignment horizontal="center" vertical="center"/>
    </xf>
    <xf numFmtId="1" fontId="0" fillId="25" borderId="1" xfId="0" applyNumberForma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1" fontId="11" fillId="26" borderId="0" xfId="0" applyNumberFormat="1" applyFont="1" applyFill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1" fontId="4" fillId="20" borderId="1" xfId="0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65" fontId="0" fillId="28" borderId="1" xfId="0" applyNumberForma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4" fontId="0" fillId="28" borderId="1" xfId="0" applyNumberFormat="1" applyFill="1" applyBorder="1" applyAlignment="1">
      <alignment horizontal="center" vertical="center"/>
    </xf>
    <xf numFmtId="0" fontId="0" fillId="29" borderId="1" xfId="0" applyFill="1" applyBorder="1" applyAlignment="1">
      <alignment horizontal="center" vertical="center"/>
    </xf>
    <xf numFmtId="1" fontId="0" fillId="27" borderId="1" xfId="0" applyNumberFormat="1" applyFill="1" applyBorder="1" applyAlignment="1">
      <alignment horizontal="center" vertical="center"/>
    </xf>
    <xf numFmtId="1" fontId="0" fillId="19" borderId="1" xfId="0" applyNumberFormat="1" applyFill="1" applyBorder="1" applyAlignment="1">
      <alignment horizontal="center" vertical="center"/>
    </xf>
    <xf numFmtId="1" fontId="0" fillId="31" borderId="1" xfId="0" applyNumberFormat="1" applyFill="1" applyBorder="1" applyAlignment="1">
      <alignment horizontal="center" vertical="center"/>
    </xf>
    <xf numFmtId="1" fontId="0" fillId="17" borderId="1" xfId="0" applyNumberFormat="1" applyFill="1" applyBorder="1" applyAlignment="1">
      <alignment horizontal="center" vertical="center"/>
    </xf>
    <xf numFmtId="1" fontId="0" fillId="20" borderId="1" xfId="0" applyNumberFormat="1" applyFill="1" applyBorder="1" applyAlignment="1">
      <alignment horizontal="center" vertical="center"/>
    </xf>
    <xf numFmtId="1" fontId="0" fillId="30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49" fontId="0" fillId="32" borderId="1" xfId="0" applyNumberFormat="1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49" fontId="0" fillId="19" borderId="1" xfId="0" applyNumberFormat="1" applyFill="1" applyBorder="1" applyAlignment="1">
      <alignment horizontal="center" vertical="center"/>
    </xf>
    <xf numFmtId="1" fontId="0" fillId="32" borderId="1" xfId="0" applyNumberFormat="1" applyFill="1" applyBorder="1" applyAlignment="1">
      <alignment horizontal="center" vertical="center"/>
    </xf>
    <xf numFmtId="0" fontId="11" fillId="26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11" fillId="26" borderId="6" xfId="0" applyNumberFormat="1" applyFont="1" applyFill="1" applyBorder="1" applyAlignment="1">
      <alignment horizontal="center" vertical="center"/>
    </xf>
    <xf numFmtId="0" fontId="13" fillId="26" borderId="5" xfId="0" applyFont="1" applyFill="1" applyBorder="1" applyAlignment="1">
      <alignment horizontal="center" vertical="center"/>
    </xf>
    <xf numFmtId="0" fontId="13" fillId="26" borderId="4" xfId="0" applyFont="1" applyFill="1" applyBorder="1" applyAlignment="1">
      <alignment horizontal="center" vertical="center"/>
    </xf>
    <xf numFmtId="0" fontId="13" fillId="26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" fontId="10" fillId="17" borderId="1" xfId="0" applyNumberFormat="1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" fontId="11" fillId="33" borderId="0" xfId="0" applyNumberFormat="1" applyFont="1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" fontId="11" fillId="20" borderId="0" xfId="0" applyNumberFormat="1" applyFont="1" applyFill="1" applyAlignment="1">
      <alignment horizontal="center" vertical="center"/>
    </xf>
    <xf numFmtId="49" fontId="11" fillId="26" borderId="0" xfId="0" applyNumberFormat="1" applyFont="1" applyFill="1" applyAlignment="1">
      <alignment horizontal="center" vertical="center"/>
    </xf>
    <xf numFmtId="1" fontId="4" fillId="25" borderId="1" xfId="0" applyNumberFormat="1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0" fillId="25" borderId="1" xfId="0" applyFont="1" applyFill="1" applyBorder="1" applyAlignment="1">
      <alignment horizontal="center" vertical="center"/>
    </xf>
    <xf numFmtId="1" fontId="7" fillId="25" borderId="1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1" fontId="11" fillId="34" borderId="0" xfId="0" applyNumberFormat="1" applyFont="1" applyFill="1" applyAlignment="1">
      <alignment horizontal="center" vertical="center"/>
    </xf>
    <xf numFmtId="1" fontId="14" fillId="34" borderId="1" xfId="0" applyNumberFormat="1" applyFont="1" applyFill="1" applyBorder="1" applyAlignment="1">
      <alignment horizontal="center" vertical="center"/>
    </xf>
    <xf numFmtId="0" fontId="14" fillId="34" borderId="1" xfId="0" applyFont="1" applyFill="1" applyBorder="1" applyAlignment="1">
      <alignment horizontal="center" vertical="center"/>
    </xf>
    <xf numFmtId="49" fontId="0" fillId="20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" fontId="10" fillId="15" borderId="1" xfId="0" applyNumberFormat="1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49" fontId="0" fillId="35" borderId="0" xfId="0" applyNumberFormat="1" applyFill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1" fontId="0" fillId="0" borderId="0" xfId="0" applyNumberFormat="1" applyFont="1" applyFill="1" applyAlignment="1">
      <alignment horizontal="center" vertical="center"/>
    </xf>
    <xf numFmtId="49" fontId="15" fillId="0" borderId="7" xfId="1" applyNumberFormat="1" applyFill="1" applyAlignment="1">
      <alignment horizontal="center" vertical="center"/>
    </xf>
    <xf numFmtId="1" fontId="14" fillId="38" borderId="8" xfId="2" applyNumberFormat="1" applyAlignment="1">
      <alignment vertical="center"/>
    </xf>
    <xf numFmtId="1" fontId="14" fillId="39" borderId="8" xfId="2" applyNumberFormat="1" applyFill="1" applyAlignment="1">
      <alignment vertical="center"/>
    </xf>
    <xf numFmtId="1" fontId="14" fillId="22" borderId="8" xfId="2" applyNumberFormat="1" applyFill="1" applyAlignment="1">
      <alignment vertical="center"/>
    </xf>
    <xf numFmtId="1" fontId="14" fillId="26" borderId="8" xfId="2" applyNumberFormat="1" applyFill="1" applyAlignment="1">
      <alignment vertical="center"/>
    </xf>
    <xf numFmtId="1" fontId="14" fillId="20" borderId="8" xfId="2" applyNumberFormat="1" applyFill="1" applyAlignment="1">
      <alignment vertical="center"/>
    </xf>
    <xf numFmtId="1" fontId="14" fillId="43" borderId="8" xfId="2" applyNumberFormat="1" applyFill="1" applyAlignment="1">
      <alignment vertical="center"/>
    </xf>
    <xf numFmtId="1" fontId="14" fillId="44" borderId="8" xfId="2" applyNumberFormat="1" applyFill="1" applyAlignment="1">
      <alignment vertical="center"/>
    </xf>
    <xf numFmtId="1" fontId="14" fillId="47" borderId="8" xfId="2" applyNumberFormat="1" applyFill="1" applyAlignment="1">
      <alignment vertical="center"/>
    </xf>
    <xf numFmtId="1" fontId="14" fillId="26" borderId="8" xfId="2" applyNumberFormat="1" applyFill="1" applyAlignment="1">
      <alignment horizontal="center" vertical="center" wrapText="1"/>
    </xf>
    <xf numFmtId="1" fontId="0" fillId="44" borderId="1" xfId="0" applyNumberFormat="1" applyFill="1" applyBorder="1" applyAlignment="1">
      <alignment horizontal="center" vertical="center"/>
    </xf>
    <xf numFmtId="1" fontId="0" fillId="22" borderId="1" xfId="0" applyNumberFormat="1" applyFill="1" applyBorder="1" applyAlignment="1">
      <alignment horizontal="center" vertical="center"/>
    </xf>
    <xf numFmtId="1" fontId="0" fillId="39" borderId="1" xfId="0" applyNumberFormat="1" applyFill="1" applyBorder="1" applyAlignment="1">
      <alignment horizontal="center" vertical="center"/>
    </xf>
    <xf numFmtId="1" fontId="0" fillId="20" borderId="1" xfId="0" applyNumberFormat="1" applyFill="1" applyBorder="1" applyAlignment="1">
      <alignment horizontal="center" vertical="center"/>
    </xf>
    <xf numFmtId="1" fontId="0" fillId="46" borderId="1" xfId="0" applyNumberFormat="1" applyFill="1" applyBorder="1" applyAlignment="1">
      <alignment horizontal="center" vertical="center"/>
    </xf>
    <xf numFmtId="1" fontId="0" fillId="43" borderId="1" xfId="0" applyNumberFormat="1" applyFill="1" applyBorder="1" applyAlignment="1">
      <alignment horizontal="center" vertical="center"/>
    </xf>
    <xf numFmtId="1" fontId="11" fillId="26" borderId="1" xfId="0" applyNumberFormat="1" applyFont="1" applyFill="1" applyBorder="1" applyAlignment="1">
      <alignment horizontal="center" vertical="center"/>
    </xf>
    <xf numFmtId="1" fontId="0" fillId="47" borderId="1" xfId="0" applyNumberFormat="1" applyFill="1" applyBorder="1" applyAlignment="1">
      <alignment horizontal="center" vertical="center"/>
    </xf>
    <xf numFmtId="1" fontId="0" fillId="24" borderId="1" xfId="0" applyNumberFormat="1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1" fontId="0" fillId="28" borderId="1" xfId="0" applyNumberFormat="1" applyFill="1" applyBorder="1" applyAlignment="1">
      <alignment horizontal="center" vertical="center"/>
    </xf>
    <xf numFmtId="1" fontId="0" fillId="41" borderId="1" xfId="0" applyNumberFormat="1" applyFill="1" applyBorder="1" applyAlignment="1">
      <alignment horizontal="center" vertical="center"/>
    </xf>
    <xf numFmtId="1" fontId="0" fillId="42" borderId="1" xfId="0" applyNumberFormat="1" applyFill="1" applyBorder="1" applyAlignment="1">
      <alignment horizontal="center" vertical="center"/>
    </xf>
    <xf numFmtId="1" fontId="0" fillId="28" borderId="1" xfId="0" applyNumberFormat="1" applyFill="1" applyBorder="1" applyAlignment="1">
      <alignment horizontal="center" vertical="center"/>
    </xf>
    <xf numFmtId="1" fontId="0" fillId="32" borderId="1" xfId="0" applyNumberFormat="1" applyFill="1" applyBorder="1" applyAlignment="1">
      <alignment horizontal="center" vertical="center"/>
    </xf>
    <xf numFmtId="1" fontId="0" fillId="41" borderId="1" xfId="0" applyNumberFormat="1" applyFill="1" applyBorder="1" applyAlignment="1">
      <alignment horizontal="center" vertical="center"/>
    </xf>
    <xf numFmtId="1" fontId="0" fillId="42" borderId="1" xfId="0" applyNumberFormat="1" applyFill="1" applyBorder="1" applyAlignment="1">
      <alignment horizontal="center" vertical="center"/>
    </xf>
    <xf numFmtId="1" fontId="11" fillId="45" borderId="1" xfId="0" applyNumberFormat="1" applyFont="1" applyFill="1" applyBorder="1" applyAlignment="1">
      <alignment horizontal="center" vertical="center"/>
    </xf>
    <xf numFmtId="1" fontId="11" fillId="45" borderId="1" xfId="0" applyNumberFormat="1" applyFont="1" applyFill="1" applyBorder="1" applyAlignment="1">
      <alignment horizontal="center" vertical="center"/>
    </xf>
    <xf numFmtId="1" fontId="0" fillId="12" borderId="1" xfId="0" applyNumberFormat="1" applyFont="1" applyFill="1" applyBorder="1" applyAlignment="1">
      <alignment horizontal="center" vertical="center"/>
    </xf>
    <xf numFmtId="1" fontId="0" fillId="12" borderId="1" xfId="0" applyNumberFormat="1" applyFont="1" applyFill="1" applyBorder="1" applyAlignment="1">
      <alignment horizontal="center" vertical="center"/>
    </xf>
    <xf numFmtId="0" fontId="11" fillId="26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" fontId="1" fillId="32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10" borderId="1" xfId="0" applyNumberFormat="1" applyFont="1" applyFill="1" applyBorder="1" applyAlignment="1">
      <alignment horizontal="center"/>
    </xf>
    <xf numFmtId="1" fontId="1" fillId="11" borderId="1" xfId="0" applyNumberFormat="1" applyFont="1" applyFill="1" applyBorder="1" applyAlignment="1">
      <alignment horizontal="center"/>
    </xf>
    <xf numFmtId="1" fontId="1" fillId="8" borderId="1" xfId="0" applyNumberFormat="1" applyFont="1" applyFill="1" applyBorder="1" applyAlignment="1">
      <alignment horizontal="center"/>
    </xf>
    <xf numFmtId="1" fontId="1" fillId="16" borderId="1" xfId="0" applyNumberFormat="1" applyFont="1" applyFill="1" applyBorder="1" applyAlignment="1">
      <alignment horizontal="center"/>
    </xf>
    <xf numFmtId="1" fontId="1" fillId="47" borderId="1" xfId="0" applyNumberFormat="1" applyFont="1" applyFill="1" applyBorder="1" applyAlignment="1">
      <alignment horizontal="center"/>
    </xf>
    <xf numFmtId="1" fontId="1" fillId="25" borderId="1" xfId="0" applyNumberFormat="1" applyFont="1" applyFill="1" applyBorder="1" applyAlignment="1">
      <alignment horizontal="center"/>
    </xf>
    <xf numFmtId="1" fontId="1" fillId="40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1" fillId="0" borderId="1" xfId="0" applyFont="1" applyBorder="1"/>
    <xf numFmtId="0" fontId="1" fillId="15" borderId="1" xfId="0" applyFont="1" applyFill="1" applyBorder="1" applyAlignment="1">
      <alignment horizontal="center"/>
    </xf>
    <xf numFmtId="1" fontId="0" fillId="42" borderId="1" xfId="0" applyNumberFormat="1" applyFill="1" applyBorder="1" applyAlignment="1">
      <alignment horizontal="center" vertical="center"/>
    </xf>
    <xf numFmtId="1" fontId="11" fillId="45" borderId="1" xfId="0" applyNumberFormat="1" applyFont="1" applyFill="1" applyBorder="1" applyAlignment="1">
      <alignment horizontal="center" vertical="center"/>
    </xf>
    <xf numFmtId="1" fontId="0" fillId="12" borderId="1" xfId="0" applyNumberFormat="1" applyFon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1" fontId="0" fillId="28" borderId="1" xfId="0" applyNumberFormat="1" applyFill="1" applyBorder="1" applyAlignment="1">
      <alignment horizontal="center" vertical="center"/>
    </xf>
    <xf numFmtId="1" fontId="0" fillId="41" borderId="1" xfId="0" applyNumberFormat="1" applyFill="1" applyBorder="1" applyAlignment="1">
      <alignment horizontal="center" vertical="center"/>
    </xf>
    <xf numFmtId="1" fontId="0" fillId="20" borderId="1" xfId="0" applyNumberFormat="1" applyFill="1" applyBorder="1" applyAlignment="1">
      <alignment horizontal="center" vertical="center"/>
    </xf>
    <xf numFmtId="1" fontId="10" fillId="24" borderId="1" xfId="0" applyNumberFormat="1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0" fillId="25" borderId="0" xfId="0" applyNumberFormat="1" applyFill="1" applyAlignment="1">
      <alignment horizontal="center" vertical="center"/>
    </xf>
    <xf numFmtId="1" fontId="7" fillId="24" borderId="1" xfId="0" applyNumberFormat="1" applyFont="1" applyFill="1" applyBorder="1" applyAlignment="1">
      <alignment horizontal="center" vertical="center"/>
    </xf>
    <xf numFmtId="0" fontId="7" fillId="24" borderId="1" xfId="0" applyFont="1" applyFill="1" applyBorder="1" applyAlignment="1">
      <alignment horizontal="center" vertical="center"/>
    </xf>
    <xf numFmtId="0" fontId="0" fillId="48" borderId="1" xfId="0" applyFill="1" applyBorder="1" applyAlignment="1">
      <alignment horizontal="center" vertical="center"/>
    </xf>
    <xf numFmtId="1" fontId="0" fillId="48" borderId="1" xfId="0" applyNumberFormat="1" applyFill="1" applyBorder="1" applyAlignment="1">
      <alignment horizontal="center" vertical="center"/>
    </xf>
    <xf numFmtId="49" fontId="0" fillId="23" borderId="1" xfId="0" applyNumberFormat="1" applyFill="1" applyBorder="1" applyAlignment="1">
      <alignment horizontal="center" vertical="center"/>
    </xf>
    <xf numFmtId="1" fontId="0" fillId="23" borderId="1" xfId="0" applyNumberFormat="1" applyFill="1" applyBorder="1" applyAlignment="1">
      <alignment horizontal="center" vertical="center"/>
    </xf>
    <xf numFmtId="1" fontId="0" fillId="25" borderId="1" xfId="0" applyNumberFormat="1" applyFont="1" applyFill="1" applyBorder="1" applyAlignment="1">
      <alignment horizontal="center" vertical="center"/>
    </xf>
    <xf numFmtId="0" fontId="1" fillId="0" borderId="0" xfId="0" applyFont="1" applyFill="1"/>
    <xf numFmtId="49" fontId="1" fillId="0" borderId="0" xfId="0" applyNumberFormat="1" applyFont="1" applyFill="1"/>
    <xf numFmtId="0" fontId="1" fillId="0" borderId="0" xfId="0" applyFont="1" applyFill="1" applyAlignment="1">
      <alignment horizontal="center"/>
    </xf>
    <xf numFmtId="0" fontId="1" fillId="35" borderId="0" xfId="0" applyFont="1" applyFill="1"/>
    <xf numFmtId="1" fontId="0" fillId="24" borderId="0" xfId="0" applyNumberFormat="1" applyFill="1" applyAlignment="1">
      <alignment horizontal="center" vertical="center"/>
    </xf>
    <xf numFmtId="49" fontId="16" fillId="20" borderId="0" xfId="0" applyNumberFormat="1" applyFont="1" applyFill="1" applyAlignment="1">
      <alignment horizontal="center" vertical="center"/>
    </xf>
    <xf numFmtId="0" fontId="14" fillId="26" borderId="1" xfId="0" applyFont="1" applyFill="1" applyBorder="1" applyAlignment="1">
      <alignment horizontal="center" vertical="center"/>
    </xf>
    <xf numFmtId="0" fontId="14" fillId="22" borderId="1" xfId="0" applyFont="1" applyFill="1" applyBorder="1" applyAlignment="1">
      <alignment horizontal="center" vertical="center"/>
    </xf>
    <xf numFmtId="0" fontId="14" fillId="39" borderId="1" xfId="0" applyFont="1" applyFill="1" applyBorder="1" applyAlignment="1">
      <alignment horizontal="center" vertical="center"/>
    </xf>
    <xf numFmtId="0" fontId="14" fillId="20" borderId="1" xfId="0" applyFont="1" applyFill="1" applyBorder="1" applyAlignment="1">
      <alignment horizontal="center" vertical="center"/>
    </xf>
    <xf numFmtId="0" fontId="14" fillId="46" borderId="1" xfId="0" applyFont="1" applyFill="1" applyBorder="1" applyAlignment="1">
      <alignment horizontal="center" vertical="center"/>
    </xf>
    <xf numFmtId="0" fontId="14" fillId="49" borderId="1" xfId="0" applyFont="1" applyFill="1" applyBorder="1" applyAlignment="1">
      <alignment horizontal="center" vertical="center"/>
    </xf>
    <xf numFmtId="0" fontId="14" fillId="28" borderId="1" xfId="0" applyFont="1" applyFill="1" applyBorder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9" fillId="16" borderId="1" xfId="0" applyFont="1" applyFill="1" applyBorder="1" applyAlignment="1">
      <alignment horizontal="center" vertical="center"/>
    </xf>
    <xf numFmtId="1" fontId="18" fillId="39" borderId="4" xfId="0" applyNumberFormat="1" applyFont="1" applyFill="1" applyBorder="1" applyAlignment="1">
      <alignment horizontal="center" vertical="center"/>
    </xf>
    <xf numFmtId="1" fontId="1" fillId="39" borderId="0" xfId="0" applyNumberFormat="1" applyFont="1" applyFill="1" applyAlignment="1">
      <alignment horizontal="center"/>
    </xf>
    <xf numFmtId="1" fontId="18" fillId="48" borderId="0" xfId="0" applyNumberFormat="1" applyFont="1" applyFill="1" applyAlignment="1">
      <alignment horizontal="center"/>
    </xf>
    <xf numFmtId="0" fontId="20" fillId="20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" fontId="14" fillId="26" borderId="8" xfId="2" applyNumberFormat="1" applyFill="1" applyAlignment="1">
      <alignment horizontal="center" vertical="center" wrapText="1"/>
    </xf>
    <xf numFmtId="1" fontId="14" fillId="22" borderId="8" xfId="2" applyNumberFormat="1" applyFill="1" applyAlignment="1">
      <alignment horizontal="center" vertical="center"/>
    </xf>
    <xf numFmtId="1" fontId="14" fillId="39" borderId="9" xfId="2" applyNumberFormat="1" applyFill="1" applyBorder="1" applyAlignment="1">
      <alignment horizontal="center" vertical="center"/>
    </xf>
    <xf numFmtId="1" fontId="14" fillId="39" borderId="10" xfId="2" applyNumberFormat="1" applyFill="1" applyBorder="1" applyAlignment="1">
      <alignment horizontal="center" vertical="center"/>
    </xf>
    <xf numFmtId="1" fontId="14" fillId="39" borderId="11" xfId="2" applyNumberFormat="1" applyFill="1" applyBorder="1" applyAlignment="1">
      <alignment horizontal="center" vertical="center"/>
    </xf>
    <xf numFmtId="1" fontId="14" fillId="39" borderId="12" xfId="2" applyNumberFormat="1" applyFill="1" applyBorder="1" applyAlignment="1">
      <alignment horizontal="center" vertical="center"/>
    </xf>
    <xf numFmtId="1" fontId="14" fillId="39" borderId="13" xfId="2" applyNumberFormat="1" applyFill="1" applyBorder="1" applyAlignment="1">
      <alignment horizontal="center" vertical="center"/>
    </xf>
    <xf numFmtId="1" fontId="14" fillId="39" borderId="14" xfId="2" applyNumberFormat="1" applyFill="1" applyBorder="1" applyAlignment="1">
      <alignment horizontal="center" vertical="center"/>
    </xf>
    <xf numFmtId="1" fontId="14" fillId="20" borderId="8" xfId="2" applyNumberFormat="1" applyFill="1" applyAlignment="1">
      <alignment horizontal="center" vertical="center"/>
    </xf>
    <xf numFmtId="1" fontId="14" fillId="46" borderId="8" xfId="2" applyNumberFormat="1" applyFill="1" applyAlignment="1">
      <alignment horizontal="center" vertical="center"/>
    </xf>
    <xf numFmtId="1" fontId="14" fillId="43" borderId="8" xfId="2" applyNumberFormat="1" applyFill="1" applyAlignment="1">
      <alignment horizontal="center" vertical="center"/>
    </xf>
    <xf numFmtId="1" fontId="14" fillId="26" borderId="8" xfId="2" applyNumberFormat="1" applyFill="1" applyAlignment="1">
      <alignment horizontal="center" vertical="center"/>
    </xf>
    <xf numFmtId="1" fontId="14" fillId="44" borderId="8" xfId="2" applyNumberFormat="1" applyFill="1" applyAlignment="1">
      <alignment horizontal="center" vertical="center"/>
    </xf>
    <xf numFmtId="1" fontId="14" fillId="47" borderId="8" xfId="2" applyNumberFormat="1" applyFill="1" applyAlignment="1">
      <alignment horizontal="center" vertical="center"/>
    </xf>
    <xf numFmtId="1" fontId="0" fillId="9" borderId="15" xfId="0" applyNumberFormat="1" applyFill="1" applyBorder="1" applyAlignment="1">
      <alignment horizontal="center" vertical="center"/>
    </xf>
    <xf numFmtId="1" fontId="0" fillId="42" borderId="15" xfId="0" applyNumberFormat="1" applyFill="1" applyBorder="1" applyAlignment="1">
      <alignment horizontal="center" vertical="center"/>
    </xf>
    <xf numFmtId="1" fontId="0" fillId="20" borderId="15" xfId="0" applyNumberFormat="1" applyFont="1" applyFill="1" applyBorder="1" applyAlignment="1">
      <alignment horizontal="center" vertical="center"/>
    </xf>
    <xf numFmtId="1" fontId="0" fillId="44" borderId="1" xfId="0" applyNumberFormat="1" applyFill="1" applyBorder="1" applyAlignment="1">
      <alignment horizontal="center" vertical="center"/>
    </xf>
    <xf numFmtId="0" fontId="0" fillId="44" borderId="1" xfId="0" applyFill="1" applyBorder="1" applyAlignment="1">
      <alignment horizontal="center" vertical="center"/>
    </xf>
    <xf numFmtId="1" fontId="0" fillId="47" borderId="1" xfId="0" applyNumberFormat="1" applyFill="1" applyBorder="1" applyAlignment="1">
      <alignment horizontal="center" vertical="center"/>
    </xf>
    <xf numFmtId="0" fontId="0" fillId="47" borderId="1" xfId="0" applyFill="1" applyBorder="1" applyAlignment="1">
      <alignment horizontal="center" vertical="center"/>
    </xf>
    <xf numFmtId="1" fontId="0" fillId="22" borderId="1" xfId="0" applyNumberForma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" fontId="0" fillId="39" borderId="1" xfId="0" applyNumberFormat="1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1" fontId="0" fillId="20" borderId="1" xfId="0" applyNumberForma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" fontId="0" fillId="46" borderId="1" xfId="0" applyNumberFormat="1" applyFill="1" applyBorder="1" applyAlignment="1">
      <alignment horizontal="center" vertical="center"/>
    </xf>
    <xf numFmtId="0" fontId="0" fillId="46" borderId="1" xfId="0" applyFill="1" applyBorder="1" applyAlignment="1">
      <alignment horizontal="center" vertical="center"/>
    </xf>
    <xf numFmtId="1" fontId="0" fillId="43" borderId="1" xfId="0" applyNumberFormat="1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1" fontId="11" fillId="26" borderId="1" xfId="0" applyNumberFormat="1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1" fontId="0" fillId="20" borderId="1" xfId="0" applyNumberFormat="1" applyFont="1" applyFill="1" applyBorder="1" applyAlignment="1">
      <alignment horizontal="center" vertical="center"/>
    </xf>
    <xf numFmtId="1" fontId="0" fillId="8" borderId="15" xfId="0" applyNumberFormat="1" applyFont="1" applyFill="1" applyBorder="1" applyAlignment="1">
      <alignment horizontal="center" vertical="center"/>
    </xf>
    <xf numFmtId="1" fontId="0" fillId="8" borderId="1" xfId="0" applyNumberFormat="1" applyFont="1" applyFill="1" applyBorder="1" applyAlignment="1">
      <alignment horizontal="center" vertical="center"/>
    </xf>
    <xf numFmtId="0" fontId="11" fillId="26" borderId="0" xfId="0" applyFont="1" applyFill="1" applyAlignment="1">
      <alignment horizontal="center" vertical="center"/>
    </xf>
    <xf numFmtId="1" fontId="0" fillId="42" borderId="1" xfId="0" applyNumberFormat="1" applyFill="1" applyBorder="1" applyAlignment="1">
      <alignment horizontal="center" vertical="center"/>
    </xf>
    <xf numFmtId="1" fontId="11" fillId="45" borderId="15" xfId="0" applyNumberFormat="1" applyFont="1" applyFill="1" applyBorder="1" applyAlignment="1">
      <alignment horizontal="center" vertical="center"/>
    </xf>
    <xf numFmtId="1" fontId="11" fillId="45" borderId="1" xfId="0" applyNumberFormat="1" applyFont="1" applyFill="1" applyBorder="1" applyAlignment="1">
      <alignment horizontal="center" vertical="center"/>
    </xf>
    <xf numFmtId="1" fontId="0" fillId="12" borderId="15" xfId="0" applyNumberFormat="1" applyFont="1" applyFill="1" applyBorder="1" applyAlignment="1">
      <alignment horizontal="center" vertical="center"/>
    </xf>
    <xf numFmtId="1" fontId="0" fillId="12" borderId="1" xfId="0" applyNumberFormat="1" applyFon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1" fontId="0" fillId="28" borderId="15" xfId="0" applyNumberFormat="1" applyFill="1" applyBorder="1" applyAlignment="1">
      <alignment horizontal="center" vertical="center"/>
    </xf>
    <xf numFmtId="1" fontId="0" fillId="28" borderId="1" xfId="0" applyNumberFormat="1" applyFill="1" applyBorder="1" applyAlignment="1">
      <alignment horizontal="center" vertical="center"/>
    </xf>
    <xf numFmtId="1" fontId="0" fillId="41" borderId="15" xfId="0" applyNumberFormat="1" applyFill="1" applyBorder="1" applyAlignment="1">
      <alignment horizontal="center" vertical="center"/>
    </xf>
    <xf numFmtId="1" fontId="0" fillId="41" borderId="1" xfId="0" applyNumberFormat="1" applyFill="1" applyBorder="1" applyAlignment="1">
      <alignment horizontal="center" vertical="center"/>
    </xf>
    <xf numFmtId="1" fontId="0" fillId="32" borderId="1" xfId="0" applyNumberFormat="1" applyFill="1" applyBorder="1" applyAlignment="1">
      <alignment horizontal="center" vertical="center"/>
    </xf>
    <xf numFmtId="1" fontId="0" fillId="22" borderId="2" xfId="0" applyNumberFormat="1" applyFill="1" applyBorder="1" applyAlignment="1">
      <alignment horizontal="center" vertical="center"/>
    </xf>
    <xf numFmtId="1" fontId="0" fillId="22" borderId="4" xfId="0" applyNumberFormat="1" applyFill="1" applyBorder="1" applyAlignment="1">
      <alignment horizontal="center" vertical="center"/>
    </xf>
    <xf numFmtId="1" fontId="0" fillId="22" borderId="3" xfId="0" applyNumberFormat="1" applyFill="1" applyBorder="1" applyAlignment="1">
      <alignment horizontal="center" vertical="center"/>
    </xf>
    <xf numFmtId="0" fontId="15" fillId="37" borderId="7" xfId="1" applyFill="1" applyAlignment="1">
      <alignment horizontal="center"/>
    </xf>
    <xf numFmtId="1" fontId="0" fillId="50" borderId="1" xfId="0" applyNumberFormat="1" applyFill="1" applyBorder="1" applyAlignment="1">
      <alignment horizontal="center" vertical="center"/>
    </xf>
    <xf numFmtId="1" fontId="0" fillId="51" borderId="1" xfId="0" applyNumberFormat="1" applyFill="1" applyBorder="1" applyAlignment="1">
      <alignment horizontal="center" vertical="center"/>
    </xf>
  </cellXfs>
  <cellStyles count="3">
    <cellStyle name="Check Cell" xfId="2" builtinId="23"/>
    <cellStyle name="Normal" xfId="0" builtinId="0"/>
    <cellStyle name="Output" xfId="1" builtinId="2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66FFCC"/>
      <color rgb="FFE6E3AC"/>
      <color rgb="FFFF66FF"/>
      <color rgb="FFFF9999"/>
      <color rgb="FFDBC0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23813</xdr:colOff>
      <xdr:row>65</xdr:row>
      <xdr:rowOff>285749</xdr:rowOff>
    </xdr:from>
    <xdr:to>
      <xdr:col>17</xdr:col>
      <xdr:colOff>142875</xdr:colOff>
      <xdr:row>70</xdr:row>
      <xdr:rowOff>71437</xdr:rowOff>
    </xdr:to>
    <xdr:cxnSp macro="">
      <xdr:nvCxnSpPr>
        <xdr:cNvPr id="3" name="Curved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845344" y="19359562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65</xdr:row>
      <xdr:rowOff>130968</xdr:rowOff>
    </xdr:from>
    <xdr:to>
      <xdr:col>8</xdr:col>
      <xdr:colOff>71438</xdr:colOff>
      <xdr:row>70</xdr:row>
      <xdr:rowOff>202406</xdr:rowOff>
    </xdr:to>
    <xdr:cxnSp macro="">
      <xdr:nvCxnSpPr>
        <xdr:cNvPr id="6" name="Curved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476375" y="19204781"/>
          <a:ext cx="1702594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114</xdr:row>
      <xdr:rowOff>285749</xdr:rowOff>
    </xdr:from>
    <xdr:to>
      <xdr:col>17</xdr:col>
      <xdr:colOff>142875</xdr:colOff>
      <xdr:row>119</xdr:row>
      <xdr:rowOff>71437</xdr:rowOff>
    </xdr:to>
    <xdr:cxnSp macro="">
      <xdr:nvCxnSpPr>
        <xdr:cNvPr id="4" name="Curved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988344" y="19359562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114</xdr:row>
      <xdr:rowOff>130968</xdr:rowOff>
    </xdr:from>
    <xdr:to>
      <xdr:col>8</xdr:col>
      <xdr:colOff>71438</xdr:colOff>
      <xdr:row>119</xdr:row>
      <xdr:rowOff>202406</xdr:rowOff>
    </xdr:to>
    <xdr:cxnSp macro="">
      <xdr:nvCxnSpPr>
        <xdr:cNvPr id="5" name="Curved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595563" y="19204781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163</xdr:row>
      <xdr:rowOff>285749</xdr:rowOff>
    </xdr:from>
    <xdr:to>
      <xdr:col>17</xdr:col>
      <xdr:colOff>142875</xdr:colOff>
      <xdr:row>168</xdr:row>
      <xdr:rowOff>71437</xdr:rowOff>
    </xdr:to>
    <xdr:cxnSp macro="">
      <xdr:nvCxnSpPr>
        <xdr:cNvPr id="7" name="Curved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988344" y="34528124"/>
          <a:ext cx="5834062" cy="1333501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163</xdr:row>
      <xdr:rowOff>130968</xdr:rowOff>
    </xdr:from>
    <xdr:to>
      <xdr:col>8</xdr:col>
      <xdr:colOff>71438</xdr:colOff>
      <xdr:row>168</xdr:row>
      <xdr:rowOff>202406</xdr:rowOff>
    </xdr:to>
    <xdr:cxnSp macro="">
      <xdr:nvCxnSpPr>
        <xdr:cNvPr id="8" name="Curved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595563" y="34373343"/>
          <a:ext cx="1726406" cy="1619251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212</xdr:row>
      <xdr:rowOff>285749</xdr:rowOff>
    </xdr:from>
    <xdr:to>
      <xdr:col>17</xdr:col>
      <xdr:colOff>142875</xdr:colOff>
      <xdr:row>217</xdr:row>
      <xdr:rowOff>71437</xdr:rowOff>
    </xdr:to>
    <xdr:cxnSp macro="">
      <xdr:nvCxnSpPr>
        <xdr:cNvPr id="9" name="Curved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988344" y="49696687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212</xdr:row>
      <xdr:rowOff>130968</xdr:rowOff>
    </xdr:from>
    <xdr:to>
      <xdr:col>8</xdr:col>
      <xdr:colOff>71438</xdr:colOff>
      <xdr:row>217</xdr:row>
      <xdr:rowOff>202406</xdr:rowOff>
    </xdr:to>
    <xdr:cxnSp macro="">
      <xdr:nvCxnSpPr>
        <xdr:cNvPr id="10" name="Curved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2595563" y="49541906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261</xdr:row>
      <xdr:rowOff>285749</xdr:rowOff>
    </xdr:from>
    <xdr:to>
      <xdr:col>17</xdr:col>
      <xdr:colOff>142875</xdr:colOff>
      <xdr:row>266</xdr:row>
      <xdr:rowOff>71437</xdr:rowOff>
    </xdr:to>
    <xdr:cxnSp macro="">
      <xdr:nvCxnSpPr>
        <xdr:cNvPr id="11" name="Curved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1988344" y="64865249"/>
          <a:ext cx="5834062" cy="1333501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261</xdr:row>
      <xdr:rowOff>130968</xdr:rowOff>
    </xdr:from>
    <xdr:to>
      <xdr:col>8</xdr:col>
      <xdr:colOff>71438</xdr:colOff>
      <xdr:row>266</xdr:row>
      <xdr:rowOff>202406</xdr:rowOff>
    </xdr:to>
    <xdr:cxnSp macro="">
      <xdr:nvCxnSpPr>
        <xdr:cNvPr id="12" name="Curved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2595563" y="64710468"/>
          <a:ext cx="1726406" cy="1619251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310</xdr:row>
      <xdr:rowOff>285749</xdr:rowOff>
    </xdr:from>
    <xdr:to>
      <xdr:col>17</xdr:col>
      <xdr:colOff>142875</xdr:colOff>
      <xdr:row>315</xdr:row>
      <xdr:rowOff>71437</xdr:rowOff>
    </xdr:to>
    <xdr:cxnSp macro="">
      <xdr:nvCxnSpPr>
        <xdr:cNvPr id="13" name="Curved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988344" y="80033812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310</xdr:row>
      <xdr:rowOff>130968</xdr:rowOff>
    </xdr:from>
    <xdr:to>
      <xdr:col>8</xdr:col>
      <xdr:colOff>71438</xdr:colOff>
      <xdr:row>315</xdr:row>
      <xdr:rowOff>202406</xdr:rowOff>
    </xdr:to>
    <xdr:cxnSp macro="">
      <xdr:nvCxnSpPr>
        <xdr:cNvPr id="14" name="Curved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2595563" y="79879031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359</xdr:row>
      <xdr:rowOff>285749</xdr:rowOff>
    </xdr:from>
    <xdr:to>
      <xdr:col>17</xdr:col>
      <xdr:colOff>142875</xdr:colOff>
      <xdr:row>364</xdr:row>
      <xdr:rowOff>71437</xdr:rowOff>
    </xdr:to>
    <xdr:cxnSp macro="">
      <xdr:nvCxnSpPr>
        <xdr:cNvPr id="15" name="Curved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1988344" y="95202374"/>
          <a:ext cx="5834062" cy="1333501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359</xdr:row>
      <xdr:rowOff>130968</xdr:rowOff>
    </xdr:from>
    <xdr:to>
      <xdr:col>8</xdr:col>
      <xdr:colOff>71438</xdr:colOff>
      <xdr:row>364</xdr:row>
      <xdr:rowOff>202406</xdr:rowOff>
    </xdr:to>
    <xdr:cxnSp macro="">
      <xdr:nvCxnSpPr>
        <xdr:cNvPr id="16" name="Curved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2595563" y="95047593"/>
          <a:ext cx="1726406" cy="1619251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408</xdr:row>
      <xdr:rowOff>285749</xdr:rowOff>
    </xdr:from>
    <xdr:to>
      <xdr:col>17</xdr:col>
      <xdr:colOff>142875</xdr:colOff>
      <xdr:row>413</xdr:row>
      <xdr:rowOff>71437</xdr:rowOff>
    </xdr:to>
    <xdr:cxnSp macro="">
      <xdr:nvCxnSpPr>
        <xdr:cNvPr id="17" name="Curved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988344" y="110370937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408</xdr:row>
      <xdr:rowOff>130968</xdr:rowOff>
    </xdr:from>
    <xdr:to>
      <xdr:col>8</xdr:col>
      <xdr:colOff>71438</xdr:colOff>
      <xdr:row>413</xdr:row>
      <xdr:rowOff>202406</xdr:rowOff>
    </xdr:to>
    <xdr:cxnSp macro="">
      <xdr:nvCxnSpPr>
        <xdr:cNvPr id="18" name="Curved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2595563" y="110216156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457</xdr:row>
      <xdr:rowOff>285749</xdr:rowOff>
    </xdr:from>
    <xdr:to>
      <xdr:col>17</xdr:col>
      <xdr:colOff>142875</xdr:colOff>
      <xdr:row>462</xdr:row>
      <xdr:rowOff>71437</xdr:rowOff>
    </xdr:to>
    <xdr:cxnSp macro="">
      <xdr:nvCxnSpPr>
        <xdr:cNvPr id="19" name="Curved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1988344" y="125539499"/>
          <a:ext cx="5834062" cy="1333501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457</xdr:row>
      <xdr:rowOff>130968</xdr:rowOff>
    </xdr:from>
    <xdr:to>
      <xdr:col>8</xdr:col>
      <xdr:colOff>71438</xdr:colOff>
      <xdr:row>462</xdr:row>
      <xdr:rowOff>202406</xdr:rowOff>
    </xdr:to>
    <xdr:cxnSp macro="">
      <xdr:nvCxnSpPr>
        <xdr:cNvPr id="20" name="Curved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595563" y="125384718"/>
          <a:ext cx="1726406" cy="1619251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506</xdr:row>
      <xdr:rowOff>285749</xdr:rowOff>
    </xdr:from>
    <xdr:to>
      <xdr:col>17</xdr:col>
      <xdr:colOff>142875</xdr:colOff>
      <xdr:row>511</xdr:row>
      <xdr:rowOff>71437</xdr:rowOff>
    </xdr:to>
    <xdr:cxnSp macro="">
      <xdr:nvCxnSpPr>
        <xdr:cNvPr id="21" name="Curved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1988344" y="140708062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506</xdr:row>
      <xdr:rowOff>130968</xdr:rowOff>
    </xdr:from>
    <xdr:to>
      <xdr:col>8</xdr:col>
      <xdr:colOff>71438</xdr:colOff>
      <xdr:row>511</xdr:row>
      <xdr:rowOff>202406</xdr:rowOff>
    </xdr:to>
    <xdr:cxnSp macro="">
      <xdr:nvCxnSpPr>
        <xdr:cNvPr id="22" name="Curved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595563" y="140553281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555</xdr:row>
      <xdr:rowOff>285749</xdr:rowOff>
    </xdr:from>
    <xdr:to>
      <xdr:col>17</xdr:col>
      <xdr:colOff>142875</xdr:colOff>
      <xdr:row>560</xdr:row>
      <xdr:rowOff>71437</xdr:rowOff>
    </xdr:to>
    <xdr:cxnSp macro="">
      <xdr:nvCxnSpPr>
        <xdr:cNvPr id="23" name="Curved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1988344" y="155876624"/>
          <a:ext cx="5834062" cy="1333501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555</xdr:row>
      <xdr:rowOff>130968</xdr:rowOff>
    </xdr:from>
    <xdr:to>
      <xdr:col>8</xdr:col>
      <xdr:colOff>71438</xdr:colOff>
      <xdr:row>560</xdr:row>
      <xdr:rowOff>202406</xdr:rowOff>
    </xdr:to>
    <xdr:cxnSp macro="">
      <xdr:nvCxnSpPr>
        <xdr:cNvPr id="24" name="Curved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2595563" y="155721843"/>
          <a:ext cx="1726406" cy="1619251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604</xdr:row>
      <xdr:rowOff>285749</xdr:rowOff>
    </xdr:from>
    <xdr:to>
      <xdr:col>17</xdr:col>
      <xdr:colOff>142875</xdr:colOff>
      <xdr:row>609</xdr:row>
      <xdr:rowOff>71437</xdr:rowOff>
    </xdr:to>
    <xdr:cxnSp macro="">
      <xdr:nvCxnSpPr>
        <xdr:cNvPr id="25" name="Curved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1988344" y="171045187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604</xdr:row>
      <xdr:rowOff>130968</xdr:rowOff>
    </xdr:from>
    <xdr:to>
      <xdr:col>8</xdr:col>
      <xdr:colOff>71438</xdr:colOff>
      <xdr:row>609</xdr:row>
      <xdr:rowOff>202406</xdr:rowOff>
    </xdr:to>
    <xdr:cxnSp macro="">
      <xdr:nvCxnSpPr>
        <xdr:cNvPr id="26" name="Curved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595563" y="170890406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653</xdr:row>
      <xdr:rowOff>285749</xdr:rowOff>
    </xdr:from>
    <xdr:to>
      <xdr:col>17</xdr:col>
      <xdr:colOff>142875</xdr:colOff>
      <xdr:row>658</xdr:row>
      <xdr:rowOff>71437</xdr:rowOff>
    </xdr:to>
    <xdr:cxnSp macro="">
      <xdr:nvCxnSpPr>
        <xdr:cNvPr id="27" name="Curved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1988344" y="186213749"/>
          <a:ext cx="5834062" cy="1333501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653</xdr:row>
      <xdr:rowOff>130968</xdr:rowOff>
    </xdr:from>
    <xdr:to>
      <xdr:col>8</xdr:col>
      <xdr:colOff>71438</xdr:colOff>
      <xdr:row>658</xdr:row>
      <xdr:rowOff>202406</xdr:rowOff>
    </xdr:to>
    <xdr:cxnSp macro="">
      <xdr:nvCxnSpPr>
        <xdr:cNvPr id="28" name="Curved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2595563" y="186058968"/>
          <a:ext cx="1726406" cy="1619251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702</xdr:row>
      <xdr:rowOff>285749</xdr:rowOff>
    </xdr:from>
    <xdr:to>
      <xdr:col>17</xdr:col>
      <xdr:colOff>142875</xdr:colOff>
      <xdr:row>707</xdr:row>
      <xdr:rowOff>71437</xdr:rowOff>
    </xdr:to>
    <xdr:cxnSp macro="">
      <xdr:nvCxnSpPr>
        <xdr:cNvPr id="29" name="Curved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988344" y="201382312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702</xdr:row>
      <xdr:rowOff>130968</xdr:rowOff>
    </xdr:from>
    <xdr:to>
      <xdr:col>8</xdr:col>
      <xdr:colOff>71438</xdr:colOff>
      <xdr:row>707</xdr:row>
      <xdr:rowOff>202406</xdr:rowOff>
    </xdr:to>
    <xdr:cxnSp macro="">
      <xdr:nvCxnSpPr>
        <xdr:cNvPr id="30" name="Curved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2595563" y="201227531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751</xdr:row>
      <xdr:rowOff>285749</xdr:rowOff>
    </xdr:from>
    <xdr:to>
      <xdr:col>17</xdr:col>
      <xdr:colOff>142875</xdr:colOff>
      <xdr:row>756</xdr:row>
      <xdr:rowOff>71437</xdr:rowOff>
    </xdr:to>
    <xdr:cxnSp macro="">
      <xdr:nvCxnSpPr>
        <xdr:cNvPr id="31" name="Curved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1988344" y="216550874"/>
          <a:ext cx="5834062" cy="1333501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751</xdr:row>
      <xdr:rowOff>130968</xdr:rowOff>
    </xdr:from>
    <xdr:to>
      <xdr:col>8</xdr:col>
      <xdr:colOff>71438</xdr:colOff>
      <xdr:row>756</xdr:row>
      <xdr:rowOff>202406</xdr:rowOff>
    </xdr:to>
    <xdr:cxnSp macro="">
      <xdr:nvCxnSpPr>
        <xdr:cNvPr id="32" name="Curved Connector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595563" y="216396093"/>
          <a:ext cx="1726406" cy="1619251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800</xdr:row>
      <xdr:rowOff>285749</xdr:rowOff>
    </xdr:from>
    <xdr:to>
      <xdr:col>17</xdr:col>
      <xdr:colOff>142875</xdr:colOff>
      <xdr:row>805</xdr:row>
      <xdr:rowOff>71437</xdr:rowOff>
    </xdr:to>
    <xdr:cxnSp macro="">
      <xdr:nvCxnSpPr>
        <xdr:cNvPr id="33" name="Curved Connector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988344" y="231719437"/>
          <a:ext cx="5834062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800</xdr:row>
      <xdr:rowOff>130968</xdr:rowOff>
    </xdr:from>
    <xdr:to>
      <xdr:col>8</xdr:col>
      <xdr:colOff>71438</xdr:colOff>
      <xdr:row>805</xdr:row>
      <xdr:rowOff>202406</xdr:rowOff>
    </xdr:to>
    <xdr:cxnSp macro="">
      <xdr:nvCxnSpPr>
        <xdr:cNvPr id="34" name="Curved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>
          <a:off x="2595563" y="231564656"/>
          <a:ext cx="172640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190502</xdr:colOff>
      <xdr:row>59</xdr:row>
      <xdr:rowOff>107159</xdr:rowOff>
    </xdr:from>
    <xdr:to>
      <xdr:col>17</xdr:col>
      <xdr:colOff>47625</xdr:colOff>
      <xdr:row>62</xdr:row>
      <xdr:rowOff>47626</xdr:rowOff>
    </xdr:to>
    <xdr:cxnSp macro="">
      <xdr:nvCxnSpPr>
        <xdr:cNvPr id="2" name="Curved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 rot="10800000">
          <a:off x="1714502" y="15073315"/>
          <a:ext cx="3607592" cy="86915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178595</xdr:colOff>
      <xdr:row>59</xdr:row>
      <xdr:rowOff>226218</xdr:rowOff>
    </xdr:from>
    <xdr:to>
      <xdr:col>8</xdr:col>
      <xdr:colOff>90489</xdr:colOff>
      <xdr:row>62</xdr:row>
      <xdr:rowOff>35718</xdr:rowOff>
    </xdr:to>
    <xdr:cxnSp macro="">
      <xdr:nvCxnSpPr>
        <xdr:cNvPr id="3" name="Curved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rot="10800000" flipV="1">
          <a:off x="1952626" y="15192374"/>
          <a:ext cx="1162051" cy="738188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107</xdr:row>
      <xdr:rowOff>285749</xdr:rowOff>
    </xdr:from>
    <xdr:to>
      <xdr:col>17</xdr:col>
      <xdr:colOff>142875</xdr:colOff>
      <xdr:row>112</xdr:row>
      <xdr:rowOff>71437</xdr:rowOff>
    </xdr:to>
    <xdr:cxnSp macro="">
      <xdr:nvCxnSpPr>
        <xdr:cNvPr id="4" name="Curved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547813" y="14942343"/>
          <a:ext cx="3869531" cy="1333500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107</xdr:row>
      <xdr:rowOff>130968</xdr:rowOff>
    </xdr:from>
    <xdr:to>
      <xdr:col>8</xdr:col>
      <xdr:colOff>71438</xdr:colOff>
      <xdr:row>112</xdr:row>
      <xdr:rowOff>202406</xdr:rowOff>
    </xdr:to>
    <xdr:cxnSp macro="">
      <xdr:nvCxnSpPr>
        <xdr:cNvPr id="5" name="Curved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019300" y="14787562"/>
          <a:ext cx="1076326" cy="161925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156</xdr:row>
      <xdr:rowOff>285749</xdr:rowOff>
    </xdr:from>
    <xdr:to>
      <xdr:col>17</xdr:col>
      <xdr:colOff>142875</xdr:colOff>
      <xdr:row>161</xdr:row>
      <xdr:rowOff>71437</xdr:rowOff>
    </xdr:to>
    <xdr:cxnSp macro="">
      <xdr:nvCxnSpPr>
        <xdr:cNvPr id="6" name="Curved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547813" y="26917649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156</xdr:row>
      <xdr:rowOff>130968</xdr:rowOff>
    </xdr:from>
    <xdr:to>
      <xdr:col>8</xdr:col>
      <xdr:colOff>71438</xdr:colOff>
      <xdr:row>161</xdr:row>
      <xdr:rowOff>202406</xdr:rowOff>
    </xdr:to>
    <xdr:cxnSp macro="">
      <xdr:nvCxnSpPr>
        <xdr:cNvPr id="7" name="Curved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2019300" y="26848593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205</xdr:row>
      <xdr:rowOff>285749</xdr:rowOff>
    </xdr:from>
    <xdr:to>
      <xdr:col>17</xdr:col>
      <xdr:colOff>142875</xdr:colOff>
      <xdr:row>210</xdr:row>
      <xdr:rowOff>71437</xdr:rowOff>
    </xdr:to>
    <xdr:cxnSp macro="">
      <xdr:nvCxnSpPr>
        <xdr:cNvPr id="8" name="Curved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547813" y="36835555"/>
          <a:ext cx="3869531" cy="883445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205</xdr:row>
      <xdr:rowOff>130968</xdr:rowOff>
    </xdr:from>
    <xdr:to>
      <xdr:col>8</xdr:col>
      <xdr:colOff>71438</xdr:colOff>
      <xdr:row>210</xdr:row>
      <xdr:rowOff>202406</xdr:rowOff>
    </xdr:to>
    <xdr:cxnSp macro="">
      <xdr:nvCxnSpPr>
        <xdr:cNvPr id="9" name="Curved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2019300" y="36766499"/>
          <a:ext cx="1076326" cy="108347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254</xdr:row>
      <xdr:rowOff>285749</xdr:rowOff>
    </xdr:from>
    <xdr:to>
      <xdr:col>17</xdr:col>
      <xdr:colOff>142875</xdr:colOff>
      <xdr:row>259</xdr:row>
      <xdr:rowOff>71437</xdr:rowOff>
    </xdr:to>
    <xdr:cxnSp macro="">
      <xdr:nvCxnSpPr>
        <xdr:cNvPr id="10" name="Curved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547813" y="46753462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254</xdr:row>
      <xdr:rowOff>130968</xdr:rowOff>
    </xdr:from>
    <xdr:to>
      <xdr:col>8</xdr:col>
      <xdr:colOff>71438</xdr:colOff>
      <xdr:row>259</xdr:row>
      <xdr:rowOff>202406</xdr:rowOff>
    </xdr:to>
    <xdr:cxnSp macro="">
      <xdr:nvCxnSpPr>
        <xdr:cNvPr id="11" name="Curved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2019300" y="46684406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303</xdr:row>
      <xdr:rowOff>285749</xdr:rowOff>
    </xdr:from>
    <xdr:to>
      <xdr:col>17</xdr:col>
      <xdr:colOff>142875</xdr:colOff>
      <xdr:row>308</xdr:row>
      <xdr:rowOff>71437</xdr:rowOff>
    </xdr:to>
    <xdr:cxnSp macro="">
      <xdr:nvCxnSpPr>
        <xdr:cNvPr id="12" name="Curved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547813" y="56671368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303</xdr:row>
      <xdr:rowOff>130968</xdr:rowOff>
    </xdr:from>
    <xdr:to>
      <xdr:col>8</xdr:col>
      <xdr:colOff>71438</xdr:colOff>
      <xdr:row>308</xdr:row>
      <xdr:rowOff>202406</xdr:rowOff>
    </xdr:to>
    <xdr:cxnSp macro="">
      <xdr:nvCxnSpPr>
        <xdr:cNvPr id="13" name="Curved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2019300" y="56602312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352</xdr:row>
      <xdr:rowOff>285749</xdr:rowOff>
    </xdr:from>
    <xdr:to>
      <xdr:col>17</xdr:col>
      <xdr:colOff>142875</xdr:colOff>
      <xdr:row>357</xdr:row>
      <xdr:rowOff>71437</xdr:rowOff>
    </xdr:to>
    <xdr:cxnSp macro="">
      <xdr:nvCxnSpPr>
        <xdr:cNvPr id="14" name="Curved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1547813" y="66589274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352</xdr:row>
      <xdr:rowOff>130968</xdr:rowOff>
    </xdr:from>
    <xdr:to>
      <xdr:col>8</xdr:col>
      <xdr:colOff>71438</xdr:colOff>
      <xdr:row>357</xdr:row>
      <xdr:rowOff>202406</xdr:rowOff>
    </xdr:to>
    <xdr:cxnSp macro="">
      <xdr:nvCxnSpPr>
        <xdr:cNvPr id="15" name="Curved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2019300" y="66520218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401</xdr:row>
      <xdr:rowOff>285749</xdr:rowOff>
    </xdr:from>
    <xdr:to>
      <xdr:col>17</xdr:col>
      <xdr:colOff>142875</xdr:colOff>
      <xdr:row>406</xdr:row>
      <xdr:rowOff>71437</xdr:rowOff>
    </xdr:to>
    <xdr:cxnSp macro="">
      <xdr:nvCxnSpPr>
        <xdr:cNvPr id="16" name="Curved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547813" y="76507180"/>
          <a:ext cx="3869531" cy="883445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401</xdr:row>
      <xdr:rowOff>130968</xdr:rowOff>
    </xdr:from>
    <xdr:to>
      <xdr:col>8</xdr:col>
      <xdr:colOff>71438</xdr:colOff>
      <xdr:row>406</xdr:row>
      <xdr:rowOff>202406</xdr:rowOff>
    </xdr:to>
    <xdr:cxnSp macro="">
      <xdr:nvCxnSpPr>
        <xdr:cNvPr id="17" name="Curved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2019300" y="76438124"/>
          <a:ext cx="1076326" cy="108347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450</xdr:row>
      <xdr:rowOff>285749</xdr:rowOff>
    </xdr:from>
    <xdr:to>
      <xdr:col>17</xdr:col>
      <xdr:colOff>142875</xdr:colOff>
      <xdr:row>455</xdr:row>
      <xdr:rowOff>71437</xdr:rowOff>
    </xdr:to>
    <xdr:cxnSp macro="">
      <xdr:nvCxnSpPr>
        <xdr:cNvPr id="18" name="Curved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547813" y="86425087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450</xdr:row>
      <xdr:rowOff>130968</xdr:rowOff>
    </xdr:from>
    <xdr:to>
      <xdr:col>8</xdr:col>
      <xdr:colOff>71438</xdr:colOff>
      <xdr:row>455</xdr:row>
      <xdr:rowOff>202406</xdr:rowOff>
    </xdr:to>
    <xdr:cxnSp macro="">
      <xdr:nvCxnSpPr>
        <xdr:cNvPr id="19" name="Curved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2019300" y="86356031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499</xdr:row>
      <xdr:rowOff>285749</xdr:rowOff>
    </xdr:from>
    <xdr:to>
      <xdr:col>17</xdr:col>
      <xdr:colOff>142875</xdr:colOff>
      <xdr:row>504</xdr:row>
      <xdr:rowOff>71437</xdr:rowOff>
    </xdr:to>
    <xdr:cxnSp macro="">
      <xdr:nvCxnSpPr>
        <xdr:cNvPr id="20" name="Curved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547813" y="96342993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499</xdr:row>
      <xdr:rowOff>130968</xdr:rowOff>
    </xdr:from>
    <xdr:to>
      <xdr:col>8</xdr:col>
      <xdr:colOff>71438</xdr:colOff>
      <xdr:row>504</xdr:row>
      <xdr:rowOff>202406</xdr:rowOff>
    </xdr:to>
    <xdr:cxnSp macro="">
      <xdr:nvCxnSpPr>
        <xdr:cNvPr id="21" name="Curved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2019300" y="96273937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548</xdr:row>
      <xdr:rowOff>285749</xdr:rowOff>
    </xdr:from>
    <xdr:to>
      <xdr:col>17</xdr:col>
      <xdr:colOff>142875</xdr:colOff>
      <xdr:row>553</xdr:row>
      <xdr:rowOff>71437</xdr:rowOff>
    </xdr:to>
    <xdr:cxnSp macro="">
      <xdr:nvCxnSpPr>
        <xdr:cNvPr id="22" name="Curved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547813" y="106260899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548</xdr:row>
      <xdr:rowOff>130968</xdr:rowOff>
    </xdr:from>
    <xdr:to>
      <xdr:col>8</xdr:col>
      <xdr:colOff>71438</xdr:colOff>
      <xdr:row>553</xdr:row>
      <xdr:rowOff>202406</xdr:rowOff>
    </xdr:to>
    <xdr:cxnSp macro="">
      <xdr:nvCxnSpPr>
        <xdr:cNvPr id="23" name="Curved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2019300" y="106191843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597</xdr:row>
      <xdr:rowOff>285749</xdr:rowOff>
    </xdr:from>
    <xdr:to>
      <xdr:col>17</xdr:col>
      <xdr:colOff>142875</xdr:colOff>
      <xdr:row>602</xdr:row>
      <xdr:rowOff>71437</xdr:rowOff>
    </xdr:to>
    <xdr:cxnSp macro="">
      <xdr:nvCxnSpPr>
        <xdr:cNvPr id="24" name="Curved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547813" y="116178805"/>
          <a:ext cx="3869531" cy="883445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597</xdr:row>
      <xdr:rowOff>130968</xdr:rowOff>
    </xdr:from>
    <xdr:to>
      <xdr:col>8</xdr:col>
      <xdr:colOff>71438</xdr:colOff>
      <xdr:row>602</xdr:row>
      <xdr:rowOff>202406</xdr:rowOff>
    </xdr:to>
    <xdr:cxnSp macro="">
      <xdr:nvCxnSpPr>
        <xdr:cNvPr id="25" name="Curved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2019300" y="116109749"/>
          <a:ext cx="1076326" cy="108347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646</xdr:row>
      <xdr:rowOff>285749</xdr:rowOff>
    </xdr:from>
    <xdr:to>
      <xdr:col>17</xdr:col>
      <xdr:colOff>142875</xdr:colOff>
      <xdr:row>651</xdr:row>
      <xdr:rowOff>71437</xdr:rowOff>
    </xdr:to>
    <xdr:cxnSp macro="">
      <xdr:nvCxnSpPr>
        <xdr:cNvPr id="26" name="Curved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547813" y="126096712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646</xdr:row>
      <xdr:rowOff>130968</xdr:rowOff>
    </xdr:from>
    <xdr:to>
      <xdr:col>8</xdr:col>
      <xdr:colOff>71438</xdr:colOff>
      <xdr:row>651</xdr:row>
      <xdr:rowOff>202406</xdr:rowOff>
    </xdr:to>
    <xdr:cxnSp macro="">
      <xdr:nvCxnSpPr>
        <xdr:cNvPr id="27" name="Curved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2019300" y="126027656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695</xdr:row>
      <xdr:rowOff>285749</xdr:rowOff>
    </xdr:from>
    <xdr:to>
      <xdr:col>17</xdr:col>
      <xdr:colOff>142875</xdr:colOff>
      <xdr:row>700</xdr:row>
      <xdr:rowOff>71437</xdr:rowOff>
    </xdr:to>
    <xdr:cxnSp macro="">
      <xdr:nvCxnSpPr>
        <xdr:cNvPr id="28" name="Curved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547813" y="136014618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695</xdr:row>
      <xdr:rowOff>130968</xdr:rowOff>
    </xdr:from>
    <xdr:to>
      <xdr:col>8</xdr:col>
      <xdr:colOff>71438</xdr:colOff>
      <xdr:row>700</xdr:row>
      <xdr:rowOff>202406</xdr:rowOff>
    </xdr:to>
    <xdr:cxnSp macro="">
      <xdr:nvCxnSpPr>
        <xdr:cNvPr id="29" name="Curved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2019300" y="135945562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744</xdr:row>
      <xdr:rowOff>285749</xdr:rowOff>
    </xdr:from>
    <xdr:to>
      <xdr:col>17</xdr:col>
      <xdr:colOff>142875</xdr:colOff>
      <xdr:row>749</xdr:row>
      <xdr:rowOff>71437</xdr:rowOff>
    </xdr:to>
    <xdr:cxnSp macro="">
      <xdr:nvCxnSpPr>
        <xdr:cNvPr id="30" name="Curved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547813" y="145932524"/>
          <a:ext cx="3869531" cy="883444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744</xdr:row>
      <xdr:rowOff>130968</xdr:rowOff>
    </xdr:from>
    <xdr:to>
      <xdr:col>8</xdr:col>
      <xdr:colOff>71438</xdr:colOff>
      <xdr:row>749</xdr:row>
      <xdr:rowOff>202406</xdr:rowOff>
    </xdr:to>
    <xdr:cxnSp macro="">
      <xdr:nvCxnSpPr>
        <xdr:cNvPr id="31" name="Curved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2019300" y="145863468"/>
          <a:ext cx="1076326" cy="1083469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23813</xdr:colOff>
      <xdr:row>793</xdr:row>
      <xdr:rowOff>285749</xdr:rowOff>
    </xdr:from>
    <xdr:to>
      <xdr:col>17</xdr:col>
      <xdr:colOff>142875</xdr:colOff>
      <xdr:row>798</xdr:row>
      <xdr:rowOff>71437</xdr:rowOff>
    </xdr:to>
    <xdr:cxnSp macro="">
      <xdr:nvCxnSpPr>
        <xdr:cNvPr id="32" name="Curved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547813" y="155850430"/>
          <a:ext cx="3869531" cy="883445"/>
        </a:xfrm>
        <a:prstGeom prst="curvedConnector3">
          <a:avLst>
            <a:gd name="adj1" fmla="val -1367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273844</xdr:colOff>
      <xdr:row>793</xdr:row>
      <xdr:rowOff>130968</xdr:rowOff>
    </xdr:from>
    <xdr:to>
      <xdr:col>8</xdr:col>
      <xdr:colOff>71438</xdr:colOff>
      <xdr:row>798</xdr:row>
      <xdr:rowOff>202406</xdr:rowOff>
    </xdr:to>
    <xdr:cxnSp macro="">
      <xdr:nvCxnSpPr>
        <xdr:cNvPr id="33" name="Curved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2019300" y="155781374"/>
          <a:ext cx="1076326" cy="1083470"/>
        </a:xfrm>
        <a:prstGeom prst="curvedConnector3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447676</xdr:colOff>
      <xdr:row>33</xdr:row>
      <xdr:rowOff>133350</xdr:rowOff>
    </xdr:from>
    <xdr:to>
      <xdr:col>11</xdr:col>
      <xdr:colOff>342901</xdr:colOff>
      <xdr:row>37</xdr:row>
      <xdr:rowOff>161925</xdr:rowOff>
    </xdr:to>
    <xdr:cxnSp macro="">
      <xdr:nvCxnSpPr>
        <xdr:cNvPr id="2" name="Curved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 rot="5400000">
          <a:off x="6496051" y="6753225"/>
          <a:ext cx="790575" cy="504825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485776</xdr:colOff>
      <xdr:row>33</xdr:row>
      <xdr:rowOff>133350</xdr:rowOff>
    </xdr:from>
    <xdr:to>
      <xdr:col>10</xdr:col>
      <xdr:colOff>381001</xdr:colOff>
      <xdr:row>37</xdr:row>
      <xdr:rowOff>161925</xdr:rowOff>
    </xdr:to>
    <xdr:cxnSp macro="">
      <xdr:nvCxnSpPr>
        <xdr:cNvPr id="3" name="Curved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rot="5400000">
          <a:off x="5924551" y="6753225"/>
          <a:ext cx="790575" cy="504825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314326</xdr:colOff>
      <xdr:row>33</xdr:row>
      <xdr:rowOff>142874</xdr:rowOff>
    </xdr:from>
    <xdr:to>
      <xdr:col>9</xdr:col>
      <xdr:colOff>457203</xdr:colOff>
      <xdr:row>36</xdr:row>
      <xdr:rowOff>190499</xdr:rowOff>
    </xdr:to>
    <xdr:cxnSp macro="">
      <xdr:nvCxnSpPr>
        <xdr:cNvPr id="4" name="Curved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rot="10800000" flipV="1">
          <a:off x="5286376" y="6619874"/>
          <a:ext cx="752477" cy="619125"/>
        </a:xfrm>
        <a:prstGeom prst="curvedConnector3">
          <a:avLst>
            <a:gd name="adj1" fmla="val 7658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266700</xdr:colOff>
      <xdr:row>34</xdr:row>
      <xdr:rowOff>19050</xdr:rowOff>
    </xdr:from>
    <xdr:to>
      <xdr:col>11</xdr:col>
      <xdr:colOff>533400</xdr:colOff>
      <xdr:row>37</xdr:row>
      <xdr:rowOff>9525</xdr:rowOff>
    </xdr:to>
    <xdr:cxnSp macro="">
      <xdr:nvCxnSpPr>
        <xdr:cNvPr id="5" name="Curved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5238750" y="6686550"/>
          <a:ext cx="2095500" cy="561975"/>
        </a:xfrm>
        <a:prstGeom prst="curvedConnector3">
          <a:avLst>
            <a:gd name="adj1" fmla="val 9727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409575</xdr:colOff>
      <xdr:row>33</xdr:row>
      <xdr:rowOff>142875</xdr:rowOff>
    </xdr:from>
    <xdr:to>
      <xdr:col>16</xdr:col>
      <xdr:colOff>304800</xdr:colOff>
      <xdr:row>37</xdr:row>
      <xdr:rowOff>171450</xdr:rowOff>
    </xdr:to>
    <xdr:cxnSp macro="">
      <xdr:nvCxnSpPr>
        <xdr:cNvPr id="6" name="Curved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rot="5400000">
          <a:off x="9505950" y="6762750"/>
          <a:ext cx="790575" cy="504825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466725</xdr:colOff>
      <xdr:row>33</xdr:row>
      <xdr:rowOff>123825</xdr:rowOff>
    </xdr:from>
    <xdr:to>
      <xdr:col>15</xdr:col>
      <xdr:colOff>361950</xdr:colOff>
      <xdr:row>37</xdr:row>
      <xdr:rowOff>152400</xdr:rowOff>
    </xdr:to>
    <xdr:cxnSp macro="">
      <xdr:nvCxnSpPr>
        <xdr:cNvPr id="7" name="Curved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rot="5400000">
          <a:off x="8953500" y="6743700"/>
          <a:ext cx="790575" cy="504825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33</xdr:row>
      <xdr:rowOff>114300</xdr:rowOff>
    </xdr:from>
    <xdr:to>
      <xdr:col>14</xdr:col>
      <xdr:colOff>114300</xdr:colOff>
      <xdr:row>37</xdr:row>
      <xdr:rowOff>142875</xdr:rowOff>
    </xdr:to>
    <xdr:cxnSp macro="">
      <xdr:nvCxnSpPr>
        <xdr:cNvPr id="8" name="Curved Connector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 rot="5400000">
          <a:off x="8096250" y="6734175"/>
          <a:ext cx="790575" cy="504825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180975</xdr:colOff>
      <xdr:row>34</xdr:row>
      <xdr:rowOff>57150</xdr:rowOff>
    </xdr:from>
    <xdr:to>
      <xdr:col>16</xdr:col>
      <xdr:colOff>447675</xdr:colOff>
      <xdr:row>37</xdr:row>
      <xdr:rowOff>47625</xdr:rowOff>
    </xdr:to>
    <xdr:cxnSp macro="">
      <xdr:nvCxnSpPr>
        <xdr:cNvPr id="9" name="Curved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8201025" y="6724650"/>
          <a:ext cx="2095500" cy="561975"/>
        </a:xfrm>
        <a:prstGeom prst="curvedConnector3">
          <a:avLst>
            <a:gd name="adj1" fmla="val 9727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43</xdr:row>
      <xdr:rowOff>47625</xdr:rowOff>
    </xdr:from>
    <xdr:to>
      <xdr:col>12</xdr:col>
      <xdr:colOff>180975</xdr:colOff>
      <xdr:row>44</xdr:row>
      <xdr:rowOff>114300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7419975" y="8429625"/>
          <a:ext cx="17145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43</xdr:row>
      <xdr:rowOff>28575</xdr:rowOff>
    </xdr:from>
    <xdr:to>
      <xdr:col>13</xdr:col>
      <xdr:colOff>0</xdr:colOff>
      <xdr:row>44</xdr:row>
      <xdr:rowOff>123825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7867650" y="8410575"/>
          <a:ext cx="1524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79</xdr:row>
      <xdr:rowOff>47625</xdr:rowOff>
    </xdr:from>
    <xdr:to>
      <xdr:col>14</xdr:col>
      <xdr:colOff>180975</xdr:colOff>
      <xdr:row>80</xdr:row>
      <xdr:rowOff>114300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8639175" y="15287625"/>
          <a:ext cx="17145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79</xdr:row>
      <xdr:rowOff>28575</xdr:rowOff>
    </xdr:from>
    <xdr:to>
      <xdr:col>15</xdr:col>
      <xdr:colOff>0</xdr:colOff>
      <xdr:row>80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9086850" y="15268575"/>
          <a:ext cx="1524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113</xdr:row>
      <xdr:rowOff>47625</xdr:rowOff>
    </xdr:from>
    <xdr:to>
      <xdr:col>14</xdr:col>
      <xdr:colOff>180975</xdr:colOff>
      <xdr:row>114</xdr:row>
      <xdr:rowOff>114300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8639175" y="21764625"/>
          <a:ext cx="17145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113</xdr:row>
      <xdr:rowOff>28575</xdr:rowOff>
    </xdr:from>
    <xdr:to>
      <xdr:col>15</xdr:col>
      <xdr:colOff>0</xdr:colOff>
      <xdr:row>114</xdr:row>
      <xdr:rowOff>123825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>
          <a:off x="9086850" y="21745575"/>
          <a:ext cx="1524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147</xdr:row>
      <xdr:rowOff>47625</xdr:rowOff>
    </xdr:from>
    <xdr:to>
      <xdr:col>14</xdr:col>
      <xdr:colOff>180975</xdr:colOff>
      <xdr:row>148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8639175" y="28241625"/>
          <a:ext cx="17145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147</xdr:row>
      <xdr:rowOff>28575</xdr:rowOff>
    </xdr:from>
    <xdr:to>
      <xdr:col>15</xdr:col>
      <xdr:colOff>0</xdr:colOff>
      <xdr:row>148</xdr:row>
      <xdr:rowOff>123825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9086850" y="28222575"/>
          <a:ext cx="1524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180</xdr:row>
      <xdr:rowOff>47625</xdr:rowOff>
    </xdr:from>
    <xdr:to>
      <xdr:col>14</xdr:col>
      <xdr:colOff>180975</xdr:colOff>
      <xdr:row>181</xdr:row>
      <xdr:rowOff>114300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8639175" y="34528125"/>
          <a:ext cx="17145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180</xdr:row>
      <xdr:rowOff>28575</xdr:rowOff>
    </xdr:from>
    <xdr:to>
      <xdr:col>15</xdr:col>
      <xdr:colOff>0</xdr:colOff>
      <xdr:row>181</xdr:row>
      <xdr:rowOff>123825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 flipH="1">
          <a:off x="9086850" y="34509075"/>
          <a:ext cx="1524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213</xdr:row>
      <xdr:rowOff>47625</xdr:rowOff>
    </xdr:from>
    <xdr:to>
      <xdr:col>14</xdr:col>
      <xdr:colOff>180975</xdr:colOff>
      <xdr:row>214</xdr:row>
      <xdr:rowOff>114300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3476625" y="34528125"/>
          <a:ext cx="17145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213</xdr:row>
      <xdr:rowOff>28575</xdr:rowOff>
    </xdr:from>
    <xdr:to>
      <xdr:col>15</xdr:col>
      <xdr:colOff>0</xdr:colOff>
      <xdr:row>214</xdr:row>
      <xdr:rowOff>123825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H="1">
          <a:off x="3714750" y="34509075"/>
          <a:ext cx="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246</xdr:row>
      <xdr:rowOff>47625</xdr:rowOff>
    </xdr:from>
    <xdr:to>
      <xdr:col>14</xdr:col>
      <xdr:colOff>180975</xdr:colOff>
      <xdr:row>247</xdr:row>
      <xdr:rowOff>114300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3476625" y="26546175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246</xdr:row>
      <xdr:rowOff>28575</xdr:rowOff>
    </xdr:from>
    <xdr:to>
      <xdr:col>15</xdr:col>
      <xdr:colOff>0</xdr:colOff>
      <xdr:row>247</xdr:row>
      <xdr:rowOff>123825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H="1">
          <a:off x="3714750" y="26527125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280</xdr:row>
      <xdr:rowOff>47625</xdr:rowOff>
    </xdr:from>
    <xdr:to>
      <xdr:col>14</xdr:col>
      <xdr:colOff>180975</xdr:colOff>
      <xdr:row>281</xdr:row>
      <xdr:rowOff>114300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3476625" y="30660975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280</xdr:row>
      <xdr:rowOff>28575</xdr:rowOff>
    </xdr:from>
    <xdr:to>
      <xdr:col>15</xdr:col>
      <xdr:colOff>0</xdr:colOff>
      <xdr:row>281</xdr:row>
      <xdr:rowOff>123825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H="1">
          <a:off x="3714750" y="30641925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317</xdr:row>
      <xdr:rowOff>47625</xdr:rowOff>
    </xdr:from>
    <xdr:to>
      <xdr:col>14</xdr:col>
      <xdr:colOff>180975</xdr:colOff>
      <xdr:row>318</xdr:row>
      <xdr:rowOff>114300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3476625" y="34871025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317</xdr:row>
      <xdr:rowOff>28575</xdr:rowOff>
    </xdr:from>
    <xdr:to>
      <xdr:col>15</xdr:col>
      <xdr:colOff>0</xdr:colOff>
      <xdr:row>318</xdr:row>
      <xdr:rowOff>123825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H="1">
          <a:off x="3714750" y="34851975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352</xdr:row>
      <xdr:rowOff>47625</xdr:rowOff>
    </xdr:from>
    <xdr:to>
      <xdr:col>14</xdr:col>
      <xdr:colOff>180975</xdr:colOff>
      <xdr:row>353</xdr:row>
      <xdr:rowOff>114300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3476625" y="39452550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352</xdr:row>
      <xdr:rowOff>28575</xdr:rowOff>
    </xdr:from>
    <xdr:to>
      <xdr:col>15</xdr:col>
      <xdr:colOff>0</xdr:colOff>
      <xdr:row>353</xdr:row>
      <xdr:rowOff>123825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3714750" y="39433500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387</xdr:row>
      <xdr:rowOff>47625</xdr:rowOff>
    </xdr:from>
    <xdr:to>
      <xdr:col>14</xdr:col>
      <xdr:colOff>180975</xdr:colOff>
      <xdr:row>388</xdr:row>
      <xdr:rowOff>114300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3476625" y="43786425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387</xdr:row>
      <xdr:rowOff>28575</xdr:rowOff>
    </xdr:from>
    <xdr:to>
      <xdr:col>15</xdr:col>
      <xdr:colOff>0</xdr:colOff>
      <xdr:row>388</xdr:row>
      <xdr:rowOff>123825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H="1">
          <a:off x="3714750" y="43767375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422</xdr:row>
      <xdr:rowOff>47625</xdr:rowOff>
    </xdr:from>
    <xdr:to>
      <xdr:col>14</xdr:col>
      <xdr:colOff>180975</xdr:colOff>
      <xdr:row>423</xdr:row>
      <xdr:rowOff>114300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3476625" y="48120300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422</xdr:row>
      <xdr:rowOff>28575</xdr:rowOff>
    </xdr:from>
    <xdr:to>
      <xdr:col>15</xdr:col>
      <xdr:colOff>0</xdr:colOff>
      <xdr:row>423</xdr:row>
      <xdr:rowOff>123825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H="1">
          <a:off x="3714750" y="48101250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457</xdr:row>
      <xdr:rowOff>47625</xdr:rowOff>
    </xdr:from>
    <xdr:to>
      <xdr:col>14</xdr:col>
      <xdr:colOff>180975</xdr:colOff>
      <xdr:row>458</xdr:row>
      <xdr:rowOff>114300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3476625" y="52454175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457</xdr:row>
      <xdr:rowOff>28575</xdr:rowOff>
    </xdr:from>
    <xdr:to>
      <xdr:col>15</xdr:col>
      <xdr:colOff>0</xdr:colOff>
      <xdr:row>458</xdr:row>
      <xdr:rowOff>123825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>
          <a:off x="3714750" y="52435125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492</xdr:row>
      <xdr:rowOff>47625</xdr:rowOff>
    </xdr:from>
    <xdr:to>
      <xdr:col>14</xdr:col>
      <xdr:colOff>180975</xdr:colOff>
      <xdr:row>493</xdr:row>
      <xdr:rowOff>114300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3476625" y="56788050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492</xdr:row>
      <xdr:rowOff>28575</xdr:rowOff>
    </xdr:from>
    <xdr:to>
      <xdr:col>15</xdr:col>
      <xdr:colOff>0</xdr:colOff>
      <xdr:row>493</xdr:row>
      <xdr:rowOff>123825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 flipH="1">
          <a:off x="3714750" y="56769000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527</xdr:row>
      <xdr:rowOff>47625</xdr:rowOff>
    </xdr:from>
    <xdr:to>
      <xdr:col>14</xdr:col>
      <xdr:colOff>180975</xdr:colOff>
      <xdr:row>528</xdr:row>
      <xdr:rowOff>114300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>
          <a:off x="3476625" y="61121925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527</xdr:row>
      <xdr:rowOff>28575</xdr:rowOff>
    </xdr:from>
    <xdr:to>
      <xdr:col>15</xdr:col>
      <xdr:colOff>0</xdr:colOff>
      <xdr:row>528</xdr:row>
      <xdr:rowOff>123825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H="1">
          <a:off x="3714750" y="61102875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562</xdr:row>
      <xdr:rowOff>47625</xdr:rowOff>
    </xdr:from>
    <xdr:to>
      <xdr:col>14</xdr:col>
      <xdr:colOff>180975</xdr:colOff>
      <xdr:row>563</xdr:row>
      <xdr:rowOff>114300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>
          <a:off x="3476625" y="65455800"/>
          <a:ext cx="17145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562</xdr:row>
      <xdr:rowOff>28575</xdr:rowOff>
    </xdr:from>
    <xdr:to>
      <xdr:col>15</xdr:col>
      <xdr:colOff>0</xdr:colOff>
      <xdr:row>563</xdr:row>
      <xdr:rowOff>123825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H="1">
          <a:off x="3714750" y="65436750"/>
          <a:ext cx="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N842"/>
  <sheetViews>
    <sheetView tabSelected="1" topLeftCell="A52" zoomScale="80" zoomScaleNormal="80" workbookViewId="0">
      <selection activeCell="K58" sqref="K58"/>
    </sheetView>
  </sheetViews>
  <sheetFormatPr defaultColWidth="5.7109375" defaultRowHeight="24.95" customHeight="1" x14ac:dyDescent="0.25"/>
  <cols>
    <col min="1" max="1" width="25.42578125" style="21" customWidth="1"/>
    <col min="2" max="2" width="4.140625" style="64" customWidth="1"/>
    <col min="3" max="3" width="5.42578125" style="62" customWidth="1"/>
    <col min="4" max="4" width="4.5703125" style="21" customWidth="1"/>
    <col min="5" max="5" width="6.5703125" style="21" bestFit="1" customWidth="1"/>
    <col min="6" max="6" width="7.140625" style="21" customWidth="1"/>
    <col min="7" max="16384" width="5.7109375" style="21"/>
  </cols>
  <sheetData>
    <row r="1" spans="1:66" ht="24.95" customHeight="1" x14ac:dyDescent="0.25">
      <c r="A1" s="216" t="s">
        <v>655</v>
      </c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</row>
    <row r="2" spans="1:66" ht="24.95" customHeight="1" x14ac:dyDescent="0.25">
      <c r="A2" s="217" t="s">
        <v>656</v>
      </c>
      <c r="E2" s="210" t="s">
        <v>266</v>
      </c>
      <c r="F2" s="211" t="s">
        <v>401</v>
      </c>
      <c r="G2" s="212" t="s">
        <v>426</v>
      </c>
      <c r="H2" s="213" t="s">
        <v>401</v>
      </c>
      <c r="I2" s="210" t="s">
        <v>414</v>
      </c>
      <c r="J2" s="209" t="s">
        <v>269</v>
      </c>
      <c r="K2" s="214" t="s">
        <v>401</v>
      </c>
      <c r="L2" s="215" t="s">
        <v>425</v>
      </c>
    </row>
    <row r="3" spans="1:66" ht="24.95" customHeight="1" x14ac:dyDescent="0.25">
      <c r="A3" s="221" t="s">
        <v>657</v>
      </c>
    </row>
    <row r="4" spans="1:66" ht="24.95" customHeight="1" thickBot="1" x14ac:dyDescent="0.3">
      <c r="A4" s="222" t="s">
        <v>658</v>
      </c>
      <c r="E4" s="35" t="str">
        <f>MID(A4,1,1)</f>
        <v>\</v>
      </c>
      <c r="F4" s="35" t="str">
        <f>MID(A4,2,1)</f>
        <v>k</v>
      </c>
      <c r="G4" s="35" t="str">
        <f>MID(A4,3,1)</f>
        <v>u</v>
      </c>
      <c r="H4" s="35" t="str">
        <f>MID(A4,4,1)</f>
        <v>r</v>
      </c>
      <c r="I4" s="35" t="str">
        <f>MID(A4,5,1)</f>
        <v>d</v>
      </c>
      <c r="J4" s="35" t="str">
        <f>MID(A4,6,1)</f>
        <v>i</v>
      </c>
      <c r="K4" s="35" t="str">
        <f>MID(A4,7,1)</f>
        <v>s</v>
      </c>
      <c r="L4" s="35" t="str">
        <f>MID(A4,8,1)</f>
        <v>h</v>
      </c>
    </row>
    <row r="5" spans="1:66" ht="16.5" thickTop="1" thickBot="1" x14ac:dyDescent="0.3">
      <c r="A5" s="223" t="s">
        <v>647</v>
      </c>
      <c r="B5" s="224" t="str">
        <f>E2</f>
        <v>S</v>
      </c>
      <c r="C5" s="224"/>
      <c r="D5" s="224"/>
      <c r="E5" s="224"/>
      <c r="F5" s="224"/>
      <c r="G5" s="224"/>
      <c r="H5" s="224"/>
      <c r="I5" s="224"/>
      <c r="J5" s="225" t="str">
        <f>F2</f>
        <v>a</v>
      </c>
      <c r="K5" s="226"/>
      <c r="L5" s="226"/>
      <c r="M5" s="226"/>
      <c r="N5" s="226"/>
      <c r="O5" s="226"/>
      <c r="P5" s="226"/>
      <c r="Q5" s="227"/>
      <c r="R5" s="231" t="str">
        <f>G2</f>
        <v>z</v>
      </c>
      <c r="S5" s="231"/>
      <c r="T5" s="231"/>
      <c r="U5" s="231"/>
      <c r="V5" s="231"/>
      <c r="W5" s="231"/>
      <c r="X5" s="231"/>
      <c r="Y5" s="231"/>
      <c r="Z5" s="232" t="str">
        <f>H2</f>
        <v>a</v>
      </c>
      <c r="AA5" s="232"/>
      <c r="AB5" s="232"/>
      <c r="AC5" s="232"/>
      <c r="AD5" s="232"/>
      <c r="AE5" s="232"/>
      <c r="AF5" s="232"/>
      <c r="AG5" s="232"/>
      <c r="AH5" s="233" t="str">
        <f>I2</f>
        <v>n</v>
      </c>
      <c r="AI5" s="233"/>
      <c r="AJ5" s="233"/>
      <c r="AK5" s="233"/>
      <c r="AL5" s="233"/>
      <c r="AM5" s="233"/>
      <c r="AN5" s="233"/>
      <c r="AO5" s="233"/>
      <c r="AP5" s="234" t="str">
        <f>J2</f>
        <v>H</v>
      </c>
      <c r="AQ5" s="234"/>
      <c r="AR5" s="234"/>
      <c r="AS5" s="234"/>
      <c r="AT5" s="234"/>
      <c r="AU5" s="234"/>
      <c r="AV5" s="234"/>
      <c r="AW5" s="234"/>
      <c r="AX5" s="235" t="str">
        <f>K2</f>
        <v>a</v>
      </c>
      <c r="AY5" s="235"/>
      <c r="AZ5" s="235"/>
      <c r="BA5" s="235"/>
      <c r="BB5" s="235"/>
      <c r="BC5" s="235"/>
      <c r="BD5" s="235"/>
      <c r="BE5" s="235"/>
      <c r="BF5" s="236" t="str">
        <f>L2</f>
        <v>y</v>
      </c>
      <c r="BG5" s="236"/>
      <c r="BH5" s="236"/>
      <c r="BI5" s="236"/>
      <c r="BJ5" s="236"/>
      <c r="BK5" s="236"/>
      <c r="BL5" s="236"/>
      <c r="BM5" s="236"/>
    </row>
    <row r="6" spans="1:66" ht="16.5" thickTop="1" thickBot="1" x14ac:dyDescent="0.3">
      <c r="A6" s="223"/>
      <c r="B6" s="224"/>
      <c r="C6" s="224"/>
      <c r="D6" s="224"/>
      <c r="E6" s="224"/>
      <c r="F6" s="224"/>
      <c r="G6" s="224"/>
      <c r="H6" s="224"/>
      <c r="I6" s="224"/>
      <c r="J6" s="228"/>
      <c r="K6" s="229"/>
      <c r="L6" s="229"/>
      <c r="M6" s="229"/>
      <c r="N6" s="229"/>
      <c r="O6" s="229"/>
      <c r="P6" s="229"/>
      <c r="Q6" s="230"/>
      <c r="R6" s="231"/>
      <c r="S6" s="231"/>
      <c r="T6" s="231"/>
      <c r="U6" s="231"/>
      <c r="V6" s="231"/>
      <c r="W6" s="231"/>
      <c r="X6" s="231"/>
      <c r="Y6" s="231"/>
      <c r="Z6" s="232"/>
      <c r="AA6" s="232"/>
      <c r="AB6" s="232"/>
      <c r="AC6" s="232"/>
      <c r="AD6" s="232"/>
      <c r="AE6" s="232"/>
      <c r="AF6" s="232"/>
      <c r="AG6" s="232"/>
      <c r="AH6" s="233"/>
      <c r="AI6" s="233"/>
      <c r="AJ6" s="233"/>
      <c r="AK6" s="233"/>
      <c r="AL6" s="233"/>
      <c r="AM6" s="233"/>
      <c r="AN6" s="233"/>
      <c r="AO6" s="233"/>
      <c r="AP6" s="234"/>
      <c r="AQ6" s="234"/>
      <c r="AR6" s="234"/>
      <c r="AS6" s="234"/>
      <c r="AT6" s="234"/>
      <c r="AU6" s="234"/>
      <c r="AV6" s="234"/>
      <c r="AW6" s="234"/>
      <c r="AX6" s="235"/>
      <c r="AY6" s="235"/>
      <c r="AZ6" s="235"/>
      <c r="BA6" s="235"/>
      <c r="BB6" s="235"/>
      <c r="BC6" s="235"/>
      <c r="BD6" s="235"/>
      <c r="BE6" s="235"/>
      <c r="BF6" s="236"/>
      <c r="BG6" s="236"/>
      <c r="BH6" s="236"/>
      <c r="BI6" s="236"/>
      <c r="BJ6" s="236"/>
      <c r="BK6" s="236"/>
      <c r="BL6" s="236"/>
      <c r="BM6" s="236"/>
    </row>
    <row r="7" spans="1:66" ht="16.5" thickTop="1" thickBot="1" x14ac:dyDescent="0.3">
      <c r="A7" s="145" t="s">
        <v>627</v>
      </c>
      <c r="B7" s="139">
        <f t="array" ref="B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conv.'!$L$2:$L$258),2,0)</f>
        <v>0</v>
      </c>
      <c r="C7" s="139">
        <f t="array" ref="C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conv.'!$L$2:$L$258),3,0)</f>
        <v>0</v>
      </c>
      <c r="D7" s="139">
        <f t="array" ref="D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conv.'!$L$2:$L$258),4,0)</f>
        <v>0</v>
      </c>
      <c r="E7" s="139">
        <f t="array" ref="E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conv.'!$L$2:$L$258),5,0)</f>
        <v>1</v>
      </c>
      <c r="F7" s="139">
        <f t="array" ref="F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conv.'!$L$2:$L$258),6,0)</f>
        <v>0</v>
      </c>
      <c r="G7" s="139">
        <f t="array" ref="G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conv.'!$L$2:$L$258),7,0)</f>
        <v>0</v>
      </c>
      <c r="H7" s="139">
        <f t="array" ref="H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conv.'!$L$2:$L$258),8,0)</f>
        <v>1</v>
      </c>
      <c r="I7" s="139">
        <f t="array" ref="I7">VLOOKUP(1,CHOOSE({1,2,3,4,5,6,7,8,9},--EXACT('Letter conv.'!$D$2:$D$258,'DES-Enc'!B5),'Letter conv.'!$E$2:$E$258,'Letter conv.'!$F$2:$F$258,'Letter conv.'!$G$2:$G$258,'Letter conv.'!$H$2:$H$258,'Letter conv.'!$I$2:$I$258,'Letter conv.'!$J$2:$J$258,'Letter conv.'!$K$2:$K$258,'Letter conv.'!$L$2:$L$258),9,0)</f>
        <v>1</v>
      </c>
      <c r="J7" s="138">
        <f t="array" ref="J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conv.'!$L$2:$L$258),2,0)</f>
        <v>0</v>
      </c>
      <c r="K7" s="138">
        <f t="array" ref="K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conv.'!$L$2:$L$258),3,0)</f>
        <v>0</v>
      </c>
      <c r="L7" s="138">
        <f t="array" ref="L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conv.'!$L$2:$L$258),4,0)</f>
        <v>0</v>
      </c>
      <c r="M7" s="138">
        <f t="array" ref="M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conv.'!$L$2:$L$258),5,0)</f>
        <v>1</v>
      </c>
      <c r="N7" s="138">
        <f t="array" ref="N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conv.'!$L$2:$L$258),6,0)</f>
        <v>1</v>
      </c>
      <c r="O7" s="138">
        <f t="array" ref="O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conv.'!$L$2:$L$258),7,0)</f>
        <v>0</v>
      </c>
      <c r="P7" s="138">
        <f t="array" ref="P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conv.'!$L$2:$L$258),8,0)</f>
        <v>1</v>
      </c>
      <c r="Q7" s="138">
        <f t="array" ref="Q7">VLOOKUP(1,CHOOSE({1,2,3,4,5,6,7,8,9},--EXACT('Letter conv.'!$D$2:$D$258,'DES-Enc'!J5),'Letter conv.'!$E$2:$E$258,'Letter conv.'!$F$2:$F$258,'Letter conv.'!$G$2:$G$258,'Letter conv.'!$H$2:$H$258,'Letter conv.'!$I$2:$I$258,'Letter conv.'!$J$2:$J$258,'Letter conv.'!$K$2:$K$258,'Letter conv.'!$L$2:$L$258),9,0)</f>
        <v>1</v>
      </c>
      <c r="R7" s="141">
        <f t="array" ref="R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conv.'!$L$2:$L$258),2,0)</f>
        <v>0</v>
      </c>
      <c r="S7" s="141">
        <f t="array" ref="S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conv.'!$L$2:$L$258),3,0)</f>
        <v>0</v>
      </c>
      <c r="T7" s="141">
        <f t="array" ref="T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conv.'!$L$2:$L$258),4,0)</f>
        <v>1</v>
      </c>
      <c r="U7" s="141">
        <f t="array" ref="U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conv.'!$L$2:$L$258),5,0)</f>
        <v>1</v>
      </c>
      <c r="V7" s="141">
        <f t="array" ref="V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conv.'!$L$2:$L$258),6,0)</f>
        <v>0</v>
      </c>
      <c r="W7" s="141">
        <f t="array" ref="W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conv.'!$L$2:$L$258),7,0)</f>
        <v>1</v>
      </c>
      <c r="X7" s="141">
        <f t="array" ref="X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conv.'!$L$2:$L$258),8,0)</f>
        <v>0</v>
      </c>
      <c r="Y7" s="141">
        <f t="array" ref="Y7">VLOOKUP(1,CHOOSE({1,2,3,4,5,6,7,8,9},--EXACT('Letter conv.'!$D$2:$D$258,'DES-Enc'!R5),'Letter conv.'!$E$2:$E$258,'Letter conv.'!$F$2:$F$258,'Letter conv.'!$G$2:$G$258,'Letter conv.'!$H$2:$H$258,'Letter conv.'!$I$2:$I$258,'Letter conv.'!$J$2:$J$258,'Letter conv.'!$K$2:$K$258,'Letter conv.'!$L$2:$L$258),9,0)</f>
        <v>0</v>
      </c>
      <c r="Z7" s="137">
        <f t="array" ref="Z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conv.'!$L$2:$L$258),2,0)</f>
        <v>0</v>
      </c>
      <c r="AA7" s="137">
        <f t="array" ref="AA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conv.'!$L$2:$L$258),3,0)</f>
        <v>0</v>
      </c>
      <c r="AB7" s="137">
        <f t="array" ref="AB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conv.'!$L$2:$L$258),4,0)</f>
        <v>0</v>
      </c>
      <c r="AC7" s="137">
        <f t="array" ref="AC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conv.'!$L$2:$L$258),5,0)</f>
        <v>1</v>
      </c>
      <c r="AD7" s="137">
        <f t="array" ref="AD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conv.'!$L$2:$L$258),6,0)</f>
        <v>1</v>
      </c>
      <c r="AE7" s="137">
        <f t="array" ref="AE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conv.'!$L$2:$L$258),7,0)</f>
        <v>0</v>
      </c>
      <c r="AF7" s="137">
        <f t="array" ref="AF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conv.'!$L$2:$L$258),8,0)</f>
        <v>1</v>
      </c>
      <c r="AG7" s="137">
        <f t="array" ref="AG7">VLOOKUP(1,CHOOSE({1,2,3,4,5,6,7,8,9},--EXACT('Letter conv.'!$D$2:$D$258,'DES-Enc'!Z5),'Letter conv.'!$E$2:$E$258,'Letter conv.'!$F$2:$F$258,'Letter conv.'!$G$2:$G$258,'Letter conv.'!$H$2:$H$258,'Letter conv.'!$I$2:$I$258,'Letter conv.'!$J$2:$J$258,'Letter conv.'!$K$2:$K$258,'Letter conv.'!$L$2:$L$258),9,0)</f>
        <v>1</v>
      </c>
      <c r="AH7" s="142">
        <f t="array" ref="AH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conv.'!$L$2:$L$258),2,0)</f>
        <v>0</v>
      </c>
      <c r="AI7" s="142">
        <f t="array" ref="AI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conv.'!$L$2:$L$258),3,0)</f>
        <v>0</v>
      </c>
      <c r="AJ7" s="142">
        <f t="array" ref="AJ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conv.'!$L$2:$L$258),4,0)</f>
        <v>1</v>
      </c>
      <c r="AK7" s="142">
        <f t="array" ref="AK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conv.'!$L$2:$L$258),5,0)</f>
        <v>0</v>
      </c>
      <c r="AL7" s="142">
        <f t="array" ref="AL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conv.'!$L$2:$L$258),6,0)</f>
        <v>1</v>
      </c>
      <c r="AM7" s="142">
        <f t="array" ref="AM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conv.'!$L$2:$L$258),7,0)</f>
        <v>0</v>
      </c>
      <c r="AN7" s="142">
        <f t="array" ref="AN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conv.'!$L$2:$L$258),8,0)</f>
        <v>0</v>
      </c>
      <c r="AO7" s="142">
        <f t="array" ref="AO7">VLOOKUP(1,CHOOSE({1,2,3,4,5,6,7,8,9},--EXACT('Letter conv.'!$D$2:$D$258,'DES-Enc'!AH5),'Letter conv.'!$E$2:$E$258,'Letter conv.'!$F$2:$F$258,'Letter conv.'!$G$2:$G$258,'Letter conv.'!$H$2:$H$258,'Letter conv.'!$I$2:$I$258,'Letter conv.'!$J$2:$J$258,'Letter conv.'!$K$2:$K$258,'Letter conv.'!$L$2:$L$258),9,0)</f>
        <v>0</v>
      </c>
      <c r="AP7" s="140">
        <f t="array" ref="AP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conv.'!$L$2:$L$258),2,0)</f>
        <v>0</v>
      </c>
      <c r="AQ7" s="140">
        <f t="array" ref="AQ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conv.'!$L$2:$L$258),3,0)</f>
        <v>0</v>
      </c>
      <c r="AR7" s="140">
        <f t="array" ref="AR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conv.'!$L$2:$L$258),4,0)</f>
        <v>0</v>
      </c>
      <c r="AS7" s="140">
        <f t="array" ref="AS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conv.'!$L$2:$L$258),5,0)</f>
        <v>0</v>
      </c>
      <c r="AT7" s="140">
        <f t="array" ref="AT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conv.'!$L$2:$L$258),6,0)</f>
        <v>1</v>
      </c>
      <c r="AU7" s="140">
        <f t="array" ref="AU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conv.'!$L$2:$L$258),7,0)</f>
        <v>0</v>
      </c>
      <c r="AV7" s="140">
        <f t="array" ref="AV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conv.'!$L$2:$L$258),8,0)</f>
        <v>0</v>
      </c>
      <c r="AW7" s="140">
        <f t="array" ref="AW7">VLOOKUP(1,CHOOSE({1,2,3,4,5,6,7,8,9},--EXACT('Letter conv.'!$D$2:$D$258,'DES-Enc'!AP5),'Letter conv.'!$E$2:$E$258,'Letter conv.'!$F$2:$F$258,'Letter conv.'!$G$2:$G$258,'Letter conv.'!$H$2:$H$258,'Letter conv.'!$I$2:$I$258,'Letter conv.'!$J$2:$J$258,'Letter conv.'!$K$2:$K$258,'Letter conv.'!$L$2:$L$258),9,0)</f>
        <v>0</v>
      </c>
      <c r="AX7" s="143">
        <f t="array" ref="AX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conv.'!$L$2:$L$258),2,0)</f>
        <v>0</v>
      </c>
      <c r="AY7" s="143">
        <f t="array" ref="AY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conv.'!$L$2:$L$258),3,0)</f>
        <v>0</v>
      </c>
      <c r="AZ7" s="143">
        <f t="array" ref="AZ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conv.'!$L$2:$L$258),4,0)</f>
        <v>0</v>
      </c>
      <c r="BA7" s="143">
        <f t="array" ref="BA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conv.'!$L$2:$L$258),5,0)</f>
        <v>1</v>
      </c>
      <c r="BB7" s="143">
        <f t="array" ref="BB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conv.'!$L$2:$L$258),6,0)</f>
        <v>1</v>
      </c>
      <c r="BC7" s="143">
        <f t="array" ref="BC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conv.'!$L$2:$L$258),7,0)</f>
        <v>0</v>
      </c>
      <c r="BD7" s="143">
        <f t="array" ref="BD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conv.'!$L$2:$L$258),8,0)</f>
        <v>1</v>
      </c>
      <c r="BE7" s="143">
        <f t="array" ref="BE7">VLOOKUP(1,CHOOSE({1,2,3,4,5,6,7,8,9},--EXACT('Letter conv.'!$D$2:$D$258,'DES-Enc'!AX5),'Letter conv.'!$E$2:$E$258,'Letter conv.'!$F$2:$F$258,'Letter conv.'!$G$2:$G$258,'Letter conv.'!$H$2:$H$258,'Letter conv.'!$I$2:$I$258,'Letter conv.'!$J$2:$J$258,'Letter conv.'!$K$2:$K$258,'Letter conv.'!$L$2:$L$258),9,0)</f>
        <v>1</v>
      </c>
      <c r="BF7" s="144">
        <f t="array" ref="BF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conv.'!$L$2:$L$258),2,0)</f>
        <v>0</v>
      </c>
      <c r="BG7" s="144">
        <f t="array" ref="BG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conv.'!$L$2:$L$258),3,0)</f>
        <v>0</v>
      </c>
      <c r="BH7" s="144">
        <f t="array" ref="BH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conv.'!$L$2:$L$258),4,0)</f>
        <v>1</v>
      </c>
      <c r="BI7" s="144">
        <f t="array" ref="BI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conv.'!$L$2:$L$258),5,0)</f>
        <v>1</v>
      </c>
      <c r="BJ7" s="144">
        <f t="array" ref="BJ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conv.'!$L$2:$L$258),6,0)</f>
        <v>0</v>
      </c>
      <c r="BK7" s="144">
        <f t="array" ref="BK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conv.'!$L$2:$L$258),7,0)</f>
        <v>0</v>
      </c>
      <c r="BL7" s="144">
        <f t="array" ref="BL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conv.'!$L$2:$L$258),8,0)</f>
        <v>1</v>
      </c>
      <c r="BM7" s="144">
        <f t="array" ref="BM7">VLOOKUP(1,CHOOSE({1,2,3,4,5,6,7,8,9},--EXACT('Letter conv.'!$D$2:$D$258,'DES-Enc'!BF5),'Letter conv.'!$E$2:$E$258,'Letter conv.'!$F$2:$F$258,'Letter conv.'!$G$2:$G$258,'Letter conv.'!$H$2:$H$258,'Letter conv.'!$I$2:$I$258,'Letter conv.'!$J$2:$J$258,'Letter conv.'!$K$2:$K$258,'Letter conv.'!$L$2:$L$258),9,0)</f>
        <v>1</v>
      </c>
    </row>
    <row r="8" spans="1:66" ht="9.9499999999999993" customHeight="1" thickTop="1" x14ac:dyDescent="0.25">
      <c r="B8" s="21">
        <v>1</v>
      </c>
      <c r="C8" s="21">
        <v>2</v>
      </c>
      <c r="D8" s="21">
        <v>3</v>
      </c>
      <c r="E8" s="21">
        <v>4</v>
      </c>
      <c r="F8" s="21">
        <v>5</v>
      </c>
      <c r="G8" s="21">
        <v>6</v>
      </c>
      <c r="H8" s="21">
        <v>7</v>
      </c>
      <c r="I8" s="21">
        <v>8</v>
      </c>
      <c r="J8" s="21">
        <v>9</v>
      </c>
      <c r="K8" s="21">
        <v>10</v>
      </c>
      <c r="L8" s="21">
        <v>11</v>
      </c>
      <c r="M8" s="21">
        <v>12</v>
      </c>
      <c r="N8" s="21">
        <v>13</v>
      </c>
      <c r="O8" s="21">
        <v>14</v>
      </c>
      <c r="P8" s="21">
        <v>15</v>
      </c>
      <c r="Q8" s="21">
        <v>16</v>
      </c>
      <c r="R8" s="21">
        <v>17</v>
      </c>
      <c r="S8" s="21">
        <v>18</v>
      </c>
      <c r="T8" s="21">
        <v>19</v>
      </c>
      <c r="U8" s="21">
        <v>20</v>
      </c>
      <c r="V8" s="21">
        <v>21</v>
      </c>
      <c r="W8" s="21">
        <v>22</v>
      </c>
      <c r="X8" s="21">
        <v>23</v>
      </c>
      <c r="Y8" s="21">
        <v>24</v>
      </c>
      <c r="Z8" s="21">
        <v>25</v>
      </c>
      <c r="AA8" s="21">
        <v>26</v>
      </c>
      <c r="AB8" s="21">
        <v>27</v>
      </c>
      <c r="AC8" s="21">
        <v>28</v>
      </c>
      <c r="AD8" s="21">
        <v>29</v>
      </c>
      <c r="AE8" s="21">
        <v>30</v>
      </c>
      <c r="AF8" s="21">
        <v>31</v>
      </c>
      <c r="AG8" s="21">
        <v>32</v>
      </c>
      <c r="AH8" s="21">
        <v>33</v>
      </c>
      <c r="AI8" s="21">
        <v>34</v>
      </c>
      <c r="AJ8" s="21">
        <v>35</v>
      </c>
      <c r="AK8" s="21">
        <v>36</v>
      </c>
      <c r="AL8" s="21">
        <v>37</v>
      </c>
      <c r="AM8" s="21">
        <v>38</v>
      </c>
      <c r="AN8" s="21">
        <v>39</v>
      </c>
      <c r="AO8" s="21">
        <v>40</v>
      </c>
      <c r="AP8" s="21">
        <v>41</v>
      </c>
      <c r="AQ8" s="21">
        <v>42</v>
      </c>
      <c r="AR8" s="21">
        <v>43</v>
      </c>
      <c r="AS8" s="21">
        <v>44</v>
      </c>
      <c r="AT8" s="21">
        <v>45</v>
      </c>
      <c r="AU8" s="21">
        <v>46</v>
      </c>
      <c r="AV8" s="21">
        <v>47</v>
      </c>
      <c r="AW8" s="21">
        <v>48</v>
      </c>
      <c r="AX8" s="21">
        <v>49</v>
      </c>
      <c r="AY8" s="21">
        <v>50</v>
      </c>
      <c r="AZ8" s="21">
        <v>51</v>
      </c>
      <c r="BA8" s="21">
        <v>52</v>
      </c>
      <c r="BB8" s="21">
        <v>53</v>
      </c>
      <c r="BC8" s="21">
        <v>54</v>
      </c>
      <c r="BD8" s="21">
        <v>55</v>
      </c>
      <c r="BE8" s="21">
        <v>56</v>
      </c>
      <c r="BF8" s="21">
        <v>57</v>
      </c>
      <c r="BG8" s="21">
        <v>58</v>
      </c>
      <c r="BH8" s="21">
        <v>59</v>
      </c>
      <c r="BI8" s="21">
        <v>60</v>
      </c>
      <c r="BJ8" s="21">
        <v>61</v>
      </c>
      <c r="BK8" s="21">
        <v>62</v>
      </c>
      <c r="BL8" s="21">
        <v>63</v>
      </c>
      <c r="BM8" s="21">
        <v>64</v>
      </c>
    </row>
    <row r="10" spans="1:66" ht="15" x14ac:dyDescent="0.25">
      <c r="B10" s="20"/>
      <c r="C10" s="20"/>
      <c r="D10" s="20"/>
      <c r="E10" s="25"/>
      <c r="F10" s="25"/>
      <c r="G10" s="25"/>
      <c r="H10" s="25"/>
      <c r="I10" s="25"/>
      <c r="J10" s="25"/>
      <c r="K10" s="25"/>
      <c r="L10" s="25"/>
    </row>
    <row r="11" spans="1:66" ht="15" x14ac:dyDescent="0.25">
      <c r="B11" s="20"/>
      <c r="C11" s="244" t="str">
        <f>B5</f>
        <v>S</v>
      </c>
      <c r="D11" s="245"/>
      <c r="E11" s="245"/>
      <c r="F11" s="245"/>
      <c r="G11" s="245"/>
      <c r="H11" s="245"/>
      <c r="I11" s="245"/>
      <c r="J11" s="245"/>
      <c r="K11" s="246" t="str">
        <f>J5</f>
        <v>a</v>
      </c>
      <c r="L11" s="247"/>
      <c r="M11" s="247"/>
      <c r="N11" s="247"/>
      <c r="O11" s="247"/>
      <c r="P11" s="247"/>
      <c r="Q11" s="247"/>
      <c r="R11" s="247"/>
      <c r="S11" s="248" t="str">
        <f>R5</f>
        <v>z</v>
      </c>
      <c r="T11" s="249"/>
      <c r="U11" s="249"/>
      <c r="V11" s="249"/>
      <c r="W11" s="249"/>
      <c r="X11" s="249"/>
      <c r="Y11" s="249"/>
      <c r="Z11" s="249"/>
      <c r="AA11" s="250" t="str">
        <f>Z5</f>
        <v>a</v>
      </c>
      <c r="AB11" s="251"/>
      <c r="AC11" s="251"/>
      <c r="AD11" s="251"/>
      <c r="AE11" s="251"/>
      <c r="AF11" s="251"/>
      <c r="AG11" s="251"/>
      <c r="AH11" s="251"/>
      <c r="AI11" s="252" t="str">
        <f>AH5</f>
        <v>n</v>
      </c>
      <c r="AJ11" s="253"/>
      <c r="AK11" s="253"/>
      <c r="AL11" s="253"/>
      <c r="AM11" s="253"/>
      <c r="AN11" s="253"/>
      <c r="AO11" s="253"/>
      <c r="AP11" s="253"/>
      <c r="AQ11" s="254" t="str">
        <f>AP5</f>
        <v>H</v>
      </c>
      <c r="AR11" s="255"/>
      <c r="AS11" s="255"/>
      <c r="AT11" s="255"/>
      <c r="AU11" s="255"/>
      <c r="AV11" s="255"/>
      <c r="AW11" s="255"/>
      <c r="AX11" s="255"/>
      <c r="AY11" s="240" t="str">
        <f>AX5</f>
        <v>a</v>
      </c>
      <c r="AZ11" s="241"/>
      <c r="BA11" s="241"/>
      <c r="BB11" s="241"/>
      <c r="BC11" s="241"/>
      <c r="BD11" s="241"/>
      <c r="BE11" s="241"/>
      <c r="BF11" s="241"/>
      <c r="BG11" s="242" t="str">
        <f>BF5</f>
        <v>y</v>
      </c>
      <c r="BH11" s="243"/>
      <c r="BI11" s="243"/>
      <c r="BJ11" s="243"/>
      <c r="BK11" s="243"/>
      <c r="BL11" s="243"/>
      <c r="BM11" s="243"/>
      <c r="BN11" s="243"/>
    </row>
    <row r="12" spans="1:66" ht="15" x14ac:dyDescent="0.25">
      <c r="B12" s="20"/>
      <c r="C12" s="147">
        <f>B7</f>
        <v>0</v>
      </c>
      <c r="D12" s="147">
        <f t="shared" ref="D12:BN12" si="0">C7</f>
        <v>0</v>
      </c>
      <c r="E12" s="147">
        <f t="shared" si="0"/>
        <v>0</v>
      </c>
      <c r="F12" s="147">
        <f t="shared" si="0"/>
        <v>1</v>
      </c>
      <c r="G12" s="147">
        <f t="shared" si="0"/>
        <v>0</v>
      </c>
      <c r="H12" s="147">
        <f t="shared" si="0"/>
        <v>0</v>
      </c>
      <c r="I12" s="147">
        <f t="shared" si="0"/>
        <v>1</v>
      </c>
      <c r="J12" s="147">
        <f t="shared" si="0"/>
        <v>1</v>
      </c>
      <c r="K12" s="148">
        <f t="shared" si="0"/>
        <v>0</v>
      </c>
      <c r="L12" s="148">
        <f t="shared" si="0"/>
        <v>0</v>
      </c>
      <c r="M12" s="148">
        <f t="shared" si="0"/>
        <v>0</v>
      </c>
      <c r="N12" s="148">
        <f t="shared" si="0"/>
        <v>1</v>
      </c>
      <c r="O12" s="148">
        <f t="shared" si="0"/>
        <v>1</v>
      </c>
      <c r="P12" s="148">
        <f t="shared" si="0"/>
        <v>0</v>
      </c>
      <c r="Q12" s="148">
        <f t="shared" si="0"/>
        <v>1</v>
      </c>
      <c r="R12" s="148">
        <f t="shared" si="0"/>
        <v>1</v>
      </c>
      <c r="S12" s="90">
        <f t="shared" si="0"/>
        <v>0</v>
      </c>
      <c r="T12" s="90">
        <f t="shared" si="0"/>
        <v>0</v>
      </c>
      <c r="U12" s="90">
        <f t="shared" si="0"/>
        <v>1</v>
      </c>
      <c r="V12" s="90">
        <f t="shared" si="0"/>
        <v>1</v>
      </c>
      <c r="W12" s="90">
        <f t="shared" si="0"/>
        <v>0</v>
      </c>
      <c r="X12" s="90">
        <f t="shared" si="0"/>
        <v>1</v>
      </c>
      <c r="Y12" s="90">
        <f t="shared" si="0"/>
        <v>0</v>
      </c>
      <c r="Z12" s="90">
        <f t="shared" si="0"/>
        <v>0</v>
      </c>
      <c r="AA12" s="150">
        <f t="shared" si="0"/>
        <v>0</v>
      </c>
      <c r="AB12" s="150">
        <f t="shared" si="0"/>
        <v>0</v>
      </c>
      <c r="AC12" s="150">
        <f t="shared" si="0"/>
        <v>0</v>
      </c>
      <c r="AD12" s="150">
        <f t="shared" si="0"/>
        <v>1</v>
      </c>
      <c r="AE12" s="150">
        <f t="shared" si="0"/>
        <v>1</v>
      </c>
      <c r="AF12" s="150">
        <f t="shared" si="0"/>
        <v>0</v>
      </c>
      <c r="AG12" s="150">
        <f t="shared" si="0"/>
        <v>1</v>
      </c>
      <c r="AH12" s="150">
        <f t="shared" si="0"/>
        <v>1</v>
      </c>
      <c r="AI12" s="151">
        <f t="shared" si="0"/>
        <v>0</v>
      </c>
      <c r="AJ12" s="151">
        <f t="shared" si="0"/>
        <v>0</v>
      </c>
      <c r="AK12" s="151">
        <f t="shared" si="0"/>
        <v>1</v>
      </c>
      <c r="AL12" s="151">
        <f t="shared" si="0"/>
        <v>0</v>
      </c>
      <c r="AM12" s="151">
        <f t="shared" si="0"/>
        <v>1</v>
      </c>
      <c r="AN12" s="151">
        <f t="shared" si="0"/>
        <v>0</v>
      </c>
      <c r="AO12" s="151">
        <f t="shared" si="0"/>
        <v>0</v>
      </c>
      <c r="AP12" s="151">
        <f t="shared" si="0"/>
        <v>0</v>
      </c>
      <c r="AQ12" s="152">
        <f t="shared" si="0"/>
        <v>0</v>
      </c>
      <c r="AR12" s="152">
        <f t="shared" si="0"/>
        <v>0</v>
      </c>
      <c r="AS12" s="152">
        <f t="shared" si="0"/>
        <v>0</v>
      </c>
      <c r="AT12" s="152">
        <f t="shared" si="0"/>
        <v>0</v>
      </c>
      <c r="AU12" s="152">
        <f t="shared" si="0"/>
        <v>1</v>
      </c>
      <c r="AV12" s="152">
        <f t="shared" si="0"/>
        <v>0</v>
      </c>
      <c r="AW12" s="152">
        <f t="shared" si="0"/>
        <v>0</v>
      </c>
      <c r="AX12" s="152">
        <f t="shared" si="0"/>
        <v>0</v>
      </c>
      <c r="AY12" s="146">
        <f t="shared" si="0"/>
        <v>0</v>
      </c>
      <c r="AZ12" s="146">
        <f t="shared" si="0"/>
        <v>0</v>
      </c>
      <c r="BA12" s="146">
        <f t="shared" si="0"/>
        <v>0</v>
      </c>
      <c r="BB12" s="146">
        <f t="shared" si="0"/>
        <v>1</v>
      </c>
      <c r="BC12" s="146">
        <f t="shared" si="0"/>
        <v>1</v>
      </c>
      <c r="BD12" s="146">
        <f t="shared" si="0"/>
        <v>0</v>
      </c>
      <c r="BE12" s="146">
        <f t="shared" si="0"/>
        <v>1</v>
      </c>
      <c r="BF12" s="146">
        <f t="shared" si="0"/>
        <v>1</v>
      </c>
      <c r="BG12" s="153">
        <f t="shared" si="0"/>
        <v>0</v>
      </c>
      <c r="BH12" s="153">
        <f t="shared" si="0"/>
        <v>0</v>
      </c>
      <c r="BI12" s="153">
        <f t="shared" si="0"/>
        <v>1</v>
      </c>
      <c r="BJ12" s="153">
        <f t="shared" si="0"/>
        <v>1</v>
      </c>
      <c r="BK12" s="153">
        <f t="shared" si="0"/>
        <v>0</v>
      </c>
      <c r="BL12" s="153">
        <f t="shared" si="0"/>
        <v>0</v>
      </c>
      <c r="BM12" s="153">
        <f t="shared" si="0"/>
        <v>1</v>
      </c>
      <c r="BN12" s="153">
        <f t="shared" si="0"/>
        <v>1</v>
      </c>
    </row>
    <row r="13" spans="1:66" ht="15" x14ac:dyDescent="0.25">
      <c r="B13" s="20"/>
      <c r="C13" s="20">
        <v>1</v>
      </c>
      <c r="D13" s="20">
        <v>2</v>
      </c>
      <c r="E13" s="20">
        <v>3</v>
      </c>
      <c r="F13" s="20">
        <v>4</v>
      </c>
      <c r="G13" s="20">
        <v>5</v>
      </c>
      <c r="H13" s="20">
        <v>6</v>
      </c>
      <c r="I13" s="20">
        <v>7</v>
      </c>
      <c r="J13" s="20">
        <v>8</v>
      </c>
      <c r="K13" s="20">
        <v>9</v>
      </c>
      <c r="L13" s="20">
        <v>10</v>
      </c>
      <c r="M13" s="20">
        <v>11</v>
      </c>
      <c r="N13" s="20">
        <v>12</v>
      </c>
      <c r="O13" s="20">
        <v>13</v>
      </c>
      <c r="P13" s="20">
        <v>14</v>
      </c>
      <c r="Q13" s="20">
        <v>15</v>
      </c>
      <c r="R13" s="20">
        <v>16</v>
      </c>
      <c r="S13" s="20">
        <v>17</v>
      </c>
      <c r="T13" s="20">
        <v>18</v>
      </c>
      <c r="U13" s="20">
        <v>19</v>
      </c>
      <c r="V13" s="20">
        <v>20</v>
      </c>
      <c r="W13" s="20">
        <v>21</v>
      </c>
      <c r="X13" s="20">
        <v>22</v>
      </c>
      <c r="Y13" s="20">
        <v>23</v>
      </c>
      <c r="Z13" s="20">
        <v>24</v>
      </c>
      <c r="AA13" s="20">
        <v>25</v>
      </c>
      <c r="AB13" s="20">
        <v>26</v>
      </c>
      <c r="AC13" s="20">
        <v>27</v>
      </c>
      <c r="AD13" s="20">
        <v>28</v>
      </c>
      <c r="AE13" s="20">
        <v>29</v>
      </c>
      <c r="AF13" s="20">
        <v>30</v>
      </c>
      <c r="AG13" s="20">
        <v>31</v>
      </c>
      <c r="AH13" s="20">
        <v>32</v>
      </c>
      <c r="AI13" s="20">
        <v>33</v>
      </c>
      <c r="AJ13" s="20">
        <v>34</v>
      </c>
      <c r="AK13" s="20">
        <v>35</v>
      </c>
      <c r="AL13" s="20">
        <v>36</v>
      </c>
      <c r="AM13" s="20">
        <v>37</v>
      </c>
      <c r="AN13" s="20">
        <v>38</v>
      </c>
      <c r="AO13" s="20">
        <v>39</v>
      </c>
      <c r="AP13" s="20">
        <v>40</v>
      </c>
      <c r="AQ13" s="20">
        <v>41</v>
      </c>
      <c r="AR13" s="20">
        <v>42</v>
      </c>
      <c r="AS13" s="20">
        <v>43</v>
      </c>
      <c r="AT13" s="20">
        <v>44</v>
      </c>
      <c r="AU13" s="20">
        <v>45</v>
      </c>
      <c r="AV13" s="20">
        <v>46</v>
      </c>
      <c r="AW13" s="20">
        <v>47</v>
      </c>
      <c r="AX13" s="20">
        <v>48</v>
      </c>
      <c r="AY13" s="20">
        <v>49</v>
      </c>
      <c r="AZ13" s="20">
        <v>50</v>
      </c>
      <c r="BA13" s="20">
        <v>51</v>
      </c>
      <c r="BB13" s="20">
        <v>52</v>
      </c>
      <c r="BC13" s="20">
        <v>53</v>
      </c>
      <c r="BD13" s="20">
        <v>54</v>
      </c>
      <c r="BE13" s="20">
        <v>55</v>
      </c>
      <c r="BF13" s="20">
        <v>56</v>
      </c>
      <c r="BG13" s="20">
        <v>57</v>
      </c>
      <c r="BH13" s="20">
        <v>58</v>
      </c>
      <c r="BI13" s="20">
        <v>59</v>
      </c>
      <c r="BJ13" s="20">
        <v>60</v>
      </c>
      <c r="BK13" s="20">
        <v>61</v>
      </c>
      <c r="BL13" s="20">
        <v>62</v>
      </c>
      <c r="BM13" s="20">
        <v>63</v>
      </c>
      <c r="BN13" s="20">
        <v>64</v>
      </c>
    </row>
    <row r="14" spans="1:66" ht="15" x14ac:dyDescent="0.25">
      <c r="B14" s="20"/>
      <c r="C14" s="20"/>
      <c r="D14" s="20"/>
      <c r="E14" s="25"/>
      <c r="F14" s="25"/>
      <c r="G14" s="25"/>
      <c r="H14" s="25"/>
      <c r="I14" s="25"/>
      <c r="J14" s="25"/>
      <c r="K14" s="25"/>
      <c r="L14" s="25"/>
    </row>
    <row r="16" spans="1:66" ht="24.95" customHeight="1" x14ac:dyDescent="0.25">
      <c r="A16" s="21">
        <v>1</v>
      </c>
      <c r="B16" s="64" t="s">
        <v>631</v>
      </c>
      <c r="C16" s="64">
        <f>B16+1</f>
        <v>3</v>
      </c>
      <c r="D16" s="64">
        <f t="shared" ref="D16:S16" si="1">C16+1</f>
        <v>4</v>
      </c>
      <c r="E16" s="64">
        <f t="shared" si="1"/>
        <v>5</v>
      </c>
      <c r="F16" s="64">
        <f t="shared" si="1"/>
        <v>6</v>
      </c>
      <c r="G16" s="64">
        <f t="shared" si="1"/>
        <v>7</v>
      </c>
      <c r="H16" s="64">
        <f t="shared" si="1"/>
        <v>8</v>
      </c>
      <c r="I16" s="64">
        <f t="shared" si="1"/>
        <v>9</v>
      </c>
      <c r="J16" s="64">
        <f t="shared" si="1"/>
        <v>10</v>
      </c>
      <c r="K16" s="64">
        <f t="shared" si="1"/>
        <v>11</v>
      </c>
      <c r="L16" s="64">
        <f t="shared" si="1"/>
        <v>12</v>
      </c>
      <c r="M16" s="64">
        <f t="shared" si="1"/>
        <v>13</v>
      </c>
      <c r="N16" s="64">
        <f t="shared" si="1"/>
        <v>14</v>
      </c>
      <c r="O16" s="64">
        <f t="shared" si="1"/>
        <v>15</v>
      </c>
      <c r="P16" s="64">
        <f t="shared" si="1"/>
        <v>16</v>
      </c>
      <c r="Q16" s="64">
        <f t="shared" si="1"/>
        <v>17</v>
      </c>
      <c r="R16" s="64">
        <f t="shared" si="1"/>
        <v>18</v>
      </c>
      <c r="S16" s="64">
        <f t="shared" si="1"/>
        <v>19</v>
      </c>
    </row>
    <row r="17" spans="2:34" ht="24.95" customHeight="1" x14ac:dyDescent="0.25">
      <c r="B17" s="45" t="s">
        <v>529</v>
      </c>
    </row>
    <row r="18" spans="2:34" ht="24.95" customHeight="1" x14ac:dyDescent="0.25">
      <c r="B18" s="63">
        <v>58</v>
      </c>
      <c r="C18" s="63">
        <v>50</v>
      </c>
      <c r="D18" s="63">
        <v>42</v>
      </c>
      <c r="E18" s="63">
        <v>34</v>
      </c>
      <c r="F18" s="63">
        <v>26</v>
      </c>
      <c r="G18" s="63">
        <v>18</v>
      </c>
      <c r="H18" s="63">
        <v>10</v>
      </c>
      <c r="I18" s="63">
        <v>2</v>
      </c>
      <c r="J18" s="21">
        <v>1</v>
      </c>
      <c r="K18" s="189">
        <f>BH12</f>
        <v>0</v>
      </c>
      <c r="L18" s="189">
        <f>AZ12</f>
        <v>0</v>
      </c>
      <c r="M18" s="189">
        <f>AR12</f>
        <v>0</v>
      </c>
      <c r="N18" s="189">
        <f>AJ12</f>
        <v>0</v>
      </c>
      <c r="O18" s="189">
        <f>AB12</f>
        <v>0</v>
      </c>
      <c r="P18" s="189">
        <f>T12</f>
        <v>0</v>
      </c>
      <c r="Q18" s="189">
        <f>L12</f>
        <v>0</v>
      </c>
      <c r="R18" s="189">
        <f>D12</f>
        <v>0</v>
      </c>
      <c r="S18" s="21">
        <v>8</v>
      </c>
    </row>
    <row r="19" spans="2:34" ht="24.95" customHeight="1" x14ac:dyDescent="0.25">
      <c r="B19" s="65">
        <v>60</v>
      </c>
      <c r="C19" s="65">
        <v>52</v>
      </c>
      <c r="D19" s="65">
        <v>44</v>
      </c>
      <c r="E19" s="65">
        <v>36</v>
      </c>
      <c r="F19" s="65">
        <v>28</v>
      </c>
      <c r="G19" s="65">
        <v>20</v>
      </c>
      <c r="H19" s="65">
        <v>12</v>
      </c>
      <c r="I19" s="65">
        <v>4</v>
      </c>
      <c r="J19" s="21">
        <v>9</v>
      </c>
      <c r="K19" s="67">
        <f>BJ12</f>
        <v>1</v>
      </c>
      <c r="L19" s="67">
        <f>BB12</f>
        <v>1</v>
      </c>
      <c r="M19" s="67">
        <f>AT12</f>
        <v>0</v>
      </c>
      <c r="N19" s="67">
        <f>AL12</f>
        <v>0</v>
      </c>
      <c r="O19" s="67">
        <f>AD12</f>
        <v>1</v>
      </c>
      <c r="P19" s="67">
        <f>V12</f>
        <v>1</v>
      </c>
      <c r="Q19" s="67">
        <f>N12</f>
        <v>1</v>
      </c>
      <c r="R19" s="67">
        <f>F12</f>
        <v>1</v>
      </c>
      <c r="S19" s="21">
        <v>16</v>
      </c>
    </row>
    <row r="20" spans="2:34" ht="24.95" customHeight="1" x14ac:dyDescent="0.25">
      <c r="B20" s="65">
        <v>62</v>
      </c>
      <c r="C20" s="65">
        <v>54</v>
      </c>
      <c r="D20" s="65">
        <v>46</v>
      </c>
      <c r="E20" s="65">
        <v>38</v>
      </c>
      <c r="F20" s="65">
        <v>30</v>
      </c>
      <c r="G20" s="65">
        <v>22</v>
      </c>
      <c r="H20" s="65">
        <v>14</v>
      </c>
      <c r="I20" s="65">
        <v>6</v>
      </c>
      <c r="J20" s="21">
        <v>17</v>
      </c>
      <c r="K20" s="67">
        <f>BL12</f>
        <v>0</v>
      </c>
      <c r="L20" s="67">
        <f>BD12</f>
        <v>0</v>
      </c>
      <c r="M20" s="67">
        <f>AV12</f>
        <v>0</v>
      </c>
      <c r="N20" s="67">
        <f>AN12</f>
        <v>0</v>
      </c>
      <c r="O20" s="67">
        <f>AF12</f>
        <v>0</v>
      </c>
      <c r="P20" s="67">
        <f>X12</f>
        <v>1</v>
      </c>
      <c r="Q20" s="67">
        <f>P12</f>
        <v>0</v>
      </c>
      <c r="R20" s="67">
        <f>H12</f>
        <v>0</v>
      </c>
      <c r="S20" s="21">
        <v>24</v>
      </c>
    </row>
    <row r="21" spans="2:34" ht="24.95" customHeight="1" x14ac:dyDescent="0.25">
      <c r="B21" s="65">
        <v>64</v>
      </c>
      <c r="C21" s="65">
        <v>56</v>
      </c>
      <c r="D21" s="65">
        <v>48</v>
      </c>
      <c r="E21" s="65">
        <v>40</v>
      </c>
      <c r="F21" s="65">
        <v>32</v>
      </c>
      <c r="G21" s="65">
        <v>24</v>
      </c>
      <c r="H21" s="65">
        <v>16</v>
      </c>
      <c r="I21" s="65">
        <v>8</v>
      </c>
      <c r="J21" s="66">
        <v>25</v>
      </c>
      <c r="K21" s="67">
        <f>BN12</f>
        <v>1</v>
      </c>
      <c r="L21" s="67">
        <f>BF12</f>
        <v>1</v>
      </c>
      <c r="M21" s="67">
        <f>AX12</f>
        <v>0</v>
      </c>
      <c r="N21" s="67">
        <f>AP12</f>
        <v>0</v>
      </c>
      <c r="O21" s="67">
        <f>AH12</f>
        <v>1</v>
      </c>
      <c r="P21" s="67">
        <f>Z12</f>
        <v>0</v>
      </c>
      <c r="Q21" s="67">
        <f>R12</f>
        <v>1</v>
      </c>
      <c r="R21" s="67">
        <f>J12</f>
        <v>1</v>
      </c>
      <c r="S21" s="21">
        <v>32</v>
      </c>
    </row>
    <row r="22" spans="2:34" ht="24.95" customHeight="1" x14ac:dyDescent="0.25">
      <c r="B22" s="65">
        <v>57</v>
      </c>
      <c r="C22" s="65">
        <v>49</v>
      </c>
      <c r="D22" s="65">
        <v>41</v>
      </c>
      <c r="E22" s="65">
        <v>33</v>
      </c>
      <c r="F22" s="65">
        <v>25</v>
      </c>
      <c r="G22" s="65">
        <v>17</v>
      </c>
      <c r="H22" s="65">
        <v>9</v>
      </c>
      <c r="I22" s="65">
        <v>1</v>
      </c>
      <c r="J22" s="21">
        <v>33</v>
      </c>
      <c r="K22" s="118">
        <f>BG12</f>
        <v>0</v>
      </c>
      <c r="L22" s="118">
        <f>AY12</f>
        <v>0</v>
      </c>
      <c r="M22" s="118">
        <f>AQ12</f>
        <v>0</v>
      </c>
      <c r="N22" s="118">
        <f>AI12</f>
        <v>0</v>
      </c>
      <c r="O22" s="118">
        <f>AA12</f>
        <v>0</v>
      </c>
      <c r="P22" s="118">
        <f>S12</f>
        <v>0</v>
      </c>
      <c r="Q22" s="118">
        <f>K12</f>
        <v>0</v>
      </c>
      <c r="R22" s="118">
        <f>C12</f>
        <v>0</v>
      </c>
      <c r="S22" s="21">
        <v>40</v>
      </c>
    </row>
    <row r="23" spans="2:34" ht="24.95" customHeight="1" x14ac:dyDescent="0.25">
      <c r="B23" s="65">
        <v>59</v>
      </c>
      <c r="C23" s="65">
        <v>51</v>
      </c>
      <c r="D23" s="65">
        <v>43</v>
      </c>
      <c r="E23" s="65">
        <v>35</v>
      </c>
      <c r="F23" s="65">
        <v>27</v>
      </c>
      <c r="G23" s="65">
        <v>19</v>
      </c>
      <c r="H23" s="65">
        <v>11</v>
      </c>
      <c r="I23" s="65">
        <v>3</v>
      </c>
      <c r="J23" s="21">
        <v>41</v>
      </c>
      <c r="K23" s="118">
        <f>BI12</f>
        <v>1</v>
      </c>
      <c r="L23" s="118">
        <f>BA12</f>
        <v>0</v>
      </c>
      <c r="M23" s="118">
        <f>AS12</f>
        <v>0</v>
      </c>
      <c r="N23" s="118">
        <f>AK12</f>
        <v>1</v>
      </c>
      <c r="O23" s="118">
        <f>AC12</f>
        <v>0</v>
      </c>
      <c r="P23" s="118">
        <f>U12</f>
        <v>1</v>
      </c>
      <c r="Q23" s="118">
        <f>M12</f>
        <v>0</v>
      </c>
      <c r="R23" s="118">
        <f>E12</f>
        <v>0</v>
      </c>
      <c r="S23" s="21">
        <v>48</v>
      </c>
    </row>
    <row r="24" spans="2:34" ht="24.95" customHeight="1" x14ac:dyDescent="0.25">
      <c r="B24" s="65">
        <v>61</v>
      </c>
      <c r="C24" s="65">
        <v>53</v>
      </c>
      <c r="D24" s="65">
        <v>45</v>
      </c>
      <c r="E24" s="65">
        <v>37</v>
      </c>
      <c r="F24" s="65">
        <v>29</v>
      </c>
      <c r="G24" s="65">
        <v>21</v>
      </c>
      <c r="H24" s="65">
        <v>13</v>
      </c>
      <c r="I24" s="65">
        <v>5</v>
      </c>
      <c r="J24" s="21">
        <v>49</v>
      </c>
      <c r="K24" s="118">
        <f>BK12</f>
        <v>0</v>
      </c>
      <c r="L24" s="118">
        <f>BC12</f>
        <v>1</v>
      </c>
      <c r="M24" s="118">
        <f>AU12</f>
        <v>1</v>
      </c>
      <c r="N24" s="118">
        <f>AM12</f>
        <v>1</v>
      </c>
      <c r="O24" s="118">
        <f>AE12</f>
        <v>1</v>
      </c>
      <c r="P24" s="118">
        <f>W12</f>
        <v>0</v>
      </c>
      <c r="Q24" s="118">
        <f>O12</f>
        <v>1</v>
      </c>
      <c r="R24" s="118">
        <f>G12</f>
        <v>0</v>
      </c>
      <c r="S24" s="21">
        <v>56</v>
      </c>
    </row>
    <row r="25" spans="2:34" ht="24.95" customHeight="1" x14ac:dyDescent="0.25">
      <c r="B25" s="65">
        <v>63</v>
      </c>
      <c r="C25" s="65">
        <v>55</v>
      </c>
      <c r="D25" s="65">
        <v>47</v>
      </c>
      <c r="E25" s="65">
        <v>39</v>
      </c>
      <c r="F25" s="65">
        <v>31</v>
      </c>
      <c r="G25" s="65">
        <v>23</v>
      </c>
      <c r="H25" s="65">
        <v>15</v>
      </c>
      <c r="I25" s="65">
        <v>7</v>
      </c>
      <c r="J25" s="21">
        <v>57</v>
      </c>
      <c r="K25" s="118">
        <f>BM12</f>
        <v>1</v>
      </c>
      <c r="L25" s="118">
        <f>BE12</f>
        <v>1</v>
      </c>
      <c r="M25" s="118">
        <f>AW12</f>
        <v>0</v>
      </c>
      <c r="N25" s="118">
        <f>AO12</f>
        <v>0</v>
      </c>
      <c r="O25" s="118">
        <f>AG12</f>
        <v>1</v>
      </c>
      <c r="P25" s="118">
        <f>Y12</f>
        <v>0</v>
      </c>
      <c r="Q25" s="118">
        <f>Q12</f>
        <v>1</v>
      </c>
      <c r="R25" s="118">
        <f>I12</f>
        <v>1</v>
      </c>
      <c r="S25" s="21">
        <v>64</v>
      </c>
    </row>
    <row r="26" spans="2:34" ht="24.95" customHeight="1" x14ac:dyDescent="0.25">
      <c r="K26" s="21">
        <v>40</v>
      </c>
      <c r="L26" s="21">
        <v>8</v>
      </c>
      <c r="M26" s="21">
        <v>48</v>
      </c>
      <c r="N26" s="21">
        <v>16</v>
      </c>
      <c r="O26" s="21">
        <v>56</v>
      </c>
      <c r="P26" s="21">
        <v>24</v>
      </c>
      <c r="Q26" s="21">
        <v>64</v>
      </c>
      <c r="R26" s="21">
        <v>32</v>
      </c>
    </row>
    <row r="28" spans="2:34" ht="24.95" customHeight="1" x14ac:dyDescent="0.25">
      <c r="C28" s="116" t="s">
        <v>530</v>
      </c>
      <c r="D28" s="21">
        <v>0</v>
      </c>
    </row>
    <row r="29" spans="2:34" ht="24.95" customHeight="1" x14ac:dyDescent="0.25">
      <c r="C29" s="68">
        <v>1</v>
      </c>
      <c r="D29" s="68">
        <v>2</v>
      </c>
      <c r="E29" s="68">
        <v>3</v>
      </c>
      <c r="F29" s="68">
        <v>4</v>
      </c>
      <c r="G29" s="68">
        <v>5</v>
      </c>
      <c r="H29" s="68">
        <v>6</v>
      </c>
      <c r="I29" s="68">
        <v>7</v>
      </c>
      <c r="J29" s="68">
        <v>8</v>
      </c>
      <c r="K29" s="68">
        <v>9</v>
      </c>
      <c r="L29" s="68">
        <v>10</v>
      </c>
      <c r="M29" s="68">
        <v>11</v>
      </c>
      <c r="N29" s="68">
        <v>12</v>
      </c>
      <c r="O29" s="68">
        <v>13</v>
      </c>
      <c r="P29" s="68">
        <v>14</v>
      </c>
      <c r="Q29" s="68">
        <v>15</v>
      </c>
      <c r="R29" s="68">
        <v>16</v>
      </c>
      <c r="S29" s="68">
        <v>17</v>
      </c>
      <c r="T29" s="68">
        <v>18</v>
      </c>
      <c r="U29" s="68">
        <v>19</v>
      </c>
      <c r="V29" s="68">
        <v>20</v>
      </c>
      <c r="W29" s="68">
        <v>21</v>
      </c>
      <c r="X29" s="68">
        <v>22</v>
      </c>
      <c r="Y29" s="68">
        <v>23</v>
      </c>
      <c r="Z29" s="68">
        <v>24</v>
      </c>
      <c r="AA29" s="68">
        <v>25</v>
      </c>
      <c r="AB29" s="68">
        <v>26</v>
      </c>
      <c r="AC29" s="68">
        <v>27</v>
      </c>
      <c r="AD29" s="68">
        <v>28</v>
      </c>
      <c r="AE29" s="68">
        <v>29</v>
      </c>
      <c r="AF29" s="68">
        <v>30</v>
      </c>
      <c r="AG29" s="68">
        <v>31</v>
      </c>
      <c r="AH29" s="68">
        <v>32</v>
      </c>
    </row>
    <row r="30" spans="2:34" ht="24.95" customHeight="1" x14ac:dyDescent="0.25">
      <c r="C30" s="67">
        <f t="shared" ref="C30:J30" si="2">K18</f>
        <v>0</v>
      </c>
      <c r="D30" s="68">
        <f t="shared" si="2"/>
        <v>0</v>
      </c>
      <c r="E30" s="68">
        <f t="shared" si="2"/>
        <v>0</v>
      </c>
      <c r="F30" s="68">
        <f t="shared" si="2"/>
        <v>0</v>
      </c>
      <c r="G30" s="68">
        <f t="shared" si="2"/>
        <v>0</v>
      </c>
      <c r="H30" s="68">
        <f t="shared" si="2"/>
        <v>0</v>
      </c>
      <c r="I30" s="68">
        <f t="shared" si="2"/>
        <v>0</v>
      </c>
      <c r="J30" s="68">
        <f t="shared" si="2"/>
        <v>0</v>
      </c>
      <c r="K30" s="68">
        <f t="shared" ref="K30:R30" si="3">K19</f>
        <v>1</v>
      </c>
      <c r="L30" s="68">
        <f t="shared" si="3"/>
        <v>1</v>
      </c>
      <c r="M30" s="68">
        <f t="shared" si="3"/>
        <v>0</v>
      </c>
      <c r="N30" s="68">
        <f t="shared" si="3"/>
        <v>0</v>
      </c>
      <c r="O30" s="68">
        <f t="shared" si="3"/>
        <v>1</v>
      </c>
      <c r="P30" s="68">
        <f t="shared" si="3"/>
        <v>1</v>
      </c>
      <c r="Q30" s="68">
        <f t="shared" si="3"/>
        <v>1</v>
      </c>
      <c r="R30" s="68">
        <f t="shared" si="3"/>
        <v>1</v>
      </c>
      <c r="S30" s="68">
        <f t="shared" ref="S30:Z30" si="4">K20</f>
        <v>0</v>
      </c>
      <c r="T30" s="68">
        <f t="shared" si="4"/>
        <v>0</v>
      </c>
      <c r="U30" s="68">
        <f t="shared" si="4"/>
        <v>0</v>
      </c>
      <c r="V30" s="68">
        <f t="shared" si="4"/>
        <v>0</v>
      </c>
      <c r="W30" s="68">
        <f t="shared" si="4"/>
        <v>0</v>
      </c>
      <c r="X30" s="68">
        <f t="shared" si="4"/>
        <v>1</v>
      </c>
      <c r="Y30" s="68">
        <f t="shared" si="4"/>
        <v>0</v>
      </c>
      <c r="Z30" s="68">
        <f t="shared" si="4"/>
        <v>0</v>
      </c>
      <c r="AA30" s="68">
        <f t="shared" ref="AA30:AH30" si="5">K21</f>
        <v>1</v>
      </c>
      <c r="AB30" s="68">
        <f t="shared" si="5"/>
        <v>1</v>
      </c>
      <c r="AC30" s="68">
        <f t="shared" si="5"/>
        <v>0</v>
      </c>
      <c r="AD30" s="68">
        <f t="shared" si="5"/>
        <v>0</v>
      </c>
      <c r="AE30" s="68">
        <f t="shared" si="5"/>
        <v>1</v>
      </c>
      <c r="AF30" s="68">
        <f t="shared" si="5"/>
        <v>0</v>
      </c>
      <c r="AG30" s="68">
        <f t="shared" si="5"/>
        <v>1</v>
      </c>
      <c r="AH30" s="68">
        <f t="shared" si="5"/>
        <v>1</v>
      </c>
    </row>
    <row r="32" spans="2:34" ht="24.95" customHeight="1" x14ac:dyDescent="0.25">
      <c r="C32" s="116" t="s">
        <v>531</v>
      </c>
      <c r="D32" s="21">
        <v>0</v>
      </c>
    </row>
    <row r="33" spans="1:50" ht="24.95" customHeight="1" x14ac:dyDescent="0.25">
      <c r="C33" s="70">
        <v>1</v>
      </c>
      <c r="D33" s="69">
        <v>2</v>
      </c>
      <c r="E33" s="70">
        <v>3</v>
      </c>
      <c r="F33" s="69">
        <v>4</v>
      </c>
      <c r="G33" s="70">
        <v>5</v>
      </c>
      <c r="H33" s="69">
        <v>6</v>
      </c>
      <c r="I33" s="70">
        <v>7</v>
      </c>
      <c r="J33" s="69">
        <v>8</v>
      </c>
      <c r="K33" s="70">
        <v>9</v>
      </c>
      <c r="L33" s="69">
        <v>10</v>
      </c>
      <c r="M33" s="70">
        <v>11</v>
      </c>
      <c r="N33" s="69">
        <v>12</v>
      </c>
      <c r="O33" s="70">
        <v>13</v>
      </c>
      <c r="P33" s="69">
        <v>14</v>
      </c>
      <c r="Q33" s="70">
        <v>15</v>
      </c>
      <c r="R33" s="69">
        <v>16</v>
      </c>
      <c r="S33" s="70">
        <v>17</v>
      </c>
      <c r="T33" s="69">
        <v>18</v>
      </c>
      <c r="U33" s="70">
        <v>19</v>
      </c>
      <c r="V33" s="69">
        <v>20</v>
      </c>
      <c r="W33" s="70">
        <v>21</v>
      </c>
      <c r="X33" s="69">
        <v>22</v>
      </c>
      <c r="Y33" s="70">
        <v>23</v>
      </c>
      <c r="Z33" s="69">
        <v>24</v>
      </c>
      <c r="AA33" s="70">
        <v>25</v>
      </c>
      <c r="AB33" s="69">
        <v>26</v>
      </c>
      <c r="AC33" s="70">
        <v>27</v>
      </c>
      <c r="AD33" s="69">
        <v>28</v>
      </c>
      <c r="AE33" s="70">
        <v>29</v>
      </c>
      <c r="AF33" s="69">
        <v>30</v>
      </c>
      <c r="AG33" s="70">
        <v>31</v>
      </c>
      <c r="AH33" s="69">
        <v>32</v>
      </c>
    </row>
    <row r="34" spans="1:50" ht="24.95" customHeight="1" x14ac:dyDescent="0.25">
      <c r="C34" s="70">
        <f t="shared" ref="C34:J34" si="6">K22</f>
        <v>0</v>
      </c>
      <c r="D34" s="70">
        <f t="shared" si="6"/>
        <v>0</v>
      </c>
      <c r="E34" s="71">
        <f t="shared" si="6"/>
        <v>0</v>
      </c>
      <c r="F34" s="71">
        <f t="shared" si="6"/>
        <v>0</v>
      </c>
      <c r="G34" s="71">
        <f t="shared" si="6"/>
        <v>0</v>
      </c>
      <c r="H34" s="71">
        <f t="shared" si="6"/>
        <v>0</v>
      </c>
      <c r="I34" s="71">
        <f t="shared" si="6"/>
        <v>0</v>
      </c>
      <c r="J34" s="71">
        <f t="shared" si="6"/>
        <v>0</v>
      </c>
      <c r="K34" s="71">
        <f t="shared" ref="K34:R34" si="7">K23</f>
        <v>1</v>
      </c>
      <c r="L34" s="71">
        <f t="shared" si="7"/>
        <v>0</v>
      </c>
      <c r="M34" s="71">
        <f t="shared" si="7"/>
        <v>0</v>
      </c>
      <c r="N34" s="71">
        <f t="shared" si="7"/>
        <v>1</v>
      </c>
      <c r="O34" s="71">
        <f t="shared" si="7"/>
        <v>0</v>
      </c>
      <c r="P34" s="71">
        <f t="shared" si="7"/>
        <v>1</v>
      </c>
      <c r="Q34" s="71">
        <f t="shared" si="7"/>
        <v>0</v>
      </c>
      <c r="R34" s="71">
        <f t="shared" si="7"/>
        <v>0</v>
      </c>
      <c r="S34" s="71">
        <f t="shared" ref="S34:Z34" si="8">K24</f>
        <v>0</v>
      </c>
      <c r="T34" s="71">
        <f t="shared" si="8"/>
        <v>1</v>
      </c>
      <c r="U34" s="71">
        <f t="shared" si="8"/>
        <v>1</v>
      </c>
      <c r="V34" s="71">
        <f t="shared" si="8"/>
        <v>1</v>
      </c>
      <c r="W34" s="71">
        <f t="shared" si="8"/>
        <v>1</v>
      </c>
      <c r="X34" s="71">
        <f t="shared" si="8"/>
        <v>0</v>
      </c>
      <c r="Y34" s="71">
        <f t="shared" si="8"/>
        <v>1</v>
      </c>
      <c r="Z34" s="71">
        <f t="shared" si="8"/>
        <v>0</v>
      </c>
      <c r="AA34" s="71">
        <f t="shared" ref="AA34:AH34" si="9">K25</f>
        <v>1</v>
      </c>
      <c r="AB34" s="71">
        <f t="shared" si="9"/>
        <v>1</v>
      </c>
      <c r="AC34" s="71">
        <f t="shared" si="9"/>
        <v>0</v>
      </c>
      <c r="AD34" s="71">
        <f t="shared" si="9"/>
        <v>0</v>
      </c>
      <c r="AE34" s="71">
        <f t="shared" si="9"/>
        <v>1</v>
      </c>
      <c r="AF34" s="71">
        <f t="shared" si="9"/>
        <v>0</v>
      </c>
      <c r="AG34" s="71">
        <f t="shared" si="9"/>
        <v>1</v>
      </c>
      <c r="AH34" s="71">
        <f t="shared" si="9"/>
        <v>1</v>
      </c>
    </row>
    <row r="36" spans="1:50" s="132" customFormat="1" ht="24.95" customHeight="1" x14ac:dyDescent="0.25">
      <c r="B36" s="133"/>
      <c r="C36" s="134"/>
    </row>
    <row r="38" spans="1:50" ht="24.95" customHeight="1" x14ac:dyDescent="0.25">
      <c r="A38" s="118" t="s">
        <v>532</v>
      </c>
      <c r="B38" s="118"/>
      <c r="C38" s="75">
        <v>32</v>
      </c>
      <c r="D38" s="74">
        <v>1</v>
      </c>
      <c r="E38" s="74">
        <v>2</v>
      </c>
      <c r="F38" s="74">
        <v>3</v>
      </c>
      <c r="G38" s="74">
        <v>4</v>
      </c>
      <c r="H38" s="73">
        <v>5</v>
      </c>
      <c r="I38" s="122"/>
      <c r="J38" s="118">
        <f>AH34</f>
        <v>1</v>
      </c>
      <c r="K38" s="118">
        <f>C34</f>
        <v>0</v>
      </c>
      <c r="L38" s="118">
        <f>D34</f>
        <v>0</v>
      </c>
      <c r="M38" s="118">
        <f>E34</f>
        <v>0</v>
      </c>
      <c r="N38" s="69">
        <f>F34</f>
        <v>0</v>
      </c>
      <c r="O38" s="119">
        <f>G34</f>
        <v>0</v>
      </c>
      <c r="P38" s="122"/>
    </row>
    <row r="39" spans="1:50" ht="24.95" customHeight="1" x14ac:dyDescent="0.25">
      <c r="C39" s="75">
        <v>4</v>
      </c>
      <c r="D39" s="74">
        <v>5</v>
      </c>
      <c r="E39" s="74">
        <v>6</v>
      </c>
      <c r="F39" s="74">
        <v>7</v>
      </c>
      <c r="G39" s="74">
        <v>8</v>
      </c>
      <c r="H39" s="73">
        <v>9</v>
      </c>
      <c r="I39" s="122"/>
      <c r="J39" s="118">
        <f t="shared" ref="J39:O39" si="10">F34</f>
        <v>0</v>
      </c>
      <c r="K39" s="69">
        <f t="shared" si="10"/>
        <v>0</v>
      </c>
      <c r="L39" s="69">
        <f t="shared" si="10"/>
        <v>0</v>
      </c>
      <c r="M39" s="69">
        <f t="shared" si="10"/>
        <v>0</v>
      </c>
      <c r="N39" s="69">
        <f t="shared" si="10"/>
        <v>0</v>
      </c>
      <c r="O39" s="119">
        <f t="shared" si="10"/>
        <v>1</v>
      </c>
      <c r="P39" s="122"/>
    </row>
    <row r="40" spans="1:50" ht="24.95" customHeight="1" x14ac:dyDescent="0.25">
      <c r="C40" s="75">
        <v>8</v>
      </c>
      <c r="D40" s="74">
        <v>9</v>
      </c>
      <c r="E40" s="74">
        <v>10</v>
      </c>
      <c r="F40" s="74">
        <v>11</v>
      </c>
      <c r="G40" s="74">
        <v>12</v>
      </c>
      <c r="H40" s="73">
        <v>13</v>
      </c>
      <c r="I40" s="123"/>
      <c r="J40" s="120">
        <f t="shared" ref="J40:O40" si="11">J34</f>
        <v>0</v>
      </c>
      <c r="K40" s="69">
        <f t="shared" si="11"/>
        <v>1</v>
      </c>
      <c r="L40" s="69">
        <f t="shared" si="11"/>
        <v>0</v>
      </c>
      <c r="M40" s="69">
        <f t="shared" si="11"/>
        <v>0</v>
      </c>
      <c r="N40" s="69">
        <f t="shared" si="11"/>
        <v>1</v>
      </c>
      <c r="O40" s="119">
        <f t="shared" si="11"/>
        <v>0</v>
      </c>
      <c r="P40" s="123"/>
    </row>
    <row r="41" spans="1:50" ht="24.95" customHeight="1" x14ac:dyDescent="0.25">
      <c r="C41" s="75">
        <v>12</v>
      </c>
      <c r="D41" s="74">
        <v>13</v>
      </c>
      <c r="E41" s="74">
        <v>14</v>
      </c>
      <c r="F41" s="74">
        <v>15</v>
      </c>
      <c r="G41" s="74">
        <v>16</v>
      </c>
      <c r="H41" s="73">
        <v>17</v>
      </c>
      <c r="I41" s="122"/>
      <c r="J41" s="118">
        <f t="shared" ref="J41:O41" si="12">N34</f>
        <v>1</v>
      </c>
      <c r="K41" s="69">
        <f t="shared" si="12"/>
        <v>0</v>
      </c>
      <c r="L41" s="69">
        <f t="shared" si="12"/>
        <v>1</v>
      </c>
      <c r="M41" s="69">
        <f t="shared" si="12"/>
        <v>0</v>
      </c>
      <c r="N41" s="69">
        <f t="shared" si="12"/>
        <v>0</v>
      </c>
      <c r="O41" s="119">
        <f t="shared" si="12"/>
        <v>0</v>
      </c>
      <c r="P41" s="122"/>
    </row>
    <row r="42" spans="1:50" ht="24.95" customHeight="1" x14ac:dyDescent="0.25">
      <c r="C42" s="75">
        <v>16</v>
      </c>
      <c r="D42" s="74">
        <v>17</v>
      </c>
      <c r="E42" s="74">
        <v>18</v>
      </c>
      <c r="F42" s="74">
        <v>19</v>
      </c>
      <c r="G42" s="74">
        <v>20</v>
      </c>
      <c r="H42" s="73">
        <v>21</v>
      </c>
      <c r="I42" s="122"/>
      <c r="J42" s="118">
        <f t="shared" ref="J42:O42" si="13">R34</f>
        <v>0</v>
      </c>
      <c r="K42" s="69">
        <f t="shared" si="13"/>
        <v>0</v>
      </c>
      <c r="L42" s="69">
        <f t="shared" si="13"/>
        <v>1</v>
      </c>
      <c r="M42" s="69">
        <f t="shared" si="13"/>
        <v>1</v>
      </c>
      <c r="N42" s="69">
        <f t="shared" si="13"/>
        <v>1</v>
      </c>
      <c r="O42" s="119">
        <f t="shared" si="13"/>
        <v>1</v>
      </c>
      <c r="P42" s="122"/>
    </row>
    <row r="43" spans="1:50" ht="24.95" customHeight="1" x14ac:dyDescent="0.25">
      <c r="C43" s="75">
        <v>20</v>
      </c>
      <c r="D43" s="74">
        <v>21</v>
      </c>
      <c r="E43" s="74">
        <v>22</v>
      </c>
      <c r="F43" s="74">
        <v>23</v>
      </c>
      <c r="G43" s="74">
        <v>24</v>
      </c>
      <c r="H43" s="73">
        <v>25</v>
      </c>
      <c r="I43" s="122"/>
      <c r="J43" s="118">
        <f t="shared" ref="J43:O43" si="14">V34</f>
        <v>1</v>
      </c>
      <c r="K43" s="69">
        <f t="shared" si="14"/>
        <v>1</v>
      </c>
      <c r="L43" s="69">
        <f t="shared" si="14"/>
        <v>0</v>
      </c>
      <c r="M43" s="69">
        <f t="shared" si="14"/>
        <v>1</v>
      </c>
      <c r="N43" s="69">
        <f t="shared" si="14"/>
        <v>0</v>
      </c>
      <c r="O43" s="119">
        <f t="shared" si="14"/>
        <v>1</v>
      </c>
      <c r="P43" s="122"/>
    </row>
    <row r="44" spans="1:50" ht="24.95" customHeight="1" x14ac:dyDescent="0.25">
      <c r="C44" s="75">
        <v>24</v>
      </c>
      <c r="D44" s="74">
        <v>25</v>
      </c>
      <c r="E44" s="74">
        <v>26</v>
      </c>
      <c r="F44" s="74">
        <v>27</v>
      </c>
      <c r="G44" s="74">
        <v>28</v>
      </c>
      <c r="H44" s="73">
        <v>29</v>
      </c>
      <c r="I44" s="122"/>
      <c r="J44" s="118">
        <f t="shared" ref="J44:O44" si="15">Z34</f>
        <v>0</v>
      </c>
      <c r="K44" s="69">
        <f t="shared" si="15"/>
        <v>1</v>
      </c>
      <c r="L44" s="69">
        <f t="shared" si="15"/>
        <v>1</v>
      </c>
      <c r="M44" s="69">
        <f t="shared" si="15"/>
        <v>0</v>
      </c>
      <c r="N44" s="69">
        <f t="shared" si="15"/>
        <v>0</v>
      </c>
      <c r="O44" s="119">
        <f t="shared" si="15"/>
        <v>1</v>
      </c>
      <c r="P44" s="122"/>
    </row>
    <row r="45" spans="1:50" ht="24.95" customHeight="1" x14ac:dyDescent="0.25">
      <c r="C45" s="75">
        <v>28</v>
      </c>
      <c r="D45" s="74">
        <v>29</v>
      </c>
      <c r="E45" s="74">
        <v>30</v>
      </c>
      <c r="F45" s="74">
        <v>31</v>
      </c>
      <c r="G45" s="74">
        <v>32</v>
      </c>
      <c r="H45" s="73">
        <v>1</v>
      </c>
      <c r="I45" s="122"/>
      <c r="J45" s="70">
        <f>AD34</f>
        <v>0</v>
      </c>
      <c r="K45" s="71">
        <f>AE34</f>
        <v>1</v>
      </c>
      <c r="L45" s="71">
        <f>AF34</f>
        <v>0</v>
      </c>
      <c r="M45" s="71">
        <f>AG34</f>
        <v>1</v>
      </c>
      <c r="N45" s="71">
        <f>AH34</f>
        <v>1</v>
      </c>
      <c r="O45" s="121">
        <f>C34</f>
        <v>0</v>
      </c>
      <c r="P45" s="122"/>
    </row>
    <row r="48" spans="1:50" ht="24.95" customHeight="1" x14ac:dyDescent="0.25">
      <c r="A48" s="124" t="s">
        <v>533</v>
      </c>
      <c r="B48" s="124"/>
      <c r="C48" s="125">
        <v>1</v>
      </c>
      <c r="D48" s="126">
        <v>2</v>
      </c>
      <c r="E48" s="125">
        <v>3</v>
      </c>
      <c r="F48" s="126">
        <v>4</v>
      </c>
      <c r="G48" s="125">
        <v>5</v>
      </c>
      <c r="H48" s="126">
        <v>6</v>
      </c>
      <c r="I48" s="125">
        <v>7</v>
      </c>
      <c r="J48" s="126">
        <v>8</v>
      </c>
      <c r="K48" s="125">
        <v>9</v>
      </c>
      <c r="L48" s="126">
        <v>10</v>
      </c>
      <c r="M48" s="125">
        <v>11</v>
      </c>
      <c r="N48" s="126">
        <v>12</v>
      </c>
      <c r="O48" s="125">
        <v>13</v>
      </c>
      <c r="P48" s="126">
        <v>14</v>
      </c>
      <c r="Q48" s="125">
        <v>15</v>
      </c>
      <c r="R48" s="126">
        <v>16</v>
      </c>
      <c r="S48" s="125">
        <v>17</v>
      </c>
      <c r="T48" s="126">
        <v>18</v>
      </c>
      <c r="U48" s="125">
        <v>19</v>
      </c>
      <c r="V48" s="126">
        <v>20</v>
      </c>
      <c r="W48" s="125">
        <v>21</v>
      </c>
      <c r="X48" s="126">
        <v>22</v>
      </c>
      <c r="Y48" s="125">
        <v>23</v>
      </c>
      <c r="Z48" s="126">
        <v>24</v>
      </c>
      <c r="AA48" s="125">
        <v>25</v>
      </c>
      <c r="AB48" s="126">
        <v>26</v>
      </c>
      <c r="AC48" s="125">
        <v>27</v>
      </c>
      <c r="AD48" s="126">
        <v>28</v>
      </c>
      <c r="AE48" s="125">
        <v>29</v>
      </c>
      <c r="AF48" s="126">
        <v>30</v>
      </c>
      <c r="AG48" s="125">
        <v>31</v>
      </c>
      <c r="AH48" s="126">
        <v>32</v>
      </c>
      <c r="AI48" s="125">
        <v>33</v>
      </c>
      <c r="AJ48" s="126">
        <v>34</v>
      </c>
      <c r="AK48" s="125">
        <v>35</v>
      </c>
      <c r="AL48" s="126">
        <v>36</v>
      </c>
      <c r="AM48" s="125">
        <v>37</v>
      </c>
      <c r="AN48" s="126">
        <v>38</v>
      </c>
      <c r="AO48" s="125">
        <v>39</v>
      </c>
      <c r="AP48" s="126">
        <v>40</v>
      </c>
      <c r="AQ48" s="125">
        <v>41</v>
      </c>
      <c r="AR48" s="126">
        <v>42</v>
      </c>
      <c r="AS48" s="125">
        <v>43</v>
      </c>
      <c r="AT48" s="126">
        <v>44</v>
      </c>
      <c r="AU48" s="125">
        <v>45</v>
      </c>
      <c r="AV48" s="126">
        <v>46</v>
      </c>
      <c r="AW48" s="125">
        <v>47</v>
      </c>
      <c r="AX48" s="126">
        <v>48</v>
      </c>
    </row>
    <row r="49" spans="1:50" ht="24.95" customHeight="1" x14ac:dyDescent="0.25">
      <c r="C49" s="125">
        <f t="shared" ref="C49:H49" si="16">J38</f>
        <v>1</v>
      </c>
      <c r="D49" s="125">
        <f t="shared" si="16"/>
        <v>0</v>
      </c>
      <c r="E49" s="125">
        <f t="shared" si="16"/>
        <v>0</v>
      </c>
      <c r="F49" s="125">
        <f t="shared" si="16"/>
        <v>0</v>
      </c>
      <c r="G49" s="126">
        <f t="shared" si="16"/>
        <v>0</v>
      </c>
      <c r="H49" s="126">
        <f t="shared" si="16"/>
        <v>0</v>
      </c>
      <c r="I49" s="125">
        <f t="shared" ref="I49:N49" si="17">J39</f>
        <v>0</v>
      </c>
      <c r="J49" s="125">
        <f t="shared" si="17"/>
        <v>0</v>
      </c>
      <c r="K49" s="125">
        <f t="shared" si="17"/>
        <v>0</v>
      </c>
      <c r="L49" s="125">
        <f t="shared" si="17"/>
        <v>0</v>
      </c>
      <c r="M49" s="125">
        <f t="shared" si="17"/>
        <v>0</v>
      </c>
      <c r="N49" s="125">
        <f t="shared" si="17"/>
        <v>1</v>
      </c>
      <c r="O49" s="126">
        <f t="shared" ref="O49:T49" si="18">J40</f>
        <v>0</v>
      </c>
      <c r="P49" s="126">
        <f t="shared" si="18"/>
        <v>1</v>
      </c>
      <c r="Q49" s="126">
        <f t="shared" si="18"/>
        <v>0</v>
      </c>
      <c r="R49" s="126">
        <f t="shared" si="18"/>
        <v>0</v>
      </c>
      <c r="S49" s="126">
        <f t="shared" si="18"/>
        <v>1</v>
      </c>
      <c r="T49" s="126">
        <f t="shared" si="18"/>
        <v>0</v>
      </c>
      <c r="U49" s="125">
        <f t="shared" ref="U49:Z49" si="19">J41</f>
        <v>1</v>
      </c>
      <c r="V49" s="126">
        <f t="shared" si="19"/>
        <v>0</v>
      </c>
      <c r="W49" s="125">
        <f t="shared" si="19"/>
        <v>1</v>
      </c>
      <c r="X49" s="126">
        <f t="shared" si="19"/>
        <v>0</v>
      </c>
      <c r="Y49" s="125">
        <f t="shared" si="19"/>
        <v>0</v>
      </c>
      <c r="Z49" s="126">
        <f t="shared" si="19"/>
        <v>0</v>
      </c>
      <c r="AA49" s="125">
        <f t="shared" ref="AA49:AF49" si="20">J42</f>
        <v>0</v>
      </c>
      <c r="AB49" s="126">
        <f t="shared" si="20"/>
        <v>0</v>
      </c>
      <c r="AC49" s="125">
        <f t="shared" si="20"/>
        <v>1</v>
      </c>
      <c r="AD49" s="126">
        <f t="shared" si="20"/>
        <v>1</v>
      </c>
      <c r="AE49" s="125">
        <f t="shared" si="20"/>
        <v>1</v>
      </c>
      <c r="AF49" s="126">
        <f t="shared" si="20"/>
        <v>1</v>
      </c>
      <c r="AG49" s="125">
        <f t="shared" ref="AG49:AL49" si="21">J43</f>
        <v>1</v>
      </c>
      <c r="AH49" s="126">
        <f t="shared" si="21"/>
        <v>1</v>
      </c>
      <c r="AI49" s="125">
        <f t="shared" si="21"/>
        <v>0</v>
      </c>
      <c r="AJ49" s="126">
        <f t="shared" si="21"/>
        <v>1</v>
      </c>
      <c r="AK49" s="125">
        <f t="shared" si="21"/>
        <v>0</v>
      </c>
      <c r="AL49" s="126">
        <f t="shared" si="21"/>
        <v>1</v>
      </c>
      <c r="AM49" s="125">
        <f t="shared" ref="AM49:AR49" si="22">J44</f>
        <v>0</v>
      </c>
      <c r="AN49" s="126">
        <f t="shared" si="22"/>
        <v>1</v>
      </c>
      <c r="AO49" s="125">
        <f t="shared" si="22"/>
        <v>1</v>
      </c>
      <c r="AP49" s="126">
        <f t="shared" si="22"/>
        <v>0</v>
      </c>
      <c r="AQ49" s="125">
        <f t="shared" si="22"/>
        <v>0</v>
      </c>
      <c r="AR49" s="126">
        <f t="shared" si="22"/>
        <v>1</v>
      </c>
      <c r="AS49" s="125">
        <f t="shared" ref="AS49:AX49" si="23">J45</f>
        <v>0</v>
      </c>
      <c r="AT49" s="126">
        <f t="shared" si="23"/>
        <v>1</v>
      </c>
      <c r="AU49" s="125">
        <f t="shared" si="23"/>
        <v>0</v>
      </c>
      <c r="AV49" s="126">
        <f t="shared" si="23"/>
        <v>1</v>
      </c>
      <c r="AW49" s="125">
        <f t="shared" si="23"/>
        <v>1</v>
      </c>
      <c r="AX49" s="126">
        <f t="shared" si="23"/>
        <v>0</v>
      </c>
    </row>
    <row r="52" spans="1:50" ht="24.95" customHeight="1" x14ac:dyDescent="0.25">
      <c r="A52" s="208" t="s">
        <v>534</v>
      </c>
      <c r="B52" s="127"/>
      <c r="C52" s="77">
        <f>'Key Generator'!D66</f>
        <v>1</v>
      </c>
      <c r="D52" s="78">
        <f>'Key Generator'!E66</f>
        <v>2</v>
      </c>
      <c r="E52" s="78">
        <f>'Key Generator'!F66</f>
        <v>3</v>
      </c>
      <c r="F52" s="78">
        <f>'Key Generator'!G66</f>
        <v>4</v>
      </c>
      <c r="G52" s="78">
        <f>'Key Generator'!H66</f>
        <v>5</v>
      </c>
      <c r="H52" s="78">
        <f>'Key Generator'!I66</f>
        <v>6</v>
      </c>
      <c r="I52" s="78">
        <f>'Key Generator'!J66</f>
        <v>7</v>
      </c>
      <c r="J52" s="78">
        <f>'Key Generator'!K66</f>
        <v>8</v>
      </c>
      <c r="K52" s="78">
        <f>'Key Generator'!L66</f>
        <v>9</v>
      </c>
      <c r="L52" s="78">
        <f>'Key Generator'!M66</f>
        <v>10</v>
      </c>
      <c r="M52" s="78">
        <f>'Key Generator'!N66</f>
        <v>11</v>
      </c>
      <c r="N52" s="78">
        <f>'Key Generator'!O66</f>
        <v>12</v>
      </c>
      <c r="O52" s="78">
        <f>'Key Generator'!P66</f>
        <v>13</v>
      </c>
      <c r="P52" s="78">
        <f>'Key Generator'!Q66</f>
        <v>14</v>
      </c>
      <c r="Q52" s="78">
        <f>'Key Generator'!R66</f>
        <v>15</v>
      </c>
      <c r="R52" s="78">
        <f>'Key Generator'!S66</f>
        <v>16</v>
      </c>
      <c r="S52" s="78">
        <f>'Key Generator'!T66</f>
        <v>17</v>
      </c>
      <c r="T52" s="78">
        <f>'Key Generator'!U66</f>
        <v>18</v>
      </c>
      <c r="U52" s="78">
        <f>'Key Generator'!V66</f>
        <v>19</v>
      </c>
      <c r="V52" s="78">
        <f>'Key Generator'!W66</f>
        <v>20</v>
      </c>
      <c r="W52" s="78">
        <f>'Key Generator'!X66</f>
        <v>21</v>
      </c>
      <c r="X52" s="78">
        <f>'Key Generator'!Y66</f>
        <v>22</v>
      </c>
      <c r="Y52" s="78">
        <f>'Key Generator'!Z66</f>
        <v>23</v>
      </c>
      <c r="Z52" s="78">
        <f>'Key Generator'!AA66</f>
        <v>24</v>
      </c>
      <c r="AA52" s="78">
        <f>'Key Generator'!AB66</f>
        <v>25</v>
      </c>
      <c r="AB52" s="78">
        <f>'Key Generator'!AC66</f>
        <v>26</v>
      </c>
      <c r="AC52" s="78">
        <f>'Key Generator'!AD66</f>
        <v>27</v>
      </c>
      <c r="AD52" s="78">
        <f>'Key Generator'!AE66</f>
        <v>28</v>
      </c>
      <c r="AE52" s="78">
        <f>'Key Generator'!AF66</f>
        <v>29</v>
      </c>
      <c r="AF52" s="78">
        <f>'Key Generator'!AG66</f>
        <v>30</v>
      </c>
      <c r="AG52" s="78">
        <f>'Key Generator'!AH66</f>
        <v>31</v>
      </c>
      <c r="AH52" s="78">
        <f>'Key Generator'!AI66</f>
        <v>32</v>
      </c>
      <c r="AI52" s="78">
        <f>'Key Generator'!AJ66</f>
        <v>33</v>
      </c>
      <c r="AJ52" s="78">
        <f>'Key Generator'!AK66</f>
        <v>34</v>
      </c>
      <c r="AK52" s="78">
        <f>'Key Generator'!AL66</f>
        <v>35</v>
      </c>
      <c r="AL52" s="78">
        <f>'Key Generator'!AM66</f>
        <v>36</v>
      </c>
      <c r="AM52" s="78">
        <f>'Key Generator'!AN66</f>
        <v>37</v>
      </c>
      <c r="AN52" s="78">
        <f>'Key Generator'!AO66</f>
        <v>38</v>
      </c>
      <c r="AO52" s="78">
        <f>'Key Generator'!AP66</f>
        <v>39</v>
      </c>
      <c r="AP52" s="78">
        <f>'Key Generator'!AQ66</f>
        <v>40</v>
      </c>
      <c r="AQ52" s="78">
        <f>'Key Generator'!AR66</f>
        <v>41</v>
      </c>
      <c r="AR52" s="78">
        <f>'Key Generator'!AS66</f>
        <v>42</v>
      </c>
      <c r="AS52" s="78">
        <f>'Key Generator'!AT66</f>
        <v>43</v>
      </c>
      <c r="AT52" s="78">
        <f>'Key Generator'!AU66</f>
        <v>44</v>
      </c>
      <c r="AU52" s="78">
        <f>'Key Generator'!AV66</f>
        <v>45</v>
      </c>
      <c r="AV52" s="78">
        <f>'Key Generator'!AW66</f>
        <v>46</v>
      </c>
      <c r="AW52" s="78">
        <f>'Key Generator'!AX66</f>
        <v>47</v>
      </c>
      <c r="AX52" s="78">
        <f>'Key Generator'!AY66</f>
        <v>48</v>
      </c>
    </row>
    <row r="53" spans="1:50" ht="24.95" customHeight="1" x14ac:dyDescent="0.25">
      <c r="C53" s="77">
        <f>'Key Generator'!D67</f>
        <v>0</v>
      </c>
      <c r="D53" s="78">
        <f>'Key Generator'!E67</f>
        <v>1</v>
      </c>
      <c r="E53" s="78">
        <f>'Key Generator'!F67</f>
        <v>0</v>
      </c>
      <c r="F53" s="78">
        <f>'Key Generator'!G67</f>
        <v>1</v>
      </c>
      <c r="G53" s="78">
        <f>'Key Generator'!H67</f>
        <v>0</v>
      </c>
      <c r="H53" s="78">
        <f>'Key Generator'!I67</f>
        <v>0</v>
      </c>
      <c r="I53" s="78">
        <f>'Key Generator'!J67</f>
        <v>0</v>
      </c>
      <c r="J53" s="78">
        <f>'Key Generator'!K67</f>
        <v>0</v>
      </c>
      <c r="K53" s="78">
        <f>'Key Generator'!L67</f>
        <v>1</v>
      </c>
      <c r="L53" s="78">
        <f>'Key Generator'!M67</f>
        <v>0</v>
      </c>
      <c r="M53" s="78">
        <f>'Key Generator'!N67</f>
        <v>1</v>
      </c>
      <c r="N53" s="78">
        <f>'Key Generator'!O67</f>
        <v>0</v>
      </c>
      <c r="O53" s="78">
        <f>'Key Generator'!P67</f>
        <v>1</v>
      </c>
      <c r="P53" s="78">
        <f>'Key Generator'!Q67</f>
        <v>0</v>
      </c>
      <c r="Q53" s="78">
        <f>'Key Generator'!R67</f>
        <v>0</v>
      </c>
      <c r="R53" s="78">
        <f>'Key Generator'!S67</f>
        <v>0</v>
      </c>
      <c r="S53" s="78">
        <f>'Key Generator'!T67</f>
        <v>0</v>
      </c>
      <c r="T53" s="78">
        <f>'Key Generator'!U67</f>
        <v>0</v>
      </c>
      <c r="U53" s="78">
        <f>'Key Generator'!V67</f>
        <v>0</v>
      </c>
      <c r="V53" s="78">
        <f>'Key Generator'!W67</f>
        <v>1</v>
      </c>
      <c r="W53" s="78">
        <f>'Key Generator'!X67</f>
        <v>1</v>
      </c>
      <c r="X53" s="78">
        <f>'Key Generator'!Y67</f>
        <v>1</v>
      </c>
      <c r="Y53" s="78">
        <f>'Key Generator'!Z67</f>
        <v>0</v>
      </c>
      <c r="Z53" s="78">
        <f>'Key Generator'!AA67</f>
        <v>0</v>
      </c>
      <c r="AA53" s="78">
        <f>'Key Generator'!AB67</f>
        <v>1</v>
      </c>
      <c r="AB53" s="78">
        <f>'Key Generator'!AC67</f>
        <v>1</v>
      </c>
      <c r="AC53" s="78">
        <f>'Key Generator'!AD67</f>
        <v>1</v>
      </c>
      <c r="AD53" s="78">
        <f>'Key Generator'!AE67</f>
        <v>1</v>
      </c>
      <c r="AE53" s="78">
        <f>'Key Generator'!AF67</f>
        <v>1</v>
      </c>
      <c r="AF53" s="78">
        <f>'Key Generator'!AG67</f>
        <v>1</v>
      </c>
      <c r="AG53" s="78">
        <f>'Key Generator'!AH67</f>
        <v>1</v>
      </c>
      <c r="AH53" s="78">
        <f>'Key Generator'!AI67</f>
        <v>0</v>
      </c>
      <c r="AI53" s="78">
        <f>'Key Generator'!AJ67</f>
        <v>0</v>
      </c>
      <c r="AJ53" s="78">
        <f>'Key Generator'!AK67</f>
        <v>1</v>
      </c>
      <c r="AK53" s="78">
        <f>'Key Generator'!AL67</f>
        <v>1</v>
      </c>
      <c r="AL53" s="78">
        <f>'Key Generator'!AM67</f>
        <v>0</v>
      </c>
      <c r="AM53" s="78">
        <f>'Key Generator'!AN67</f>
        <v>1</v>
      </c>
      <c r="AN53" s="78">
        <f>'Key Generator'!AO67</f>
        <v>1</v>
      </c>
      <c r="AO53" s="78">
        <f>'Key Generator'!AP67</f>
        <v>1</v>
      </c>
      <c r="AP53" s="78">
        <f>'Key Generator'!AQ67</f>
        <v>0</v>
      </c>
      <c r="AQ53" s="78">
        <f>'Key Generator'!AR67</f>
        <v>0</v>
      </c>
      <c r="AR53" s="78">
        <f>'Key Generator'!AS67</f>
        <v>0</v>
      </c>
      <c r="AS53" s="78">
        <f>'Key Generator'!AT67</f>
        <v>0</v>
      </c>
      <c r="AT53" s="78">
        <f>'Key Generator'!AU67</f>
        <v>1</v>
      </c>
      <c r="AU53" s="78">
        <f>'Key Generator'!AV67</f>
        <v>0</v>
      </c>
      <c r="AV53" s="78">
        <f>'Key Generator'!AW67</f>
        <v>0</v>
      </c>
      <c r="AW53" s="78">
        <f>'Key Generator'!AX67</f>
        <v>0</v>
      </c>
      <c r="AX53" s="78">
        <f>'Key Generator'!AY67</f>
        <v>1</v>
      </c>
    </row>
    <row r="56" spans="1:50" ht="24.95" customHeight="1" x14ac:dyDescent="0.25">
      <c r="A56" s="128" t="s">
        <v>535</v>
      </c>
      <c r="B56" s="129"/>
      <c r="C56" s="79">
        <v>1</v>
      </c>
      <c r="D56" s="80">
        <v>2</v>
      </c>
      <c r="E56" s="79">
        <v>3</v>
      </c>
      <c r="F56" s="80">
        <v>4</v>
      </c>
      <c r="G56" s="79">
        <v>5</v>
      </c>
      <c r="H56" s="80">
        <v>6</v>
      </c>
      <c r="I56" s="79">
        <v>7</v>
      </c>
      <c r="J56" s="80">
        <v>8</v>
      </c>
      <c r="K56" s="79">
        <v>9</v>
      </c>
      <c r="L56" s="80">
        <v>10</v>
      </c>
      <c r="M56" s="79">
        <v>11</v>
      </c>
      <c r="N56" s="80">
        <v>12</v>
      </c>
      <c r="O56" s="79">
        <v>13</v>
      </c>
      <c r="P56" s="80">
        <v>14</v>
      </c>
      <c r="Q56" s="79">
        <v>15</v>
      </c>
      <c r="R56" s="80">
        <v>16</v>
      </c>
      <c r="S56" s="79">
        <v>17</v>
      </c>
      <c r="T56" s="80">
        <v>18</v>
      </c>
      <c r="U56" s="79">
        <v>19</v>
      </c>
      <c r="V56" s="80">
        <v>20</v>
      </c>
      <c r="W56" s="79">
        <v>21</v>
      </c>
      <c r="X56" s="80">
        <v>22</v>
      </c>
      <c r="Y56" s="79">
        <v>23</v>
      </c>
      <c r="Z56" s="80">
        <v>24</v>
      </c>
      <c r="AA56" s="79">
        <v>25</v>
      </c>
      <c r="AB56" s="80">
        <v>26</v>
      </c>
      <c r="AC56" s="79">
        <v>27</v>
      </c>
      <c r="AD56" s="80">
        <v>28</v>
      </c>
      <c r="AE56" s="79">
        <v>29</v>
      </c>
      <c r="AF56" s="80">
        <v>30</v>
      </c>
      <c r="AG56" s="79">
        <v>31</v>
      </c>
      <c r="AH56" s="80">
        <v>32</v>
      </c>
      <c r="AI56" s="79">
        <v>33</v>
      </c>
      <c r="AJ56" s="80">
        <v>34</v>
      </c>
      <c r="AK56" s="79">
        <v>35</v>
      </c>
      <c r="AL56" s="80">
        <v>36</v>
      </c>
      <c r="AM56" s="79">
        <v>37</v>
      </c>
      <c r="AN56" s="80">
        <v>38</v>
      </c>
      <c r="AO56" s="79">
        <v>39</v>
      </c>
      <c r="AP56" s="80">
        <v>40</v>
      </c>
      <c r="AQ56" s="79">
        <v>41</v>
      </c>
      <c r="AR56" s="80">
        <v>42</v>
      </c>
      <c r="AS56" s="79">
        <v>43</v>
      </c>
      <c r="AT56" s="80">
        <v>44</v>
      </c>
      <c r="AU56" s="79">
        <v>45</v>
      </c>
      <c r="AV56" s="80">
        <v>46</v>
      </c>
      <c r="AW56" s="79">
        <v>47</v>
      </c>
      <c r="AX56" s="80">
        <v>48</v>
      </c>
    </row>
    <row r="57" spans="1:50" ht="24.95" customHeight="1" x14ac:dyDescent="0.25">
      <c r="C57" s="275">
        <f>--_xlfn.XOR(C49,'Key Generator'!D67)</f>
        <v>1</v>
      </c>
      <c r="D57" s="275">
        <f>--_xlfn.XOR(D49,'Key Generator'!E67)</f>
        <v>1</v>
      </c>
      <c r="E57" s="275">
        <f>--_xlfn.XOR(E49,'Key Generator'!F67)</f>
        <v>0</v>
      </c>
      <c r="F57" s="275">
        <f>--_xlfn.XOR(F49,'Key Generator'!G67)</f>
        <v>1</v>
      </c>
      <c r="G57" s="275">
        <f>--_xlfn.XOR(G49,'Key Generator'!H67)</f>
        <v>0</v>
      </c>
      <c r="H57" s="275">
        <f>--_xlfn.XOR(H49,'Key Generator'!I67)</f>
        <v>0</v>
      </c>
      <c r="I57" s="199">
        <f>--_xlfn.XOR(I49,'Key Generator'!J67)</f>
        <v>0</v>
      </c>
      <c r="J57" s="199">
        <f>--_xlfn.XOR(J49,'Key Generator'!K67)</f>
        <v>0</v>
      </c>
      <c r="K57" s="199">
        <f>--_xlfn.XOR(K49,'Key Generator'!L67)</f>
        <v>1</v>
      </c>
      <c r="L57" s="199">
        <f>--_xlfn.XOR(L49,'Key Generator'!M67)</f>
        <v>0</v>
      </c>
      <c r="M57" s="199">
        <f>--_xlfn.XOR(M49,'Key Generator'!N67)</f>
        <v>1</v>
      </c>
      <c r="N57" s="199">
        <f>--_xlfn.XOR(N49,'Key Generator'!O67)</f>
        <v>1</v>
      </c>
      <c r="O57" s="276">
        <f>--_xlfn.XOR(O49,'Key Generator'!P67)</f>
        <v>1</v>
      </c>
      <c r="P57" s="276">
        <f>--_xlfn.XOR(P49,'Key Generator'!Q67)</f>
        <v>1</v>
      </c>
      <c r="Q57" s="276">
        <f>--_xlfn.XOR(Q49,'Key Generator'!R67)</f>
        <v>0</v>
      </c>
      <c r="R57" s="276">
        <f>--_xlfn.XOR(R49,'Key Generator'!S67)</f>
        <v>0</v>
      </c>
      <c r="S57" s="276">
        <f>--_xlfn.XOR(S49,'Key Generator'!T67)</f>
        <v>1</v>
      </c>
      <c r="T57" s="276">
        <f>--_xlfn.XOR(T49,'Key Generator'!U67)</f>
        <v>0</v>
      </c>
      <c r="U57" s="88">
        <f>--_xlfn.XOR(U49,'Key Generator'!V67)</f>
        <v>1</v>
      </c>
      <c r="V57" s="88">
        <f>--_xlfn.XOR(V49,'Key Generator'!W67)</f>
        <v>1</v>
      </c>
      <c r="W57" s="88">
        <f>--_xlfn.XOR(W49,'Key Generator'!X67)</f>
        <v>0</v>
      </c>
      <c r="X57" s="88">
        <f>--_xlfn.XOR(X49,'Key Generator'!Y67)</f>
        <v>1</v>
      </c>
      <c r="Y57" s="88">
        <f>--_xlfn.XOR(Y49,'Key Generator'!Z67)</f>
        <v>0</v>
      </c>
      <c r="Z57" s="88">
        <f>--_xlfn.XOR(Z49,'Key Generator'!AA67)</f>
        <v>0</v>
      </c>
      <c r="AA57" s="88">
        <f>--_xlfn.XOR(AA49,'Key Generator'!AB67)</f>
        <v>1</v>
      </c>
      <c r="AB57" s="88">
        <f>--_xlfn.XOR(AB49,'Key Generator'!AC67)</f>
        <v>1</v>
      </c>
      <c r="AC57" s="88">
        <f>--_xlfn.XOR(AC49,'Key Generator'!AD67)</f>
        <v>0</v>
      </c>
      <c r="AD57" s="88">
        <f>--_xlfn.XOR(AD49,'Key Generator'!AE67)</f>
        <v>0</v>
      </c>
      <c r="AE57" s="88">
        <f>--_xlfn.XOR(AE49,'Key Generator'!AF67)</f>
        <v>0</v>
      </c>
      <c r="AF57" s="88">
        <f>--_xlfn.XOR(AF49,'Key Generator'!AG67)</f>
        <v>0</v>
      </c>
      <c r="AG57" s="88">
        <f>--_xlfn.XOR(AG49,'Key Generator'!AH67)</f>
        <v>0</v>
      </c>
      <c r="AH57" s="88">
        <f>--_xlfn.XOR(AH49,'Key Generator'!AI67)</f>
        <v>1</v>
      </c>
      <c r="AI57" s="88">
        <f>--_xlfn.XOR(AI49,'Key Generator'!AJ67)</f>
        <v>0</v>
      </c>
      <c r="AJ57" s="88">
        <f>--_xlfn.XOR(AJ49,'Key Generator'!AK67)</f>
        <v>0</v>
      </c>
      <c r="AK57" s="88">
        <f>--_xlfn.XOR(AK49,'Key Generator'!AL67)</f>
        <v>1</v>
      </c>
      <c r="AL57" s="88">
        <f>--_xlfn.XOR(AL49,'Key Generator'!AM67)</f>
        <v>1</v>
      </c>
      <c r="AM57" s="88">
        <f>--_xlfn.XOR(AM49,'Key Generator'!AN67)</f>
        <v>1</v>
      </c>
      <c r="AN57" s="88">
        <f>--_xlfn.XOR(AN49,'Key Generator'!AO67)</f>
        <v>0</v>
      </c>
      <c r="AO57" s="88">
        <f>--_xlfn.XOR(AO49,'Key Generator'!AP67)</f>
        <v>0</v>
      </c>
      <c r="AP57" s="88">
        <f>--_xlfn.XOR(AP49,'Key Generator'!AQ67)</f>
        <v>0</v>
      </c>
      <c r="AQ57" s="88">
        <f>--_xlfn.XOR(AQ49,'Key Generator'!AR67)</f>
        <v>0</v>
      </c>
      <c r="AR57" s="88">
        <f>--_xlfn.XOR(AR49,'Key Generator'!AS67)</f>
        <v>1</v>
      </c>
      <c r="AS57" s="88">
        <f>--_xlfn.XOR(AS49,'Key Generator'!AT67)</f>
        <v>0</v>
      </c>
      <c r="AT57" s="88">
        <f>--_xlfn.XOR(AT49,'Key Generator'!AU67)</f>
        <v>0</v>
      </c>
      <c r="AU57" s="88">
        <f>--_xlfn.XOR(AU49,'Key Generator'!AV67)</f>
        <v>0</v>
      </c>
      <c r="AV57" s="88">
        <f>--_xlfn.XOR(AV49,'Key Generator'!AW67)</f>
        <v>1</v>
      </c>
      <c r="AW57" s="88">
        <f>--_xlfn.XOR(AW49,'Key Generator'!AX67)</f>
        <v>1</v>
      </c>
      <c r="AX57" s="88">
        <f>--_xlfn.XOR(AX49,'Key Generator'!AY67)</f>
        <v>1</v>
      </c>
    </row>
    <row r="58" spans="1:50" ht="24.95" customHeight="1" x14ac:dyDescent="0.25">
      <c r="C58" s="93"/>
      <c r="D58" s="94"/>
      <c r="E58" s="94"/>
      <c r="F58" s="94"/>
      <c r="G58" s="94"/>
      <c r="H58" s="94"/>
    </row>
    <row r="59" spans="1:50" s="97" customFormat="1" ht="24.95" customHeight="1" x14ac:dyDescent="0.25">
      <c r="A59" s="96" t="s">
        <v>545</v>
      </c>
      <c r="C59" s="101">
        <f>D57*8+E57*4+F57*2+G57</f>
        <v>10</v>
      </c>
      <c r="D59" s="97" t="s">
        <v>536</v>
      </c>
      <c r="I59" s="101">
        <f>J57*8+K57*4+L57*2+M57</f>
        <v>5</v>
      </c>
      <c r="J59" s="97" t="s">
        <v>537</v>
      </c>
      <c r="O59" s="101">
        <f>P57*8+Q57*4+R57*2+S57</f>
        <v>9</v>
      </c>
      <c r="P59" s="97" t="s">
        <v>538</v>
      </c>
      <c r="U59" s="101">
        <f>V57*8+W57*4+X57*2+Y57</f>
        <v>10</v>
      </c>
      <c r="V59" s="97" t="s">
        <v>539</v>
      </c>
      <c r="AA59" s="101">
        <f>AB57*8+AC57*4+AD57*2+AE57</f>
        <v>8</v>
      </c>
      <c r="AB59" s="97" t="s">
        <v>540</v>
      </c>
      <c r="AG59" s="101">
        <f>AH57*8+AI57*4+AJ57*2+AK57</f>
        <v>9</v>
      </c>
      <c r="AH59" s="97" t="s">
        <v>541</v>
      </c>
      <c r="AM59" s="101">
        <f>AN57*8+AO57*4+AP57*2+AQ57</f>
        <v>0</v>
      </c>
      <c r="AN59" s="97" t="s">
        <v>542</v>
      </c>
      <c r="AS59" s="101">
        <f>AT57*8+AU57*4+AV57*2+AW57</f>
        <v>3</v>
      </c>
      <c r="AT59" s="97" t="s">
        <v>543</v>
      </c>
    </row>
    <row r="60" spans="1:50" s="99" customFormat="1" ht="24.95" customHeight="1" x14ac:dyDescent="0.25">
      <c r="A60" s="100" t="s">
        <v>546</v>
      </c>
      <c r="C60" s="87">
        <f>C57*2+H57</f>
        <v>2</v>
      </c>
      <c r="D60" s="98"/>
      <c r="E60" s="98"/>
      <c r="I60" s="87">
        <f>I57*2+N57</f>
        <v>1</v>
      </c>
      <c r="O60" s="87">
        <f>O57*2+T57</f>
        <v>2</v>
      </c>
      <c r="U60" s="87">
        <f>U57*2+Z57</f>
        <v>2</v>
      </c>
      <c r="AA60" s="87">
        <f>AA57*2+AF57</f>
        <v>2</v>
      </c>
      <c r="AG60" s="87">
        <f>AG57*2+AL57</f>
        <v>1</v>
      </c>
      <c r="AM60" s="87">
        <f>AM57*2+AR57</f>
        <v>3</v>
      </c>
      <c r="AS60" s="87">
        <f>AS57*2+AX57</f>
        <v>1</v>
      </c>
    </row>
    <row r="62" spans="1:50" ht="24.95" customHeight="1" x14ac:dyDescent="0.25">
      <c r="A62" s="117" t="s">
        <v>547</v>
      </c>
      <c r="C62" s="72">
        <f>INDEX('S-Box'!$D$3:$S$6,'DES-Enc'!C60+1,'DES-Enc'!C59+1)</f>
        <v>9</v>
      </c>
      <c r="I62" s="102">
        <f>INDEX('S-Box'!D9:S12,'DES-Enc'!I60+1,'DES-Enc'!I59+1)</f>
        <v>2</v>
      </c>
      <c r="O62" s="102">
        <f>INDEX('S-Box'!D15:S18,'DES-Enc'!O60+1,'DES-Enc'!O59+1)</f>
        <v>1</v>
      </c>
      <c r="U62" s="102">
        <f>INDEX('S-Box'!D21:S24,'DES-Enc'!U60+1,'DES-Enc'!U59+1)</f>
        <v>3</v>
      </c>
      <c r="AA62" s="102">
        <f>INDEX('S-Box'!D27:S30,'DES-Enc'!AA60+1,'DES-Enc'!AA59+1)</f>
        <v>15</v>
      </c>
      <c r="AG62" s="102">
        <f>INDEX('S-Box'!D33:S36,'DES-Enc'!AG60+1,'DES-Enc'!AG59+1)</f>
        <v>1</v>
      </c>
      <c r="AM62" s="102">
        <f>INDEX('S-Box'!D39:S42,'DES-Enc'!AM60+1,'DES-Enc'!AM59+1)</f>
        <v>6</v>
      </c>
      <c r="AS62" s="102">
        <f>INDEX('S-Box'!D45:S48,'DES-Enc'!AS60+1,'DES-Enc'!AS59+1)</f>
        <v>8</v>
      </c>
    </row>
    <row r="63" spans="1:50" ht="24.95" customHeight="1" x14ac:dyDescent="0.25">
      <c r="C63" s="104"/>
      <c r="I63" s="95"/>
      <c r="O63" s="95"/>
      <c r="U63" s="95"/>
      <c r="AA63" s="95"/>
      <c r="AG63" s="95"/>
      <c r="AM63" s="95"/>
      <c r="AS63" s="95"/>
    </row>
    <row r="64" spans="1:50" ht="24.95" customHeight="1" x14ac:dyDescent="0.25">
      <c r="C64" s="105" t="str">
        <f>MID(DEC2BIN(C62,4),1,1)</f>
        <v>1</v>
      </c>
      <c r="D64" s="106" t="str">
        <f>MID(DEC2BIN(C62,4),2,1)</f>
        <v>0</v>
      </c>
      <c r="E64" s="106" t="str">
        <f>MID(DEC2BIN(C62,4),3,1)</f>
        <v>0</v>
      </c>
      <c r="F64" s="107" t="str">
        <f>MID(DEC2BIN(C62,4),4,1)</f>
        <v>1</v>
      </c>
      <c r="I64" s="105" t="str">
        <f>MID(DEC2BIN(I62,4),1,1)</f>
        <v>0</v>
      </c>
      <c r="J64" s="106" t="str">
        <f>MID(DEC2BIN(I62,4),2,1)</f>
        <v>0</v>
      </c>
      <c r="K64" s="106" t="str">
        <f>MID(DEC2BIN(I62,4),3,1)</f>
        <v>1</v>
      </c>
      <c r="L64" s="107" t="str">
        <f>MID(DEC2BIN(I62,4),4,1)</f>
        <v>0</v>
      </c>
      <c r="O64" s="105" t="str">
        <f>MID(DEC2BIN(O62,4),1,1)</f>
        <v>0</v>
      </c>
      <c r="P64" s="106" t="str">
        <f>MID(DEC2BIN(O62,4),2,1)</f>
        <v>0</v>
      </c>
      <c r="Q64" s="106" t="str">
        <f>MID(DEC2BIN(O62,4),3,1)</f>
        <v>0</v>
      </c>
      <c r="R64" s="107" t="str">
        <f>MID(DEC2BIN(O62,4),4,1)</f>
        <v>1</v>
      </c>
      <c r="U64" s="105" t="str">
        <f>MID(DEC2BIN(U62,4),1,1)</f>
        <v>0</v>
      </c>
      <c r="V64" s="106" t="str">
        <f>MID(DEC2BIN(U62,4),2,1)</f>
        <v>0</v>
      </c>
      <c r="W64" s="106" t="str">
        <f>MID(DEC2BIN(U62,4),3,1)</f>
        <v>1</v>
      </c>
      <c r="X64" s="107" t="str">
        <f>MID(DEC2BIN(U62,4),4,1)</f>
        <v>1</v>
      </c>
      <c r="AA64" s="105" t="str">
        <f>MID(DEC2BIN(AA62,4),1,1)</f>
        <v>1</v>
      </c>
      <c r="AB64" s="106" t="str">
        <f>MID(DEC2BIN(AA62,4),2,1)</f>
        <v>1</v>
      </c>
      <c r="AC64" s="106" t="str">
        <f>MID(DEC2BIN(AA62,4),3,1)</f>
        <v>1</v>
      </c>
      <c r="AD64" s="107" t="str">
        <f>MID(DEC2BIN(AA62,4),4,1)</f>
        <v>1</v>
      </c>
      <c r="AG64" s="105" t="str">
        <f>MID(DEC2BIN(AG62,4),1,1)</f>
        <v>0</v>
      </c>
      <c r="AH64" s="106" t="str">
        <f>MID(DEC2BIN(AG62,4),2,1)</f>
        <v>0</v>
      </c>
      <c r="AI64" s="106" t="str">
        <f>MID(DEC2BIN(AG62,4),3,1)</f>
        <v>0</v>
      </c>
      <c r="AJ64" s="107" t="str">
        <f>MID(DEC2BIN(AG62,4),4,1)</f>
        <v>1</v>
      </c>
      <c r="AM64" s="105" t="str">
        <f>MID(DEC2BIN(AM62,4),1,1)</f>
        <v>0</v>
      </c>
      <c r="AN64" s="106" t="str">
        <f>MID(DEC2BIN(AM62,4),2,1)</f>
        <v>1</v>
      </c>
      <c r="AO64" s="106" t="str">
        <f>MID(DEC2BIN(AM62,4),3,1)</f>
        <v>1</v>
      </c>
      <c r="AP64" s="107" t="str">
        <f>MID(DEC2BIN(AM62,4),4,1)</f>
        <v>0</v>
      </c>
      <c r="AS64" s="105" t="str">
        <f>MID(DEC2BIN(AS62,4),1,1)</f>
        <v>1</v>
      </c>
      <c r="AT64" s="106" t="str">
        <f>MID(DEC2BIN(AS62,4),2,1)</f>
        <v>0</v>
      </c>
      <c r="AU64" s="106" t="str">
        <f>MID(DEC2BIN(AS62,4),3,1)</f>
        <v>0</v>
      </c>
      <c r="AV64" s="107" t="str">
        <f>MID(DEC2BIN(AS62,4),4,1)</f>
        <v>0</v>
      </c>
    </row>
    <row r="65" spans="1:48" ht="24.95" customHeight="1" x14ac:dyDescent="0.25">
      <c r="C65" s="21">
        <f>VALUE(C64)</f>
        <v>1</v>
      </c>
      <c r="D65" s="21">
        <f t="shared" ref="D65:F65" si="24">VALUE(D64)</f>
        <v>0</v>
      </c>
      <c r="E65" s="21">
        <f t="shared" si="24"/>
        <v>0</v>
      </c>
      <c r="F65" s="21">
        <f t="shared" si="24"/>
        <v>1</v>
      </c>
      <c r="I65" s="21">
        <f t="shared" ref="I65" si="25">VALUE(I64)</f>
        <v>0</v>
      </c>
      <c r="J65" s="21">
        <f t="shared" ref="J65" si="26">VALUE(J64)</f>
        <v>0</v>
      </c>
      <c r="K65" s="21">
        <f t="shared" ref="K65" si="27">VALUE(K64)</f>
        <v>1</v>
      </c>
      <c r="L65" s="21">
        <f t="shared" ref="L65" si="28">VALUE(L64)</f>
        <v>0</v>
      </c>
      <c r="O65" s="21">
        <f>VALUE(O64)</f>
        <v>0</v>
      </c>
      <c r="P65" s="21">
        <f t="shared" ref="P65:R65" si="29">VALUE(P64)</f>
        <v>0</v>
      </c>
      <c r="Q65" s="21">
        <f t="shared" si="29"/>
        <v>0</v>
      </c>
      <c r="R65" s="21">
        <f t="shared" si="29"/>
        <v>1</v>
      </c>
      <c r="U65" s="21">
        <f>VALUE(U64)</f>
        <v>0</v>
      </c>
      <c r="V65" s="21">
        <f t="shared" ref="V65" si="30">VALUE(V64)</f>
        <v>0</v>
      </c>
      <c r="W65" s="21">
        <f t="shared" ref="W65" si="31">VALUE(W64)</f>
        <v>1</v>
      </c>
      <c r="X65" s="21">
        <f t="shared" ref="X65" si="32">VALUE(X64)</f>
        <v>1</v>
      </c>
      <c r="AA65" s="21">
        <f>VALUE(AA64)</f>
        <v>1</v>
      </c>
      <c r="AB65" s="21">
        <f t="shared" ref="AB65" si="33">VALUE(AB64)</f>
        <v>1</v>
      </c>
      <c r="AC65" s="21">
        <f t="shared" ref="AC65" si="34">VALUE(AC64)</f>
        <v>1</v>
      </c>
      <c r="AD65" s="21">
        <f t="shared" ref="AD65" si="35">VALUE(AD64)</f>
        <v>1</v>
      </c>
      <c r="AG65" s="21">
        <f>VALUE(AG64)</f>
        <v>0</v>
      </c>
      <c r="AH65" s="21">
        <f t="shared" ref="AH65" si="36">VALUE(AH64)</f>
        <v>0</v>
      </c>
      <c r="AI65" s="21">
        <f t="shared" ref="AI65" si="37">VALUE(AI64)</f>
        <v>0</v>
      </c>
      <c r="AJ65" s="21">
        <f t="shared" ref="AJ65" si="38">VALUE(AJ64)</f>
        <v>1</v>
      </c>
      <c r="AM65" s="21">
        <f>VALUE(AM64)</f>
        <v>0</v>
      </c>
      <c r="AN65" s="21">
        <f t="shared" ref="AN65" si="39">VALUE(AN64)</f>
        <v>1</v>
      </c>
      <c r="AO65" s="21">
        <f t="shared" ref="AO65" si="40">VALUE(AO64)</f>
        <v>1</v>
      </c>
      <c r="AP65" s="21">
        <f t="shared" ref="AP65" si="41">VALUE(AP64)</f>
        <v>0</v>
      </c>
      <c r="AS65" s="21">
        <f>VALUE(AS64)</f>
        <v>1</v>
      </c>
      <c r="AT65" s="21">
        <f t="shared" ref="AT65" si="42">VALUE(AT64)</f>
        <v>0</v>
      </c>
      <c r="AU65" s="21">
        <f t="shared" ref="AU65" si="43">VALUE(AU64)</f>
        <v>0</v>
      </c>
      <c r="AV65" s="21">
        <f t="shared" ref="AV65" si="44">VALUE(AV64)</f>
        <v>0</v>
      </c>
    </row>
    <row r="66" spans="1:48" ht="24.95" customHeight="1" x14ac:dyDescent="0.25">
      <c r="A66" s="111" t="s">
        <v>588</v>
      </c>
      <c r="B66" s="111"/>
      <c r="C66" s="111">
        <v>1</v>
      </c>
      <c r="D66" s="76">
        <v>2</v>
      </c>
      <c r="E66" s="111">
        <v>3</v>
      </c>
      <c r="F66" s="76">
        <v>4</v>
      </c>
      <c r="G66" s="111">
        <v>5</v>
      </c>
      <c r="H66" s="76">
        <v>6</v>
      </c>
      <c r="I66" s="111">
        <v>7</v>
      </c>
      <c r="J66" s="76">
        <v>8</v>
      </c>
      <c r="K66" s="111">
        <v>9</v>
      </c>
      <c r="L66" s="76">
        <v>10</v>
      </c>
      <c r="M66" s="111">
        <v>11</v>
      </c>
      <c r="N66" s="76">
        <v>12</v>
      </c>
      <c r="O66" s="111">
        <v>13</v>
      </c>
      <c r="P66" s="76">
        <v>14</v>
      </c>
      <c r="Q66" s="111">
        <v>15</v>
      </c>
      <c r="R66" s="76">
        <v>16</v>
      </c>
      <c r="S66" s="111">
        <v>17</v>
      </c>
      <c r="T66" s="76">
        <v>18</v>
      </c>
      <c r="U66" s="111">
        <v>19</v>
      </c>
      <c r="V66" s="76">
        <v>20</v>
      </c>
      <c r="W66" s="111">
        <v>21</v>
      </c>
      <c r="X66" s="76">
        <v>22</v>
      </c>
      <c r="Y66" s="111">
        <v>23</v>
      </c>
      <c r="Z66" s="76">
        <v>24</v>
      </c>
      <c r="AA66" s="111">
        <v>25</v>
      </c>
      <c r="AB66" s="76">
        <v>26</v>
      </c>
      <c r="AC66" s="111">
        <v>27</v>
      </c>
      <c r="AD66" s="76">
        <v>28</v>
      </c>
      <c r="AE66" s="111">
        <v>29</v>
      </c>
      <c r="AF66" s="76">
        <v>30</v>
      </c>
      <c r="AG66" s="111">
        <v>31</v>
      </c>
      <c r="AH66" s="76">
        <v>32</v>
      </c>
    </row>
    <row r="67" spans="1:48" ht="24.95" customHeight="1" x14ac:dyDescent="0.25">
      <c r="C67" s="108">
        <f>C65</f>
        <v>1</v>
      </c>
      <c r="D67" s="108">
        <f t="shared" ref="D67:F67" si="45">D65</f>
        <v>0</v>
      </c>
      <c r="E67" s="108">
        <f t="shared" si="45"/>
        <v>0</v>
      </c>
      <c r="F67" s="108">
        <f t="shared" si="45"/>
        <v>1</v>
      </c>
      <c r="G67" s="23">
        <f>I65</f>
        <v>0</v>
      </c>
      <c r="H67" s="23">
        <f t="shared" ref="H67:J67" si="46">J65</f>
        <v>0</v>
      </c>
      <c r="I67" s="23">
        <f t="shared" si="46"/>
        <v>1</v>
      </c>
      <c r="J67" s="23">
        <f t="shared" si="46"/>
        <v>0</v>
      </c>
      <c r="K67" s="23">
        <f>O65</f>
        <v>0</v>
      </c>
      <c r="L67" s="23">
        <f t="shared" ref="L67:N67" si="47">P65</f>
        <v>0</v>
      </c>
      <c r="M67" s="23">
        <f t="shared" si="47"/>
        <v>0</v>
      </c>
      <c r="N67" s="23">
        <f t="shared" si="47"/>
        <v>1</v>
      </c>
      <c r="O67" s="23">
        <f>U65</f>
        <v>0</v>
      </c>
      <c r="P67" s="23">
        <f t="shared" ref="P67:R67" si="48">V65</f>
        <v>0</v>
      </c>
      <c r="Q67" s="23">
        <f t="shared" si="48"/>
        <v>1</v>
      </c>
      <c r="R67" s="23">
        <f t="shared" si="48"/>
        <v>1</v>
      </c>
      <c r="S67" s="23">
        <f>AA65</f>
        <v>1</v>
      </c>
      <c r="T67" s="23">
        <f t="shared" ref="T67:V67" si="49">AB65</f>
        <v>1</v>
      </c>
      <c r="U67" s="23">
        <f t="shared" si="49"/>
        <v>1</v>
      </c>
      <c r="V67" s="23">
        <f t="shared" si="49"/>
        <v>1</v>
      </c>
      <c r="W67" s="23">
        <f>AG65</f>
        <v>0</v>
      </c>
      <c r="X67" s="23">
        <f t="shared" ref="X67:Z67" si="50">AH65</f>
        <v>0</v>
      </c>
      <c r="Y67" s="23">
        <f t="shared" si="50"/>
        <v>0</v>
      </c>
      <c r="Z67" s="23">
        <f t="shared" si="50"/>
        <v>1</v>
      </c>
      <c r="AA67" s="23">
        <f>AM65</f>
        <v>0</v>
      </c>
      <c r="AB67" s="23">
        <f t="shared" ref="AB67:AD67" si="51">AN65</f>
        <v>1</v>
      </c>
      <c r="AC67" s="23">
        <f t="shared" si="51"/>
        <v>1</v>
      </c>
      <c r="AD67" s="23">
        <f t="shared" si="51"/>
        <v>0</v>
      </c>
      <c r="AE67" s="23">
        <f>AS65</f>
        <v>1</v>
      </c>
      <c r="AF67" s="23">
        <f t="shared" ref="AF67:AH67" si="52">AT65</f>
        <v>0</v>
      </c>
      <c r="AG67" s="23">
        <f t="shared" si="52"/>
        <v>0</v>
      </c>
      <c r="AH67" s="23">
        <f t="shared" si="52"/>
        <v>0</v>
      </c>
    </row>
    <row r="69" spans="1:48" ht="24.95" customHeight="1" x14ac:dyDescent="0.25">
      <c r="A69" s="110" t="s">
        <v>548</v>
      </c>
      <c r="B69" s="110"/>
      <c r="C69" s="109">
        <v>16</v>
      </c>
      <c r="D69" s="110">
        <v>7</v>
      </c>
      <c r="E69" s="110">
        <v>20</v>
      </c>
      <c r="F69" s="110">
        <v>21</v>
      </c>
      <c r="G69" s="110">
        <v>29</v>
      </c>
      <c r="H69" s="110">
        <v>12</v>
      </c>
      <c r="I69" s="110">
        <v>28</v>
      </c>
      <c r="J69" s="110">
        <v>17</v>
      </c>
      <c r="K69" s="110">
        <v>1</v>
      </c>
      <c r="L69" s="110">
        <v>15</v>
      </c>
      <c r="M69" s="110">
        <v>23</v>
      </c>
      <c r="N69" s="110">
        <v>26</v>
      </c>
      <c r="O69" s="110">
        <v>5</v>
      </c>
      <c r="P69" s="110">
        <v>18</v>
      </c>
      <c r="Q69" s="110">
        <v>31</v>
      </c>
      <c r="R69" s="110">
        <v>10</v>
      </c>
      <c r="S69" s="110">
        <v>2</v>
      </c>
      <c r="T69" s="110">
        <v>8</v>
      </c>
      <c r="U69" s="110">
        <v>24</v>
      </c>
      <c r="V69" s="110">
        <v>14</v>
      </c>
      <c r="W69" s="110">
        <v>32</v>
      </c>
      <c r="X69" s="110">
        <v>27</v>
      </c>
      <c r="Y69" s="110">
        <v>3</v>
      </c>
      <c r="Z69" s="110">
        <v>9</v>
      </c>
      <c r="AA69" s="110">
        <v>19</v>
      </c>
      <c r="AB69" s="110">
        <v>13</v>
      </c>
      <c r="AC69" s="110">
        <v>30</v>
      </c>
      <c r="AD69" s="110">
        <v>6</v>
      </c>
      <c r="AE69" s="110">
        <v>22</v>
      </c>
      <c r="AF69" s="110">
        <v>11</v>
      </c>
      <c r="AG69" s="110">
        <v>4</v>
      </c>
      <c r="AH69" s="110">
        <v>25</v>
      </c>
    </row>
    <row r="70" spans="1:48" ht="24.95" customHeight="1" x14ac:dyDescent="0.25">
      <c r="C70" s="103">
        <f>K67</f>
        <v>0</v>
      </c>
      <c r="D70" s="103">
        <f>S67</f>
        <v>1</v>
      </c>
      <c r="E70" s="103">
        <f>Y67</f>
        <v>0</v>
      </c>
      <c r="F70" s="112">
        <f>AG67</f>
        <v>0</v>
      </c>
      <c r="G70" s="103">
        <f>O67</f>
        <v>0</v>
      </c>
      <c r="H70" s="103">
        <f>AD67</f>
        <v>0</v>
      </c>
      <c r="I70" s="103">
        <f>D67</f>
        <v>0</v>
      </c>
      <c r="J70" s="103">
        <f>T67</f>
        <v>1</v>
      </c>
      <c r="K70" s="103">
        <f>Z67</f>
        <v>1</v>
      </c>
      <c r="L70" s="103">
        <f>R67</f>
        <v>1</v>
      </c>
      <c r="M70" s="103">
        <f>AF67</f>
        <v>0</v>
      </c>
      <c r="N70" s="103">
        <f>H67</f>
        <v>0</v>
      </c>
      <c r="O70" s="103">
        <f>AB67</f>
        <v>1</v>
      </c>
      <c r="P70" s="103">
        <f>V67</f>
        <v>1</v>
      </c>
      <c r="Q70" s="103">
        <f>L67</f>
        <v>0</v>
      </c>
      <c r="R70" s="103">
        <f>C67</f>
        <v>1</v>
      </c>
      <c r="S70" s="103">
        <f>J67</f>
        <v>0</v>
      </c>
      <c r="T70" s="103">
        <f>P67</f>
        <v>0</v>
      </c>
      <c r="U70" s="103">
        <f>AA67</f>
        <v>0</v>
      </c>
      <c r="V70" s="103">
        <f>E67</f>
        <v>0</v>
      </c>
      <c r="W70" s="103">
        <f>F67</f>
        <v>1</v>
      </c>
      <c r="X70" s="103">
        <f>AE67</f>
        <v>1</v>
      </c>
      <c r="Y70" s="103">
        <f>M67</f>
        <v>0</v>
      </c>
      <c r="Z70" s="103">
        <f>U67</f>
        <v>1</v>
      </c>
      <c r="AA70" s="103">
        <f>AH67</f>
        <v>0</v>
      </c>
      <c r="AB70" s="103">
        <f>N67</f>
        <v>1</v>
      </c>
      <c r="AC70" s="103">
        <f>X67</f>
        <v>0</v>
      </c>
      <c r="AD70" s="103">
        <f>I67</f>
        <v>1</v>
      </c>
      <c r="AE70" s="103">
        <f>G67</f>
        <v>0</v>
      </c>
      <c r="AF70" s="103">
        <f>AC67</f>
        <v>1</v>
      </c>
      <c r="AG70" s="103">
        <f>Q67</f>
        <v>1</v>
      </c>
      <c r="AH70" s="103">
        <f>W67</f>
        <v>0</v>
      </c>
    </row>
    <row r="71" spans="1:48" ht="24.95" customHeight="1" x14ac:dyDescent="0.25">
      <c r="C71" s="130">
        <v>1</v>
      </c>
      <c r="D71" s="131">
        <v>2</v>
      </c>
      <c r="E71" s="130">
        <v>3</v>
      </c>
      <c r="F71" s="131">
        <v>4</v>
      </c>
      <c r="G71" s="130">
        <v>5</v>
      </c>
      <c r="H71" s="131">
        <v>6</v>
      </c>
      <c r="I71" s="130">
        <v>7</v>
      </c>
      <c r="J71" s="131">
        <v>8</v>
      </c>
      <c r="K71" s="130">
        <v>9</v>
      </c>
      <c r="L71" s="131">
        <v>10</v>
      </c>
      <c r="M71" s="130">
        <v>11</v>
      </c>
      <c r="N71" s="131">
        <v>12</v>
      </c>
      <c r="O71" s="130">
        <v>13</v>
      </c>
      <c r="P71" s="131">
        <v>14</v>
      </c>
      <c r="Q71" s="130">
        <v>15</v>
      </c>
      <c r="R71" s="131">
        <v>16</v>
      </c>
      <c r="S71" s="130">
        <v>17</v>
      </c>
      <c r="T71" s="131">
        <v>18</v>
      </c>
      <c r="U71" s="130">
        <v>19</v>
      </c>
      <c r="V71" s="131">
        <v>20</v>
      </c>
      <c r="W71" s="130">
        <v>21</v>
      </c>
      <c r="X71" s="131">
        <v>22</v>
      </c>
      <c r="Y71" s="130">
        <v>23</v>
      </c>
      <c r="Z71" s="131">
        <v>24</v>
      </c>
      <c r="AA71" s="130">
        <v>25</v>
      </c>
      <c r="AB71" s="131">
        <v>26</v>
      </c>
      <c r="AC71" s="130">
        <v>27</v>
      </c>
      <c r="AD71" s="131">
        <v>28</v>
      </c>
      <c r="AE71" s="130">
        <v>29</v>
      </c>
      <c r="AF71" s="131">
        <v>30</v>
      </c>
      <c r="AG71" s="130">
        <v>31</v>
      </c>
      <c r="AH71" s="131">
        <v>32</v>
      </c>
    </row>
    <row r="75" spans="1:48" ht="24.95" customHeight="1" x14ac:dyDescent="0.25">
      <c r="A75" s="114" t="s">
        <v>550</v>
      </c>
      <c r="B75" s="114"/>
      <c r="C75" s="114"/>
      <c r="D75" s="68">
        <v>1</v>
      </c>
      <c r="E75" s="68">
        <v>2</v>
      </c>
      <c r="F75" s="68">
        <v>3</v>
      </c>
      <c r="G75" s="68">
        <v>4</v>
      </c>
      <c r="H75" s="68">
        <v>5</v>
      </c>
      <c r="I75" s="68">
        <v>6</v>
      </c>
      <c r="J75" s="68">
        <v>7</v>
      </c>
      <c r="K75" s="68">
        <v>8</v>
      </c>
      <c r="L75" s="68">
        <v>9</v>
      </c>
      <c r="M75" s="68">
        <v>10</v>
      </c>
      <c r="N75" s="68">
        <v>11</v>
      </c>
      <c r="O75" s="68">
        <v>12</v>
      </c>
      <c r="P75" s="68">
        <v>13</v>
      </c>
      <c r="Q75" s="68">
        <v>14</v>
      </c>
      <c r="R75" s="68">
        <v>15</v>
      </c>
      <c r="S75" s="68">
        <v>16</v>
      </c>
      <c r="T75" s="68">
        <v>17</v>
      </c>
      <c r="U75" s="68">
        <v>18</v>
      </c>
      <c r="V75" s="68">
        <v>19</v>
      </c>
      <c r="W75" s="68">
        <v>20</v>
      </c>
      <c r="X75" s="68">
        <v>21</v>
      </c>
      <c r="Y75" s="68">
        <v>22</v>
      </c>
      <c r="Z75" s="68">
        <v>23</v>
      </c>
      <c r="AA75" s="68">
        <v>24</v>
      </c>
      <c r="AB75" s="68">
        <v>25</v>
      </c>
      <c r="AC75" s="68">
        <v>26</v>
      </c>
      <c r="AD75" s="68">
        <v>27</v>
      </c>
      <c r="AE75" s="68">
        <v>28</v>
      </c>
      <c r="AF75" s="68">
        <v>29</v>
      </c>
      <c r="AG75" s="68">
        <v>30</v>
      </c>
      <c r="AH75" s="68">
        <v>31</v>
      </c>
      <c r="AI75" s="68">
        <v>32</v>
      </c>
    </row>
    <row r="76" spans="1:48" ht="24.95" customHeight="1" x14ac:dyDescent="0.25">
      <c r="A76" s="64" t="s">
        <v>549</v>
      </c>
      <c r="D76" s="68">
        <f>C34</f>
        <v>0</v>
      </c>
      <c r="E76" s="68">
        <f t="shared" ref="E76:AI76" si="53">D34</f>
        <v>0</v>
      </c>
      <c r="F76" s="68">
        <f t="shared" si="53"/>
        <v>0</v>
      </c>
      <c r="G76" s="68">
        <f t="shared" si="53"/>
        <v>0</v>
      </c>
      <c r="H76" s="68">
        <f t="shared" si="53"/>
        <v>0</v>
      </c>
      <c r="I76" s="68">
        <f t="shared" si="53"/>
        <v>0</v>
      </c>
      <c r="J76" s="68">
        <f t="shared" si="53"/>
        <v>0</v>
      </c>
      <c r="K76" s="68">
        <f t="shared" si="53"/>
        <v>0</v>
      </c>
      <c r="L76" s="68">
        <f t="shared" si="53"/>
        <v>1</v>
      </c>
      <c r="M76" s="68">
        <f t="shared" si="53"/>
        <v>0</v>
      </c>
      <c r="N76" s="68">
        <f t="shared" si="53"/>
        <v>0</v>
      </c>
      <c r="O76" s="68">
        <f t="shared" si="53"/>
        <v>1</v>
      </c>
      <c r="P76" s="68">
        <f t="shared" si="53"/>
        <v>0</v>
      </c>
      <c r="Q76" s="68">
        <f t="shared" si="53"/>
        <v>1</v>
      </c>
      <c r="R76" s="68">
        <f t="shared" si="53"/>
        <v>0</v>
      </c>
      <c r="S76" s="68">
        <f t="shared" si="53"/>
        <v>0</v>
      </c>
      <c r="T76" s="68">
        <f t="shared" si="53"/>
        <v>0</v>
      </c>
      <c r="U76" s="68">
        <f t="shared" si="53"/>
        <v>1</v>
      </c>
      <c r="V76" s="68">
        <f t="shared" si="53"/>
        <v>1</v>
      </c>
      <c r="W76" s="68">
        <f t="shared" si="53"/>
        <v>1</v>
      </c>
      <c r="X76" s="68">
        <f t="shared" si="53"/>
        <v>1</v>
      </c>
      <c r="Y76" s="68">
        <f t="shared" si="53"/>
        <v>0</v>
      </c>
      <c r="Z76" s="68">
        <f t="shared" si="53"/>
        <v>1</v>
      </c>
      <c r="AA76" s="68">
        <f t="shared" si="53"/>
        <v>0</v>
      </c>
      <c r="AB76" s="68">
        <f t="shared" si="53"/>
        <v>1</v>
      </c>
      <c r="AC76" s="68">
        <f t="shared" si="53"/>
        <v>1</v>
      </c>
      <c r="AD76" s="68">
        <f t="shared" si="53"/>
        <v>0</v>
      </c>
      <c r="AE76" s="68">
        <f t="shared" si="53"/>
        <v>0</v>
      </c>
      <c r="AF76" s="68">
        <f t="shared" si="53"/>
        <v>1</v>
      </c>
      <c r="AG76" s="68">
        <f t="shared" si="53"/>
        <v>0</v>
      </c>
      <c r="AH76" s="68">
        <f t="shared" si="53"/>
        <v>1</v>
      </c>
      <c r="AI76" s="68">
        <f t="shared" si="53"/>
        <v>1</v>
      </c>
    </row>
    <row r="78" spans="1:48" ht="24.95" customHeight="1" x14ac:dyDescent="0.25">
      <c r="A78" s="114" t="s">
        <v>552</v>
      </c>
      <c r="B78" s="114"/>
      <c r="C78" s="114"/>
      <c r="D78" s="70">
        <v>1</v>
      </c>
      <c r="E78" s="70">
        <v>2</v>
      </c>
      <c r="F78" s="70">
        <v>3</v>
      </c>
      <c r="G78" s="70">
        <v>4</v>
      </c>
      <c r="H78" s="70">
        <v>5</v>
      </c>
      <c r="I78" s="70">
        <v>6</v>
      </c>
      <c r="J78" s="70">
        <v>7</v>
      </c>
      <c r="K78" s="70">
        <v>8</v>
      </c>
      <c r="L78" s="70">
        <v>9</v>
      </c>
      <c r="M78" s="70">
        <v>10</v>
      </c>
      <c r="N78" s="70">
        <v>11</v>
      </c>
      <c r="O78" s="70">
        <v>12</v>
      </c>
      <c r="P78" s="70">
        <v>13</v>
      </c>
      <c r="Q78" s="70">
        <v>14</v>
      </c>
      <c r="R78" s="70">
        <v>15</v>
      </c>
      <c r="S78" s="70">
        <v>16</v>
      </c>
      <c r="T78" s="70">
        <v>17</v>
      </c>
      <c r="U78" s="70">
        <v>18</v>
      </c>
      <c r="V78" s="70">
        <v>19</v>
      </c>
      <c r="W78" s="70">
        <v>20</v>
      </c>
      <c r="X78" s="70">
        <v>21</v>
      </c>
      <c r="Y78" s="70">
        <v>22</v>
      </c>
      <c r="Z78" s="70">
        <v>23</v>
      </c>
      <c r="AA78" s="70">
        <v>24</v>
      </c>
      <c r="AB78" s="70">
        <v>25</v>
      </c>
      <c r="AC78" s="70">
        <v>26</v>
      </c>
      <c r="AD78" s="70">
        <v>27</v>
      </c>
      <c r="AE78" s="70">
        <v>28</v>
      </c>
      <c r="AF78" s="70">
        <v>29</v>
      </c>
      <c r="AG78" s="70">
        <v>30</v>
      </c>
      <c r="AH78" s="70">
        <v>31</v>
      </c>
      <c r="AI78" s="70">
        <v>32</v>
      </c>
    </row>
    <row r="79" spans="1:48" ht="24.95" customHeight="1" x14ac:dyDescent="0.25">
      <c r="A79" s="64" t="s">
        <v>551</v>
      </c>
      <c r="D79" s="70">
        <f>--_xlfn.XOR(C70,C30)</f>
        <v>0</v>
      </c>
      <c r="E79" s="70">
        <f t="shared" ref="E79:AI79" si="54">--_xlfn.XOR(D70,D30)</f>
        <v>1</v>
      </c>
      <c r="F79" s="70">
        <f t="shared" si="54"/>
        <v>0</v>
      </c>
      <c r="G79" s="70">
        <f t="shared" si="54"/>
        <v>0</v>
      </c>
      <c r="H79" s="70">
        <f t="shared" si="54"/>
        <v>0</v>
      </c>
      <c r="I79" s="70">
        <f t="shared" si="54"/>
        <v>0</v>
      </c>
      <c r="J79" s="70">
        <f t="shared" si="54"/>
        <v>0</v>
      </c>
      <c r="K79" s="70">
        <f t="shared" si="54"/>
        <v>1</v>
      </c>
      <c r="L79" s="70">
        <f t="shared" si="54"/>
        <v>0</v>
      </c>
      <c r="M79" s="70">
        <f t="shared" si="54"/>
        <v>0</v>
      </c>
      <c r="N79" s="70">
        <f t="shared" si="54"/>
        <v>0</v>
      </c>
      <c r="O79" s="70">
        <f t="shared" si="54"/>
        <v>0</v>
      </c>
      <c r="P79" s="70">
        <f t="shared" si="54"/>
        <v>0</v>
      </c>
      <c r="Q79" s="70">
        <f t="shared" si="54"/>
        <v>0</v>
      </c>
      <c r="R79" s="70">
        <f t="shared" si="54"/>
        <v>1</v>
      </c>
      <c r="S79" s="70">
        <f t="shared" si="54"/>
        <v>0</v>
      </c>
      <c r="T79" s="70">
        <f t="shared" si="54"/>
        <v>0</v>
      </c>
      <c r="U79" s="70">
        <f t="shared" si="54"/>
        <v>0</v>
      </c>
      <c r="V79" s="70">
        <f t="shared" si="54"/>
        <v>0</v>
      </c>
      <c r="W79" s="70">
        <f t="shared" si="54"/>
        <v>0</v>
      </c>
      <c r="X79" s="70">
        <f t="shared" si="54"/>
        <v>1</v>
      </c>
      <c r="Y79" s="70">
        <f t="shared" si="54"/>
        <v>0</v>
      </c>
      <c r="Z79" s="70">
        <f t="shared" si="54"/>
        <v>0</v>
      </c>
      <c r="AA79" s="70">
        <f t="shared" si="54"/>
        <v>1</v>
      </c>
      <c r="AB79" s="70">
        <f t="shared" si="54"/>
        <v>1</v>
      </c>
      <c r="AC79" s="70">
        <f t="shared" si="54"/>
        <v>0</v>
      </c>
      <c r="AD79" s="70">
        <f t="shared" si="54"/>
        <v>0</v>
      </c>
      <c r="AE79" s="70">
        <f t="shared" si="54"/>
        <v>1</v>
      </c>
      <c r="AF79" s="70">
        <f t="shared" si="54"/>
        <v>1</v>
      </c>
      <c r="AG79" s="70">
        <f t="shared" si="54"/>
        <v>1</v>
      </c>
      <c r="AH79" s="70">
        <f t="shared" si="54"/>
        <v>0</v>
      </c>
      <c r="AI79" s="70">
        <f t="shared" si="54"/>
        <v>1</v>
      </c>
    </row>
    <row r="80" spans="1:48" ht="24.95" customHeight="1" x14ac:dyDescent="0.25">
      <c r="A80" s="132" t="s">
        <v>589</v>
      </c>
    </row>
    <row r="81" spans="1:51" s="132" customFormat="1" ht="24.95" customHeight="1" x14ac:dyDescent="0.25">
      <c r="B81" s="133"/>
      <c r="C81" s="134"/>
    </row>
    <row r="82" spans="1:51" ht="24.95" customHeight="1" x14ac:dyDescent="0.25">
      <c r="B82" s="21"/>
      <c r="C82" s="70">
        <v>1</v>
      </c>
      <c r="D82" s="70">
        <v>2</v>
      </c>
      <c r="E82" s="70">
        <v>3</v>
      </c>
      <c r="F82" s="70">
        <v>4</v>
      </c>
      <c r="G82" s="70">
        <v>5</v>
      </c>
      <c r="H82" s="70">
        <v>6</v>
      </c>
      <c r="I82" s="70">
        <v>7</v>
      </c>
      <c r="J82" s="70">
        <v>8</v>
      </c>
      <c r="K82" s="70">
        <v>9</v>
      </c>
      <c r="L82" s="70">
        <v>10</v>
      </c>
      <c r="M82" s="70">
        <v>11</v>
      </c>
      <c r="N82" s="70">
        <v>12</v>
      </c>
      <c r="O82" s="70">
        <v>13</v>
      </c>
      <c r="P82" s="70">
        <v>14</v>
      </c>
      <c r="Q82" s="70">
        <v>15</v>
      </c>
      <c r="R82" s="70">
        <v>16</v>
      </c>
      <c r="S82" s="70">
        <v>17</v>
      </c>
      <c r="T82" s="70">
        <v>18</v>
      </c>
      <c r="U82" s="70">
        <v>19</v>
      </c>
      <c r="V82" s="70">
        <v>20</v>
      </c>
      <c r="W82" s="70">
        <v>21</v>
      </c>
      <c r="X82" s="70">
        <v>22</v>
      </c>
      <c r="Y82" s="70">
        <v>23</v>
      </c>
      <c r="Z82" s="70">
        <v>24</v>
      </c>
      <c r="AA82" s="70">
        <v>25</v>
      </c>
      <c r="AB82" s="70">
        <v>26</v>
      </c>
      <c r="AC82" s="70">
        <v>27</v>
      </c>
      <c r="AD82" s="70">
        <v>28</v>
      </c>
      <c r="AE82" s="70">
        <v>29</v>
      </c>
      <c r="AF82" s="70">
        <v>30</v>
      </c>
      <c r="AG82" s="70">
        <v>31</v>
      </c>
      <c r="AH82" s="70">
        <v>32</v>
      </c>
    </row>
    <row r="83" spans="1:51" ht="24.95" customHeight="1" x14ac:dyDescent="0.25">
      <c r="A83" s="114" t="s">
        <v>552</v>
      </c>
      <c r="B83" s="114"/>
      <c r="C83" s="70">
        <f>D79</f>
        <v>0</v>
      </c>
      <c r="D83" s="70">
        <f t="shared" ref="D83:AH83" si="55">E79</f>
        <v>1</v>
      </c>
      <c r="E83" s="70">
        <f t="shared" si="55"/>
        <v>0</v>
      </c>
      <c r="F83" s="70">
        <f t="shared" si="55"/>
        <v>0</v>
      </c>
      <c r="G83" s="70">
        <f t="shared" si="55"/>
        <v>0</v>
      </c>
      <c r="H83" s="70">
        <f t="shared" si="55"/>
        <v>0</v>
      </c>
      <c r="I83" s="70">
        <f t="shared" si="55"/>
        <v>0</v>
      </c>
      <c r="J83" s="70">
        <f t="shared" si="55"/>
        <v>1</v>
      </c>
      <c r="K83" s="70">
        <f t="shared" si="55"/>
        <v>0</v>
      </c>
      <c r="L83" s="70">
        <f t="shared" si="55"/>
        <v>0</v>
      </c>
      <c r="M83" s="70">
        <f t="shared" si="55"/>
        <v>0</v>
      </c>
      <c r="N83" s="70">
        <f t="shared" si="55"/>
        <v>0</v>
      </c>
      <c r="O83" s="70">
        <f t="shared" si="55"/>
        <v>0</v>
      </c>
      <c r="P83" s="70">
        <f t="shared" si="55"/>
        <v>0</v>
      </c>
      <c r="Q83" s="70">
        <f t="shared" si="55"/>
        <v>1</v>
      </c>
      <c r="R83" s="70">
        <f t="shared" si="55"/>
        <v>0</v>
      </c>
      <c r="S83" s="70">
        <f t="shared" si="55"/>
        <v>0</v>
      </c>
      <c r="T83" s="70">
        <f t="shared" si="55"/>
        <v>0</v>
      </c>
      <c r="U83" s="70">
        <f t="shared" si="55"/>
        <v>0</v>
      </c>
      <c r="V83" s="70">
        <f t="shared" si="55"/>
        <v>0</v>
      </c>
      <c r="W83" s="70">
        <f t="shared" si="55"/>
        <v>1</v>
      </c>
      <c r="X83" s="70">
        <f t="shared" si="55"/>
        <v>0</v>
      </c>
      <c r="Y83" s="70">
        <f t="shared" si="55"/>
        <v>0</v>
      </c>
      <c r="Z83" s="70">
        <f t="shared" si="55"/>
        <v>1</v>
      </c>
      <c r="AA83" s="70">
        <f t="shared" si="55"/>
        <v>1</v>
      </c>
      <c r="AB83" s="70">
        <f t="shared" si="55"/>
        <v>0</v>
      </c>
      <c r="AC83" s="70">
        <f t="shared" si="55"/>
        <v>0</v>
      </c>
      <c r="AD83" s="70">
        <f t="shared" si="55"/>
        <v>1</v>
      </c>
      <c r="AE83" s="70">
        <f t="shared" si="55"/>
        <v>1</v>
      </c>
      <c r="AF83" s="70">
        <f t="shared" si="55"/>
        <v>1</v>
      </c>
      <c r="AG83" s="70">
        <f t="shared" si="55"/>
        <v>0</v>
      </c>
      <c r="AH83" s="70">
        <f t="shared" si="55"/>
        <v>1</v>
      </c>
      <c r="AI83" s="135"/>
    </row>
    <row r="85" spans="1:51" ht="24.95" customHeight="1" x14ac:dyDescent="0.25">
      <c r="A85" s="132"/>
      <c r="B85" s="133"/>
      <c r="C85" s="134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</row>
    <row r="87" spans="1:51" ht="24.95" customHeight="1" x14ac:dyDescent="0.25">
      <c r="A87" s="118" t="s">
        <v>532</v>
      </c>
      <c r="B87" s="118"/>
      <c r="C87" s="75">
        <v>32</v>
      </c>
      <c r="D87" s="74">
        <v>1</v>
      </c>
      <c r="E87" s="74">
        <v>2</v>
      </c>
      <c r="F87" s="74">
        <v>3</v>
      </c>
      <c r="G87" s="74">
        <v>4</v>
      </c>
      <c r="H87" s="73">
        <v>5</v>
      </c>
      <c r="I87" s="122"/>
      <c r="J87" s="118">
        <f>AH83</f>
        <v>1</v>
      </c>
      <c r="K87" s="118">
        <f>C83</f>
        <v>0</v>
      </c>
      <c r="L87" s="118">
        <f>D83</f>
        <v>1</v>
      </c>
      <c r="M87" s="118">
        <f>E83</f>
        <v>0</v>
      </c>
      <c r="N87" s="69">
        <f>F83</f>
        <v>0</v>
      </c>
      <c r="O87" s="119">
        <f>G83</f>
        <v>0</v>
      </c>
      <c r="P87" s="122"/>
    </row>
    <row r="88" spans="1:51" ht="24.95" customHeight="1" x14ac:dyDescent="0.25">
      <c r="C88" s="75">
        <v>4</v>
      </c>
      <c r="D88" s="74">
        <v>5</v>
      </c>
      <c r="E88" s="74">
        <v>6</v>
      </c>
      <c r="F88" s="74">
        <v>7</v>
      </c>
      <c r="G88" s="74">
        <v>8</v>
      </c>
      <c r="H88" s="73">
        <v>9</v>
      </c>
      <c r="I88" s="122"/>
      <c r="J88" s="118">
        <f t="shared" ref="J88" si="56">F83</f>
        <v>0</v>
      </c>
      <c r="K88" s="69">
        <f t="shared" ref="K88" si="57">G83</f>
        <v>0</v>
      </c>
      <c r="L88" s="69">
        <f t="shared" ref="L88" si="58">H83</f>
        <v>0</v>
      </c>
      <c r="M88" s="69">
        <f t="shared" ref="M88" si="59">I83</f>
        <v>0</v>
      </c>
      <c r="N88" s="69">
        <f t="shared" ref="N88" si="60">J83</f>
        <v>1</v>
      </c>
      <c r="O88" s="119">
        <f t="shared" ref="O88" si="61">K83</f>
        <v>0</v>
      </c>
      <c r="P88" s="122"/>
    </row>
    <row r="89" spans="1:51" ht="24.95" customHeight="1" x14ac:dyDescent="0.25">
      <c r="C89" s="75">
        <v>8</v>
      </c>
      <c r="D89" s="74">
        <v>9</v>
      </c>
      <c r="E89" s="74">
        <v>10</v>
      </c>
      <c r="F89" s="74">
        <v>11</v>
      </c>
      <c r="G89" s="74">
        <v>12</v>
      </c>
      <c r="H89" s="73">
        <v>13</v>
      </c>
      <c r="I89" s="123"/>
      <c r="J89" s="120">
        <f t="shared" ref="J89:O89" si="62">J83</f>
        <v>1</v>
      </c>
      <c r="K89" s="69">
        <f t="shared" si="62"/>
        <v>0</v>
      </c>
      <c r="L89" s="69">
        <f t="shared" si="62"/>
        <v>0</v>
      </c>
      <c r="M89" s="69">
        <f t="shared" si="62"/>
        <v>0</v>
      </c>
      <c r="N89" s="69">
        <f t="shared" si="62"/>
        <v>0</v>
      </c>
      <c r="O89" s="119">
        <f t="shared" si="62"/>
        <v>0</v>
      </c>
      <c r="P89" s="123"/>
    </row>
    <row r="90" spans="1:51" ht="24.95" customHeight="1" x14ac:dyDescent="0.25">
      <c r="C90" s="75">
        <v>12</v>
      </c>
      <c r="D90" s="74">
        <v>13</v>
      </c>
      <c r="E90" s="74">
        <v>14</v>
      </c>
      <c r="F90" s="74">
        <v>15</v>
      </c>
      <c r="G90" s="74">
        <v>16</v>
      </c>
      <c r="H90" s="73">
        <v>17</v>
      </c>
      <c r="I90" s="122"/>
      <c r="J90" s="118">
        <f t="shared" ref="J90" si="63">N83</f>
        <v>0</v>
      </c>
      <c r="K90" s="69">
        <f t="shared" ref="K90" si="64">O83</f>
        <v>0</v>
      </c>
      <c r="L90" s="69">
        <f t="shared" ref="L90" si="65">P83</f>
        <v>0</v>
      </c>
      <c r="M90" s="69">
        <f t="shared" ref="M90" si="66">Q83</f>
        <v>1</v>
      </c>
      <c r="N90" s="69">
        <f t="shared" ref="N90" si="67">R83</f>
        <v>0</v>
      </c>
      <c r="O90" s="119">
        <f t="shared" ref="O90" si="68">S83</f>
        <v>0</v>
      </c>
      <c r="P90" s="122"/>
    </row>
    <row r="91" spans="1:51" ht="24.95" customHeight="1" x14ac:dyDescent="0.25">
      <c r="C91" s="75">
        <v>16</v>
      </c>
      <c r="D91" s="74">
        <v>17</v>
      </c>
      <c r="E91" s="74">
        <v>18</v>
      </c>
      <c r="F91" s="74">
        <v>19</v>
      </c>
      <c r="G91" s="74">
        <v>20</v>
      </c>
      <c r="H91" s="73">
        <v>21</v>
      </c>
      <c r="I91" s="122"/>
      <c r="J91" s="118">
        <f t="shared" ref="J91" si="69">R83</f>
        <v>0</v>
      </c>
      <c r="K91" s="69">
        <f t="shared" ref="K91" si="70">S83</f>
        <v>0</v>
      </c>
      <c r="L91" s="69">
        <f t="shared" ref="L91" si="71">T83</f>
        <v>0</v>
      </c>
      <c r="M91" s="69">
        <f t="shared" ref="M91" si="72">U83</f>
        <v>0</v>
      </c>
      <c r="N91" s="69">
        <f t="shared" ref="N91" si="73">V83</f>
        <v>0</v>
      </c>
      <c r="O91" s="119">
        <f t="shared" ref="O91" si="74">W83</f>
        <v>1</v>
      </c>
      <c r="P91" s="122"/>
    </row>
    <row r="92" spans="1:51" ht="24.95" customHeight="1" x14ac:dyDescent="0.25">
      <c r="C92" s="75">
        <v>20</v>
      </c>
      <c r="D92" s="74">
        <v>21</v>
      </c>
      <c r="E92" s="74">
        <v>22</v>
      </c>
      <c r="F92" s="74">
        <v>23</v>
      </c>
      <c r="G92" s="74">
        <v>24</v>
      </c>
      <c r="H92" s="73">
        <v>25</v>
      </c>
      <c r="I92" s="122"/>
      <c r="J92" s="118">
        <f t="shared" ref="J92" si="75">V83</f>
        <v>0</v>
      </c>
      <c r="K92" s="69">
        <f t="shared" ref="K92" si="76">W83</f>
        <v>1</v>
      </c>
      <c r="L92" s="69">
        <f t="shared" ref="L92" si="77">X83</f>
        <v>0</v>
      </c>
      <c r="M92" s="69">
        <f t="shared" ref="M92" si="78">Y83</f>
        <v>0</v>
      </c>
      <c r="N92" s="69">
        <f t="shared" ref="N92" si="79">Z83</f>
        <v>1</v>
      </c>
      <c r="O92" s="119">
        <f t="shared" ref="O92" si="80">AA83</f>
        <v>1</v>
      </c>
      <c r="P92" s="122"/>
    </row>
    <row r="93" spans="1:51" ht="24.95" customHeight="1" x14ac:dyDescent="0.25">
      <c r="C93" s="75">
        <v>24</v>
      </c>
      <c r="D93" s="74">
        <v>25</v>
      </c>
      <c r="E93" s="74">
        <v>26</v>
      </c>
      <c r="F93" s="74">
        <v>27</v>
      </c>
      <c r="G93" s="74">
        <v>28</v>
      </c>
      <c r="H93" s="73">
        <v>29</v>
      </c>
      <c r="I93" s="122"/>
      <c r="J93" s="118">
        <f t="shared" ref="J93" si="81">Z83</f>
        <v>1</v>
      </c>
      <c r="K93" s="69">
        <f t="shared" ref="K93" si="82">AA83</f>
        <v>1</v>
      </c>
      <c r="L93" s="69">
        <f t="shared" ref="L93" si="83">AB83</f>
        <v>0</v>
      </c>
      <c r="M93" s="69">
        <f t="shared" ref="M93" si="84">AC83</f>
        <v>0</v>
      </c>
      <c r="N93" s="69">
        <f t="shared" ref="N93" si="85">AD83</f>
        <v>1</v>
      </c>
      <c r="O93" s="119">
        <f t="shared" ref="O93" si="86">AE83</f>
        <v>1</v>
      </c>
      <c r="P93" s="122"/>
    </row>
    <row r="94" spans="1:51" ht="24.95" customHeight="1" x14ac:dyDescent="0.25">
      <c r="C94" s="75">
        <v>28</v>
      </c>
      <c r="D94" s="74">
        <v>29</v>
      </c>
      <c r="E94" s="74">
        <v>30</v>
      </c>
      <c r="F94" s="74">
        <v>31</v>
      </c>
      <c r="G94" s="74">
        <v>32</v>
      </c>
      <c r="H94" s="73">
        <v>1</v>
      </c>
      <c r="I94" s="122"/>
      <c r="J94" s="70">
        <f>AD83</f>
        <v>1</v>
      </c>
      <c r="K94" s="71">
        <f>AE83</f>
        <v>1</v>
      </c>
      <c r="L94" s="71">
        <f>AF83</f>
        <v>1</v>
      </c>
      <c r="M94" s="71">
        <f>AG83</f>
        <v>0</v>
      </c>
      <c r="N94" s="71">
        <f>AH83</f>
        <v>1</v>
      </c>
      <c r="O94" s="121">
        <f>C83</f>
        <v>0</v>
      </c>
      <c r="P94" s="122"/>
    </row>
    <row r="97" spans="1:55" ht="24.95" customHeight="1" x14ac:dyDescent="0.25">
      <c r="A97" s="124" t="s">
        <v>533</v>
      </c>
      <c r="B97" s="124"/>
      <c r="C97" s="125">
        <v>1</v>
      </c>
      <c r="D97" s="126">
        <v>2</v>
      </c>
      <c r="E97" s="125">
        <v>3</v>
      </c>
      <c r="F97" s="126">
        <v>4</v>
      </c>
      <c r="G97" s="125">
        <v>5</v>
      </c>
      <c r="H97" s="126">
        <v>6</v>
      </c>
      <c r="I97" s="125">
        <v>7</v>
      </c>
      <c r="J97" s="126">
        <v>8</v>
      </c>
      <c r="K97" s="125">
        <v>9</v>
      </c>
      <c r="L97" s="126">
        <v>10</v>
      </c>
      <c r="M97" s="125">
        <v>11</v>
      </c>
      <c r="N97" s="126">
        <v>12</v>
      </c>
      <c r="O97" s="125">
        <v>13</v>
      </c>
      <c r="P97" s="126">
        <v>14</v>
      </c>
      <c r="Q97" s="125">
        <v>15</v>
      </c>
      <c r="R97" s="126">
        <v>16</v>
      </c>
      <c r="S97" s="125">
        <v>17</v>
      </c>
      <c r="T97" s="126">
        <v>18</v>
      </c>
      <c r="U97" s="125">
        <v>19</v>
      </c>
      <c r="V97" s="126">
        <v>20</v>
      </c>
      <c r="W97" s="125">
        <v>21</v>
      </c>
      <c r="X97" s="126">
        <v>22</v>
      </c>
      <c r="Y97" s="125">
        <v>23</v>
      </c>
      <c r="Z97" s="126">
        <v>24</v>
      </c>
      <c r="AA97" s="125">
        <v>25</v>
      </c>
      <c r="AB97" s="126">
        <v>26</v>
      </c>
      <c r="AC97" s="125">
        <v>27</v>
      </c>
      <c r="AD97" s="126">
        <v>28</v>
      </c>
      <c r="AE97" s="125">
        <v>29</v>
      </c>
      <c r="AF97" s="126">
        <v>30</v>
      </c>
      <c r="AG97" s="125">
        <v>31</v>
      </c>
      <c r="AH97" s="126">
        <v>32</v>
      </c>
      <c r="AI97" s="125">
        <v>33</v>
      </c>
      <c r="AJ97" s="126">
        <v>34</v>
      </c>
      <c r="AK97" s="125">
        <v>35</v>
      </c>
      <c r="AL97" s="126">
        <v>36</v>
      </c>
      <c r="AM97" s="125">
        <v>37</v>
      </c>
      <c r="AN97" s="126">
        <v>38</v>
      </c>
      <c r="AO97" s="125">
        <v>39</v>
      </c>
      <c r="AP97" s="126">
        <v>40</v>
      </c>
      <c r="AQ97" s="125">
        <v>41</v>
      </c>
      <c r="AR97" s="126">
        <v>42</v>
      </c>
      <c r="AS97" s="125">
        <v>43</v>
      </c>
      <c r="AT97" s="126">
        <v>44</v>
      </c>
      <c r="AU97" s="125">
        <v>45</v>
      </c>
      <c r="AV97" s="126">
        <v>46</v>
      </c>
      <c r="AW97" s="125">
        <v>47</v>
      </c>
      <c r="AX97" s="126">
        <v>48</v>
      </c>
    </row>
    <row r="98" spans="1:55" ht="24.95" customHeight="1" x14ac:dyDescent="0.25">
      <c r="C98" s="125">
        <f t="shared" ref="C98" si="87">J87</f>
        <v>1</v>
      </c>
      <c r="D98" s="125">
        <f t="shared" ref="D98" si="88">K87</f>
        <v>0</v>
      </c>
      <c r="E98" s="125">
        <f t="shared" ref="E98" si="89">L87</f>
        <v>1</v>
      </c>
      <c r="F98" s="125">
        <f t="shared" ref="F98" si="90">M87</f>
        <v>0</v>
      </c>
      <c r="G98" s="126">
        <f t="shared" ref="G98" si="91">N87</f>
        <v>0</v>
      </c>
      <c r="H98" s="126">
        <f t="shared" ref="H98" si="92">O87</f>
        <v>0</v>
      </c>
      <c r="I98" s="125">
        <f t="shared" ref="I98" si="93">J88</f>
        <v>0</v>
      </c>
      <c r="J98" s="125">
        <f t="shared" ref="J98" si="94">K88</f>
        <v>0</v>
      </c>
      <c r="K98" s="125">
        <f t="shared" ref="K98" si="95">L88</f>
        <v>0</v>
      </c>
      <c r="L98" s="125">
        <f t="shared" ref="L98" si="96">M88</f>
        <v>0</v>
      </c>
      <c r="M98" s="125">
        <f t="shared" ref="M98" si="97">N88</f>
        <v>1</v>
      </c>
      <c r="N98" s="125">
        <f t="shared" ref="N98" si="98">O88</f>
        <v>0</v>
      </c>
      <c r="O98" s="126">
        <f t="shared" ref="O98" si="99">J89</f>
        <v>1</v>
      </c>
      <c r="P98" s="126">
        <f t="shared" ref="P98" si="100">K89</f>
        <v>0</v>
      </c>
      <c r="Q98" s="126">
        <f t="shared" ref="Q98" si="101">L89</f>
        <v>0</v>
      </c>
      <c r="R98" s="126">
        <f t="shared" ref="R98" si="102">M89</f>
        <v>0</v>
      </c>
      <c r="S98" s="126">
        <f t="shared" ref="S98" si="103">N89</f>
        <v>0</v>
      </c>
      <c r="T98" s="126">
        <f t="shared" ref="T98" si="104">O89</f>
        <v>0</v>
      </c>
      <c r="U98" s="125">
        <f t="shared" ref="U98" si="105">J90</f>
        <v>0</v>
      </c>
      <c r="V98" s="126">
        <f t="shared" ref="V98" si="106">K90</f>
        <v>0</v>
      </c>
      <c r="W98" s="125">
        <f t="shared" ref="W98" si="107">L90</f>
        <v>0</v>
      </c>
      <c r="X98" s="126">
        <f t="shared" ref="X98" si="108">M90</f>
        <v>1</v>
      </c>
      <c r="Y98" s="125">
        <f t="shared" ref="Y98" si="109">N90</f>
        <v>0</v>
      </c>
      <c r="Z98" s="126">
        <f t="shared" ref="Z98" si="110">O90</f>
        <v>0</v>
      </c>
      <c r="AA98" s="125">
        <f t="shared" ref="AA98" si="111">J91</f>
        <v>0</v>
      </c>
      <c r="AB98" s="126">
        <f t="shared" ref="AB98" si="112">K91</f>
        <v>0</v>
      </c>
      <c r="AC98" s="125">
        <f t="shared" ref="AC98" si="113">L91</f>
        <v>0</v>
      </c>
      <c r="AD98" s="126">
        <f t="shared" ref="AD98" si="114">M91</f>
        <v>0</v>
      </c>
      <c r="AE98" s="125">
        <f t="shared" ref="AE98" si="115">N91</f>
        <v>0</v>
      </c>
      <c r="AF98" s="126">
        <f t="shared" ref="AF98" si="116">O91</f>
        <v>1</v>
      </c>
      <c r="AG98" s="125">
        <f t="shared" ref="AG98" si="117">J92</f>
        <v>0</v>
      </c>
      <c r="AH98" s="126">
        <f t="shared" ref="AH98" si="118">K92</f>
        <v>1</v>
      </c>
      <c r="AI98" s="125">
        <f t="shared" ref="AI98" si="119">L92</f>
        <v>0</v>
      </c>
      <c r="AJ98" s="126">
        <f t="shared" ref="AJ98" si="120">M92</f>
        <v>0</v>
      </c>
      <c r="AK98" s="125">
        <f t="shared" ref="AK98" si="121">N92</f>
        <v>1</v>
      </c>
      <c r="AL98" s="126">
        <f t="shared" ref="AL98" si="122">O92</f>
        <v>1</v>
      </c>
      <c r="AM98" s="125">
        <f t="shared" ref="AM98" si="123">J93</f>
        <v>1</v>
      </c>
      <c r="AN98" s="126">
        <f t="shared" ref="AN98" si="124">K93</f>
        <v>1</v>
      </c>
      <c r="AO98" s="125">
        <f t="shared" ref="AO98" si="125">L93</f>
        <v>0</v>
      </c>
      <c r="AP98" s="126">
        <f t="shared" ref="AP98" si="126">M93</f>
        <v>0</v>
      </c>
      <c r="AQ98" s="125">
        <f t="shared" ref="AQ98" si="127">N93</f>
        <v>1</v>
      </c>
      <c r="AR98" s="126">
        <f t="shared" ref="AR98" si="128">O93</f>
        <v>1</v>
      </c>
      <c r="AS98" s="125">
        <f t="shared" ref="AS98" si="129">J94</f>
        <v>1</v>
      </c>
      <c r="AT98" s="126">
        <f t="shared" ref="AT98" si="130">K94</f>
        <v>1</v>
      </c>
      <c r="AU98" s="125">
        <f t="shared" ref="AU98" si="131">L94</f>
        <v>1</v>
      </c>
      <c r="AV98" s="126">
        <f t="shared" ref="AV98" si="132">M94</f>
        <v>0</v>
      </c>
      <c r="AW98" s="125">
        <f t="shared" ref="AW98" si="133">N94</f>
        <v>1</v>
      </c>
      <c r="AX98" s="126">
        <f t="shared" ref="AX98" si="134">O94</f>
        <v>0</v>
      </c>
    </row>
    <row r="101" spans="1:55" ht="24.95" customHeight="1" x14ac:dyDescent="0.25">
      <c r="A101" s="127" t="s">
        <v>587</v>
      </c>
      <c r="B101" s="127"/>
      <c r="C101" s="77">
        <f>'Key Generator'!D101</f>
        <v>1</v>
      </c>
      <c r="D101" s="77">
        <f>'Key Generator'!E101</f>
        <v>2</v>
      </c>
      <c r="E101" s="77">
        <f>'Key Generator'!F101</f>
        <v>3</v>
      </c>
      <c r="F101" s="77">
        <f>'Key Generator'!G101</f>
        <v>4</v>
      </c>
      <c r="G101" s="77">
        <f>'Key Generator'!H101</f>
        <v>5</v>
      </c>
      <c r="H101" s="77">
        <f>'Key Generator'!I101</f>
        <v>6</v>
      </c>
      <c r="I101" s="77">
        <f>'Key Generator'!J101</f>
        <v>7</v>
      </c>
      <c r="J101" s="77">
        <f>'Key Generator'!K101</f>
        <v>8</v>
      </c>
      <c r="K101" s="77">
        <f>'Key Generator'!L101</f>
        <v>9</v>
      </c>
      <c r="L101" s="77">
        <f>'Key Generator'!M101</f>
        <v>10</v>
      </c>
      <c r="M101" s="77">
        <f>'Key Generator'!N101</f>
        <v>11</v>
      </c>
      <c r="N101" s="77">
        <f>'Key Generator'!O101</f>
        <v>12</v>
      </c>
      <c r="O101" s="77">
        <f>'Key Generator'!P101</f>
        <v>13</v>
      </c>
      <c r="P101" s="77">
        <f>'Key Generator'!Q101</f>
        <v>14</v>
      </c>
      <c r="Q101" s="77">
        <f>'Key Generator'!R101</f>
        <v>15</v>
      </c>
      <c r="R101" s="77">
        <f>'Key Generator'!S101</f>
        <v>16</v>
      </c>
      <c r="S101" s="77">
        <f>'Key Generator'!T101</f>
        <v>17</v>
      </c>
      <c r="T101" s="77">
        <f>'Key Generator'!U101</f>
        <v>18</v>
      </c>
      <c r="U101" s="77">
        <f>'Key Generator'!V101</f>
        <v>19</v>
      </c>
      <c r="V101" s="77">
        <f>'Key Generator'!W101</f>
        <v>20</v>
      </c>
      <c r="W101" s="77">
        <f>'Key Generator'!X101</f>
        <v>21</v>
      </c>
      <c r="X101" s="77">
        <f>'Key Generator'!Y101</f>
        <v>22</v>
      </c>
      <c r="Y101" s="77">
        <f>'Key Generator'!Z101</f>
        <v>23</v>
      </c>
      <c r="Z101" s="77">
        <f>'Key Generator'!AA101</f>
        <v>24</v>
      </c>
      <c r="AA101" s="77">
        <f>'Key Generator'!AB101</f>
        <v>25</v>
      </c>
      <c r="AB101" s="77">
        <f>'Key Generator'!AC101</f>
        <v>26</v>
      </c>
      <c r="AC101" s="77">
        <f>'Key Generator'!AD101</f>
        <v>27</v>
      </c>
      <c r="AD101" s="77">
        <f>'Key Generator'!AE101</f>
        <v>28</v>
      </c>
      <c r="AE101" s="77">
        <f>'Key Generator'!AF101</f>
        <v>29</v>
      </c>
      <c r="AF101" s="77">
        <f>'Key Generator'!AG101</f>
        <v>30</v>
      </c>
      <c r="AG101" s="77">
        <f>'Key Generator'!AH101</f>
        <v>31</v>
      </c>
      <c r="AH101" s="77">
        <f>'Key Generator'!AI101</f>
        <v>32</v>
      </c>
      <c r="AI101" s="77">
        <f>'Key Generator'!AJ101</f>
        <v>33</v>
      </c>
      <c r="AJ101" s="77">
        <f>'Key Generator'!AK101</f>
        <v>34</v>
      </c>
      <c r="AK101" s="77">
        <f>'Key Generator'!AL101</f>
        <v>35</v>
      </c>
      <c r="AL101" s="77">
        <f>'Key Generator'!AM101</f>
        <v>36</v>
      </c>
      <c r="AM101" s="77">
        <f>'Key Generator'!AN101</f>
        <v>37</v>
      </c>
      <c r="AN101" s="77">
        <f>'Key Generator'!AO101</f>
        <v>38</v>
      </c>
      <c r="AO101" s="77">
        <f>'Key Generator'!AP101</f>
        <v>39</v>
      </c>
      <c r="AP101" s="77">
        <f>'Key Generator'!AQ101</f>
        <v>40</v>
      </c>
      <c r="AQ101" s="77">
        <f>'Key Generator'!AR101</f>
        <v>41</v>
      </c>
      <c r="AR101" s="77">
        <f>'Key Generator'!AS101</f>
        <v>42</v>
      </c>
      <c r="AS101" s="77">
        <f>'Key Generator'!AT101</f>
        <v>43</v>
      </c>
      <c r="AT101" s="77">
        <f>'Key Generator'!AU101</f>
        <v>44</v>
      </c>
      <c r="AU101" s="77">
        <f>'Key Generator'!AV101</f>
        <v>45</v>
      </c>
      <c r="AV101" s="77">
        <f>'Key Generator'!AW101</f>
        <v>46</v>
      </c>
      <c r="AW101" s="77">
        <f>'Key Generator'!AX101</f>
        <v>47</v>
      </c>
      <c r="AX101" s="77">
        <f>'Key Generator'!AY101</f>
        <v>48</v>
      </c>
    </row>
    <row r="102" spans="1:55" ht="24.95" customHeight="1" x14ac:dyDescent="0.25">
      <c r="C102" s="77">
        <f>'Key Generator'!D102</f>
        <v>1</v>
      </c>
      <c r="D102" s="77">
        <f>'Key Generator'!E102</f>
        <v>1</v>
      </c>
      <c r="E102" s="77">
        <f>'Key Generator'!F102</f>
        <v>0</v>
      </c>
      <c r="F102" s="77">
        <f>'Key Generator'!G102</f>
        <v>1</v>
      </c>
      <c r="G102" s="77">
        <f>'Key Generator'!H102</f>
        <v>0</v>
      </c>
      <c r="H102" s="77">
        <f>'Key Generator'!I102</f>
        <v>0</v>
      </c>
      <c r="I102" s="77">
        <f>'Key Generator'!J102</f>
        <v>0</v>
      </c>
      <c r="J102" s="77">
        <f>'Key Generator'!K102</f>
        <v>0</v>
      </c>
      <c r="K102" s="77">
        <f>'Key Generator'!L102</f>
        <v>0</v>
      </c>
      <c r="L102" s="77">
        <f>'Key Generator'!M102</f>
        <v>1</v>
      </c>
      <c r="M102" s="77">
        <f>'Key Generator'!N102</f>
        <v>1</v>
      </c>
      <c r="N102" s="77">
        <f>'Key Generator'!O102</f>
        <v>0</v>
      </c>
      <c r="O102" s="77">
        <f>'Key Generator'!P102</f>
        <v>1</v>
      </c>
      <c r="P102" s="77">
        <f>'Key Generator'!Q102</f>
        <v>1</v>
      </c>
      <c r="Q102" s="77">
        <f>'Key Generator'!R102</f>
        <v>0</v>
      </c>
      <c r="R102" s="77">
        <f>'Key Generator'!S102</f>
        <v>0</v>
      </c>
      <c r="S102" s="77">
        <f>'Key Generator'!T102</f>
        <v>1</v>
      </c>
      <c r="T102" s="77">
        <f>'Key Generator'!U102</f>
        <v>0</v>
      </c>
      <c r="U102" s="77">
        <f>'Key Generator'!V102</f>
        <v>0</v>
      </c>
      <c r="V102" s="77">
        <f>'Key Generator'!W102</f>
        <v>0</v>
      </c>
      <c r="W102" s="77">
        <f>'Key Generator'!X102</f>
        <v>0</v>
      </c>
      <c r="X102" s="77">
        <f>'Key Generator'!Y102</f>
        <v>1</v>
      </c>
      <c r="Y102" s="77">
        <f>'Key Generator'!Z102</f>
        <v>0</v>
      </c>
      <c r="Z102" s="77">
        <f>'Key Generator'!AA102</f>
        <v>0</v>
      </c>
      <c r="AA102" s="77">
        <f>'Key Generator'!AB102</f>
        <v>1</v>
      </c>
      <c r="AB102" s="77">
        <f>'Key Generator'!AC102</f>
        <v>1</v>
      </c>
      <c r="AC102" s="77">
        <f>'Key Generator'!AD102</f>
        <v>1</v>
      </c>
      <c r="AD102" s="77">
        <f>'Key Generator'!AE102</f>
        <v>0</v>
      </c>
      <c r="AE102" s="77">
        <f>'Key Generator'!AF102</f>
        <v>0</v>
      </c>
      <c r="AF102" s="77">
        <f>'Key Generator'!AG102</f>
        <v>0</v>
      </c>
      <c r="AG102" s="77">
        <f>'Key Generator'!AH102</f>
        <v>1</v>
      </c>
      <c r="AH102" s="77">
        <f>'Key Generator'!AI102</f>
        <v>1</v>
      </c>
      <c r="AI102" s="77">
        <f>'Key Generator'!AJ102</f>
        <v>1</v>
      </c>
      <c r="AJ102" s="77">
        <f>'Key Generator'!AK102</f>
        <v>0</v>
      </c>
      <c r="AK102" s="77">
        <f>'Key Generator'!AL102</f>
        <v>0</v>
      </c>
      <c r="AL102" s="77">
        <f>'Key Generator'!AM102</f>
        <v>1</v>
      </c>
      <c r="AM102" s="77">
        <f>'Key Generator'!AN102</f>
        <v>1</v>
      </c>
      <c r="AN102" s="77">
        <f>'Key Generator'!AO102</f>
        <v>0</v>
      </c>
      <c r="AO102" s="77">
        <f>'Key Generator'!AP102</f>
        <v>0</v>
      </c>
      <c r="AP102" s="77">
        <f>'Key Generator'!AQ102</f>
        <v>0</v>
      </c>
      <c r="AQ102" s="77">
        <f>'Key Generator'!AR102</f>
        <v>0</v>
      </c>
      <c r="AR102" s="77">
        <f>'Key Generator'!AS102</f>
        <v>0</v>
      </c>
      <c r="AS102" s="77">
        <f>'Key Generator'!AT102</f>
        <v>1</v>
      </c>
      <c r="AT102" s="77">
        <f>'Key Generator'!AU102</f>
        <v>1</v>
      </c>
      <c r="AU102" s="77">
        <f>'Key Generator'!AV102</f>
        <v>0</v>
      </c>
      <c r="AV102" s="77">
        <f>'Key Generator'!AW102</f>
        <v>1</v>
      </c>
      <c r="AW102" s="77">
        <f>'Key Generator'!AX102</f>
        <v>1</v>
      </c>
      <c r="AX102" s="77">
        <f>'Key Generator'!AY102</f>
        <v>0</v>
      </c>
    </row>
    <row r="105" spans="1:55" ht="24.95" customHeight="1" x14ac:dyDescent="0.25">
      <c r="A105" s="128" t="s">
        <v>535</v>
      </c>
      <c r="B105" s="129"/>
      <c r="C105" s="79">
        <v>1</v>
      </c>
      <c r="D105" s="80">
        <v>2</v>
      </c>
      <c r="E105" s="79">
        <v>3</v>
      </c>
      <c r="F105" s="80">
        <v>4</v>
      </c>
      <c r="G105" s="79">
        <v>5</v>
      </c>
      <c r="H105" s="80">
        <v>6</v>
      </c>
      <c r="I105" s="79">
        <v>7</v>
      </c>
      <c r="J105" s="80">
        <v>8</v>
      </c>
      <c r="K105" s="79">
        <v>9</v>
      </c>
      <c r="L105" s="80">
        <v>10</v>
      </c>
      <c r="M105" s="79">
        <v>11</v>
      </c>
      <c r="N105" s="80">
        <v>12</v>
      </c>
      <c r="O105" s="79">
        <v>13</v>
      </c>
      <c r="P105" s="80">
        <v>14</v>
      </c>
      <c r="Q105" s="79">
        <v>15</v>
      </c>
      <c r="R105" s="80">
        <v>16</v>
      </c>
      <c r="S105" s="79">
        <v>17</v>
      </c>
      <c r="T105" s="80">
        <v>18</v>
      </c>
      <c r="U105" s="79">
        <v>19</v>
      </c>
      <c r="V105" s="80">
        <v>20</v>
      </c>
      <c r="W105" s="79">
        <v>21</v>
      </c>
      <c r="X105" s="80">
        <v>22</v>
      </c>
      <c r="Y105" s="79">
        <v>23</v>
      </c>
      <c r="Z105" s="80">
        <v>24</v>
      </c>
      <c r="AA105" s="79">
        <v>25</v>
      </c>
      <c r="AB105" s="80">
        <v>26</v>
      </c>
      <c r="AC105" s="79">
        <v>27</v>
      </c>
      <c r="AD105" s="80">
        <v>28</v>
      </c>
      <c r="AE105" s="79">
        <v>29</v>
      </c>
      <c r="AF105" s="80">
        <v>30</v>
      </c>
      <c r="AG105" s="79">
        <v>31</v>
      </c>
      <c r="AH105" s="80">
        <v>32</v>
      </c>
      <c r="AI105" s="79">
        <v>33</v>
      </c>
      <c r="AJ105" s="80">
        <v>34</v>
      </c>
      <c r="AK105" s="79">
        <v>35</v>
      </c>
      <c r="AL105" s="80">
        <v>36</v>
      </c>
      <c r="AM105" s="79">
        <v>37</v>
      </c>
      <c r="AN105" s="80">
        <v>38</v>
      </c>
      <c r="AO105" s="79">
        <v>39</v>
      </c>
      <c r="AP105" s="80">
        <v>40</v>
      </c>
      <c r="AQ105" s="79">
        <v>41</v>
      </c>
      <c r="AR105" s="80">
        <v>42</v>
      </c>
      <c r="AS105" s="79">
        <v>43</v>
      </c>
      <c r="AT105" s="80">
        <v>44</v>
      </c>
      <c r="AU105" s="79">
        <v>45</v>
      </c>
      <c r="AV105" s="80">
        <v>46</v>
      </c>
      <c r="AW105" s="79">
        <v>47</v>
      </c>
      <c r="AX105" s="80">
        <v>48</v>
      </c>
    </row>
    <row r="106" spans="1:55" ht="24.95" customHeight="1" x14ac:dyDescent="0.25">
      <c r="C106" s="88">
        <f>--_xlfn.XOR(C98,'Key Generator'!D102)</f>
        <v>0</v>
      </c>
      <c r="D106" s="88">
        <f>--_xlfn.XOR(D98,'Key Generator'!E102)</f>
        <v>1</v>
      </c>
      <c r="E106" s="88">
        <f>--_xlfn.XOR(E98,'Key Generator'!F102)</f>
        <v>1</v>
      </c>
      <c r="F106" s="88">
        <f>--_xlfn.XOR(F98,'Key Generator'!G102)</f>
        <v>1</v>
      </c>
      <c r="G106" s="88">
        <f>--_xlfn.XOR(G98,'Key Generator'!H102)</f>
        <v>0</v>
      </c>
      <c r="H106" s="88">
        <f>--_xlfn.XOR(H98,'Key Generator'!I102)</f>
        <v>0</v>
      </c>
      <c r="I106" s="88">
        <f>--_xlfn.XOR(I98,'Key Generator'!J102)</f>
        <v>0</v>
      </c>
      <c r="J106" s="88">
        <f>--_xlfn.XOR(J98,'Key Generator'!K102)</f>
        <v>0</v>
      </c>
      <c r="K106" s="88">
        <f>--_xlfn.XOR(K98,'Key Generator'!L102)</f>
        <v>0</v>
      </c>
      <c r="L106" s="88">
        <f>--_xlfn.XOR(L98,'Key Generator'!M102)</f>
        <v>1</v>
      </c>
      <c r="M106" s="88">
        <f>--_xlfn.XOR(M98,'Key Generator'!N102)</f>
        <v>0</v>
      </c>
      <c r="N106" s="88">
        <f>--_xlfn.XOR(N98,'Key Generator'!O102)</f>
        <v>0</v>
      </c>
      <c r="O106" s="88">
        <f>--_xlfn.XOR(O98,'Key Generator'!P102)</f>
        <v>0</v>
      </c>
      <c r="P106" s="88">
        <f>--_xlfn.XOR(P98,'Key Generator'!Q102)</f>
        <v>1</v>
      </c>
      <c r="Q106" s="88">
        <f>--_xlfn.XOR(Q98,'Key Generator'!R102)</f>
        <v>0</v>
      </c>
      <c r="R106" s="88">
        <f>--_xlfn.XOR(R98,'Key Generator'!S102)</f>
        <v>0</v>
      </c>
      <c r="S106" s="88">
        <f>--_xlfn.XOR(S98,'Key Generator'!T102)</f>
        <v>1</v>
      </c>
      <c r="T106" s="88">
        <f>--_xlfn.XOR(T98,'Key Generator'!U102)</f>
        <v>0</v>
      </c>
      <c r="U106" s="88">
        <f>--_xlfn.XOR(U98,'Key Generator'!V102)</f>
        <v>0</v>
      </c>
      <c r="V106" s="88">
        <f>--_xlfn.XOR(V98,'Key Generator'!W102)</f>
        <v>0</v>
      </c>
      <c r="W106" s="88">
        <f>--_xlfn.XOR(W98,'Key Generator'!X102)</f>
        <v>0</v>
      </c>
      <c r="X106" s="88">
        <f>--_xlfn.XOR(X98,'Key Generator'!Y102)</f>
        <v>0</v>
      </c>
      <c r="Y106" s="88">
        <f>--_xlfn.XOR(Y98,'Key Generator'!Z102)</f>
        <v>0</v>
      </c>
      <c r="Z106" s="88">
        <f>--_xlfn.XOR(Z98,'Key Generator'!AA102)</f>
        <v>0</v>
      </c>
      <c r="AA106" s="88">
        <f>--_xlfn.XOR(AA98,'Key Generator'!AB102)</f>
        <v>1</v>
      </c>
      <c r="AB106" s="88">
        <f>--_xlfn.XOR(AB98,'Key Generator'!AC102)</f>
        <v>1</v>
      </c>
      <c r="AC106" s="88">
        <f>--_xlfn.XOR(AC98,'Key Generator'!AD102)</f>
        <v>1</v>
      </c>
      <c r="AD106" s="88">
        <f>--_xlfn.XOR(AD98,'Key Generator'!AE102)</f>
        <v>0</v>
      </c>
      <c r="AE106" s="88">
        <f>--_xlfn.XOR(AE98,'Key Generator'!AF102)</f>
        <v>0</v>
      </c>
      <c r="AF106" s="88">
        <f>--_xlfn.XOR(AF98,'Key Generator'!AG102)</f>
        <v>1</v>
      </c>
      <c r="AG106" s="88">
        <f>--_xlfn.XOR(AG98,'Key Generator'!AH102)</f>
        <v>1</v>
      </c>
      <c r="AH106" s="88">
        <f>--_xlfn.XOR(AH98,'Key Generator'!AI102)</f>
        <v>0</v>
      </c>
      <c r="AI106" s="88">
        <f>--_xlfn.XOR(AI98,'Key Generator'!AJ102)</f>
        <v>1</v>
      </c>
      <c r="AJ106" s="88">
        <f>--_xlfn.XOR(AJ98,'Key Generator'!AK102)</f>
        <v>0</v>
      </c>
      <c r="AK106" s="88">
        <f>--_xlfn.XOR(AK98,'Key Generator'!AL102)</f>
        <v>1</v>
      </c>
      <c r="AL106" s="88">
        <f>--_xlfn.XOR(AL98,'Key Generator'!AM102)</f>
        <v>0</v>
      </c>
      <c r="AM106" s="88">
        <f>--_xlfn.XOR(AM98,'Key Generator'!AN102)</f>
        <v>0</v>
      </c>
      <c r="AN106" s="88">
        <f>--_xlfn.XOR(AN98,'Key Generator'!AO102)</f>
        <v>1</v>
      </c>
      <c r="AO106" s="88">
        <f>--_xlfn.XOR(AO98,'Key Generator'!AP102)</f>
        <v>0</v>
      </c>
      <c r="AP106" s="88">
        <f>--_xlfn.XOR(AP98,'Key Generator'!AQ102)</f>
        <v>0</v>
      </c>
      <c r="AQ106" s="88">
        <f>--_xlfn.XOR(AQ98,'Key Generator'!AR102)</f>
        <v>1</v>
      </c>
      <c r="AR106" s="88">
        <f>--_xlfn.XOR(AR98,'Key Generator'!AS102)</f>
        <v>1</v>
      </c>
      <c r="AS106" s="88">
        <f>--_xlfn.XOR(AS98,'Key Generator'!AT102)</f>
        <v>0</v>
      </c>
      <c r="AT106" s="88">
        <f>--_xlfn.XOR(AT98,'Key Generator'!AU102)</f>
        <v>0</v>
      </c>
      <c r="AU106" s="88">
        <f>--_xlfn.XOR(AU98,'Key Generator'!AV102)</f>
        <v>1</v>
      </c>
      <c r="AV106" s="88">
        <f>--_xlfn.XOR(AV98,'Key Generator'!AW102)</f>
        <v>1</v>
      </c>
      <c r="AW106" s="88">
        <f>--_xlfn.XOR(AW98,'Key Generator'!AX102)</f>
        <v>0</v>
      </c>
      <c r="AX106" s="88">
        <f>--_xlfn.XOR(AX98,'Key Generator'!AY102)</f>
        <v>0</v>
      </c>
      <c r="AZ106" s="20"/>
      <c r="BA106" s="20"/>
      <c r="BB106" s="20"/>
      <c r="BC106" s="20"/>
    </row>
    <row r="107" spans="1:55" ht="24.95" customHeight="1" x14ac:dyDescent="0.25">
      <c r="C107" s="93"/>
      <c r="D107" s="94"/>
      <c r="E107" s="94"/>
      <c r="F107" s="94"/>
      <c r="G107" s="94"/>
      <c r="H107" s="94"/>
      <c r="AZ107" s="20"/>
      <c r="BA107" s="20"/>
      <c r="BB107" s="20"/>
      <c r="BC107" s="20"/>
    </row>
    <row r="108" spans="1:55" ht="24.95" customHeight="1" x14ac:dyDescent="0.25">
      <c r="A108" s="96" t="s">
        <v>545</v>
      </c>
      <c r="B108" s="97"/>
      <c r="C108" s="101">
        <f>D106*8+E106*4+F106*2+G106</f>
        <v>14</v>
      </c>
      <c r="D108" s="97" t="s">
        <v>536</v>
      </c>
      <c r="E108" s="97"/>
      <c r="F108" s="97"/>
      <c r="G108" s="97"/>
      <c r="H108" s="97"/>
      <c r="I108" s="101">
        <f>J106*8+K106*4+L106*2+M106</f>
        <v>2</v>
      </c>
      <c r="J108" s="97" t="s">
        <v>537</v>
      </c>
      <c r="K108" s="97"/>
      <c r="L108" s="97"/>
      <c r="M108" s="97"/>
      <c r="N108" s="97"/>
      <c r="O108" s="101">
        <f>P106*8+Q106*4+R106*2+S106</f>
        <v>9</v>
      </c>
      <c r="P108" s="97" t="s">
        <v>538</v>
      </c>
      <c r="Q108" s="97"/>
      <c r="R108" s="97"/>
      <c r="S108" s="97"/>
      <c r="T108" s="97"/>
      <c r="U108" s="101">
        <f>V106*8+W106*4+X106*2+Y106</f>
        <v>0</v>
      </c>
      <c r="V108" s="97" t="s">
        <v>539</v>
      </c>
      <c r="W108" s="97"/>
      <c r="X108" s="97"/>
      <c r="Y108" s="97"/>
      <c r="Z108" s="97"/>
      <c r="AA108" s="101">
        <f>AB106*8+AC106*4+AD106*2+AE106</f>
        <v>12</v>
      </c>
      <c r="AB108" s="97" t="s">
        <v>540</v>
      </c>
      <c r="AC108" s="97"/>
      <c r="AD108" s="97"/>
      <c r="AE108" s="97"/>
      <c r="AF108" s="97"/>
      <c r="AG108" s="101">
        <f>AH106*8+AI106*4+AJ106*2+AK106</f>
        <v>5</v>
      </c>
      <c r="AH108" s="97" t="s">
        <v>541</v>
      </c>
      <c r="AI108" s="97"/>
      <c r="AJ108" s="97"/>
      <c r="AK108" s="97"/>
      <c r="AL108" s="97"/>
      <c r="AM108" s="101">
        <f>AN106*8+AO106*4+AP106*2+AQ106</f>
        <v>9</v>
      </c>
      <c r="AN108" s="97" t="s">
        <v>542</v>
      </c>
      <c r="AO108" s="97"/>
      <c r="AP108" s="97"/>
      <c r="AQ108" s="97"/>
      <c r="AR108" s="97"/>
      <c r="AS108" s="101">
        <f>AT106*8+AU106*4+AV106*2+AW106</f>
        <v>6</v>
      </c>
      <c r="AT108" s="97" t="s">
        <v>543</v>
      </c>
      <c r="AU108" s="97"/>
      <c r="AV108" s="97"/>
      <c r="AW108" s="97"/>
      <c r="AX108" s="97"/>
      <c r="AY108" s="97"/>
      <c r="AZ108" s="20"/>
      <c r="BA108" s="20"/>
      <c r="BB108" s="20"/>
      <c r="BC108" s="20"/>
    </row>
    <row r="109" spans="1:55" ht="24.95" customHeight="1" x14ac:dyDescent="0.25">
      <c r="A109" s="100" t="s">
        <v>546</v>
      </c>
      <c r="B109" s="99"/>
      <c r="C109" s="87">
        <f>C106*2+H106</f>
        <v>0</v>
      </c>
      <c r="D109" s="98"/>
      <c r="E109" s="98"/>
      <c r="F109" s="99"/>
      <c r="G109" s="99"/>
      <c r="H109" s="99"/>
      <c r="I109" s="87">
        <f>I106*2+N106</f>
        <v>0</v>
      </c>
      <c r="J109" s="99"/>
      <c r="K109" s="99"/>
      <c r="L109" s="99"/>
      <c r="M109" s="99"/>
      <c r="N109" s="99"/>
      <c r="O109" s="87">
        <f>O106*2+T106</f>
        <v>0</v>
      </c>
      <c r="P109" s="99"/>
      <c r="Q109" s="99"/>
      <c r="R109" s="99"/>
      <c r="S109" s="99"/>
      <c r="T109" s="99"/>
      <c r="U109" s="87">
        <f>U106*2+Z106</f>
        <v>0</v>
      </c>
      <c r="V109" s="99"/>
      <c r="W109" s="99"/>
      <c r="X109" s="99"/>
      <c r="Y109" s="99"/>
      <c r="Z109" s="99"/>
      <c r="AA109" s="87">
        <f>AA106*2+AF106</f>
        <v>3</v>
      </c>
      <c r="AB109" s="99"/>
      <c r="AC109" s="99"/>
      <c r="AD109" s="99"/>
      <c r="AE109" s="99"/>
      <c r="AF109" s="99"/>
      <c r="AG109" s="87">
        <f>AG106*2+AL106</f>
        <v>2</v>
      </c>
      <c r="AH109" s="99"/>
      <c r="AI109" s="99"/>
      <c r="AJ109" s="99"/>
      <c r="AK109" s="99"/>
      <c r="AL109" s="99"/>
      <c r="AM109" s="87">
        <f>AM106*2+AR106</f>
        <v>1</v>
      </c>
      <c r="AN109" s="99"/>
      <c r="AO109" s="99"/>
      <c r="AP109" s="99"/>
      <c r="AQ109" s="99"/>
      <c r="AR109" s="99"/>
      <c r="AS109" s="87">
        <f>AS106*2+AX106</f>
        <v>0</v>
      </c>
      <c r="AT109" s="99"/>
      <c r="AU109" s="99"/>
      <c r="AV109" s="99"/>
      <c r="AW109" s="99"/>
      <c r="AX109" s="99"/>
      <c r="AY109" s="99"/>
      <c r="AZ109" s="20"/>
      <c r="BA109" s="20"/>
      <c r="BB109" s="20"/>
      <c r="BC109" s="20"/>
    </row>
    <row r="110" spans="1:55" ht="24.95" customHeight="1" x14ac:dyDescent="0.25">
      <c r="AZ110" s="20"/>
      <c r="BA110" s="20"/>
      <c r="BB110" s="20"/>
      <c r="BC110" s="20"/>
    </row>
    <row r="111" spans="1:55" ht="24.95" customHeight="1" x14ac:dyDescent="0.25">
      <c r="A111" s="117" t="s">
        <v>547</v>
      </c>
      <c r="C111" s="72">
        <f>INDEX('S-Box'!D3:S6,'DES-Enc'!C109+1,'DES-Enc'!C108+1)</f>
        <v>0</v>
      </c>
      <c r="I111" s="102">
        <f>INDEX('S-Box'!D9:S12,'DES-Enc'!I109+1,'DES-Enc'!I108+1)</f>
        <v>8</v>
      </c>
      <c r="O111" s="102">
        <f>INDEX('S-Box'!D15:S18,'DES-Enc'!O109+1,'DES-Enc'!O108+1)</f>
        <v>13</v>
      </c>
      <c r="U111" s="102">
        <f>INDEX('S-Box'!D21:S24,'DES-Enc'!U109+1,'DES-Enc'!U108+1)</f>
        <v>7</v>
      </c>
      <c r="AA111" s="102">
        <f>INDEX('S-Box'!D27:S30,'DES-Enc'!AA109+1,'DES-Enc'!AA108+1)</f>
        <v>10</v>
      </c>
      <c r="AG111" s="102">
        <f>INDEX('S-Box'!D33:S36,'DES-Enc'!AG109+1,'DES-Enc'!AG108+1)</f>
        <v>8</v>
      </c>
      <c r="AM111" s="102">
        <f>INDEX('S-Box'!D39:S42,'DES-Enc'!AM109+1,'DES-Enc'!AM108+1)</f>
        <v>3</v>
      </c>
      <c r="AS111" s="102">
        <f>INDEX('S-Box'!D45:S48,'DES-Enc'!AS109+1,'DES-Enc'!AS108+1)</f>
        <v>11</v>
      </c>
      <c r="AZ111" s="20"/>
      <c r="BA111" s="20"/>
      <c r="BB111" s="20"/>
      <c r="BC111" s="20"/>
    </row>
    <row r="112" spans="1:55" ht="24.95" customHeight="1" x14ac:dyDescent="0.25">
      <c r="C112" s="104"/>
      <c r="I112" s="95"/>
      <c r="O112" s="95"/>
      <c r="U112" s="95"/>
      <c r="AA112" s="95"/>
      <c r="AG112" s="95"/>
      <c r="AM112" s="95"/>
      <c r="AS112" s="95"/>
    </row>
    <row r="113" spans="1:48" ht="24.95" customHeight="1" x14ac:dyDescent="0.25">
      <c r="C113" s="105" t="str">
        <f>MID(DEC2BIN(C111,4),1,1)</f>
        <v>0</v>
      </c>
      <c r="D113" s="106" t="str">
        <f>MID(DEC2BIN(C111,4),2,1)</f>
        <v>0</v>
      </c>
      <c r="E113" s="106" t="str">
        <f>MID(DEC2BIN(C111,4),3,1)</f>
        <v>0</v>
      </c>
      <c r="F113" s="107" t="str">
        <f>MID(DEC2BIN(C111,4),4,1)</f>
        <v>0</v>
      </c>
      <c r="I113" s="105" t="str">
        <f>MID(DEC2BIN(I111,4),1,1)</f>
        <v>1</v>
      </c>
      <c r="J113" s="106" t="str">
        <f>MID(DEC2BIN(I111,4),2,1)</f>
        <v>0</v>
      </c>
      <c r="K113" s="106" t="str">
        <f>MID(DEC2BIN(I111,4),3,1)</f>
        <v>0</v>
      </c>
      <c r="L113" s="107" t="str">
        <f>MID(DEC2BIN(I111,4),4,1)</f>
        <v>0</v>
      </c>
      <c r="O113" s="105" t="str">
        <f>MID(DEC2BIN(O111,4),1,1)</f>
        <v>1</v>
      </c>
      <c r="P113" s="106" t="str">
        <f>MID(DEC2BIN(O111,4),2,1)</f>
        <v>1</v>
      </c>
      <c r="Q113" s="106" t="str">
        <f>MID(DEC2BIN(O111,4),3,1)</f>
        <v>0</v>
      </c>
      <c r="R113" s="107" t="str">
        <f>MID(DEC2BIN(O111,4),4,1)</f>
        <v>1</v>
      </c>
      <c r="U113" s="105" t="str">
        <f>MID(DEC2BIN(U111,4),1,1)</f>
        <v>0</v>
      </c>
      <c r="V113" s="106" t="str">
        <f>MID(DEC2BIN(U111,4),2,1)</f>
        <v>1</v>
      </c>
      <c r="W113" s="106" t="str">
        <f>MID(DEC2BIN(U111,4),3,1)</f>
        <v>1</v>
      </c>
      <c r="X113" s="107" t="str">
        <f>MID(DEC2BIN(U111,4),4,1)</f>
        <v>1</v>
      </c>
      <c r="AA113" s="105" t="str">
        <f>MID(DEC2BIN(AA111,4),1,1)</f>
        <v>1</v>
      </c>
      <c r="AB113" s="106" t="str">
        <f>MID(DEC2BIN(AA111,4),2,1)</f>
        <v>0</v>
      </c>
      <c r="AC113" s="106" t="str">
        <f>MID(DEC2BIN(AA111,4),3,1)</f>
        <v>1</v>
      </c>
      <c r="AD113" s="107" t="str">
        <f>MID(DEC2BIN(AA111,4),4,1)</f>
        <v>0</v>
      </c>
      <c r="AG113" s="105" t="str">
        <f>MID(DEC2BIN(AG111,4),1,1)</f>
        <v>1</v>
      </c>
      <c r="AH113" s="106" t="str">
        <f>MID(DEC2BIN(AG111,4),2,1)</f>
        <v>0</v>
      </c>
      <c r="AI113" s="106" t="str">
        <f>MID(DEC2BIN(AG111,4),3,1)</f>
        <v>0</v>
      </c>
      <c r="AJ113" s="107" t="str">
        <f>MID(DEC2BIN(AG111,4),4,1)</f>
        <v>0</v>
      </c>
      <c r="AM113" s="105" t="str">
        <f>MID(DEC2BIN(AM111,4),1,1)</f>
        <v>0</v>
      </c>
      <c r="AN113" s="106" t="str">
        <f>MID(DEC2BIN(AM111,4),2,1)</f>
        <v>0</v>
      </c>
      <c r="AO113" s="106" t="str">
        <f>MID(DEC2BIN(AM111,4),3,1)</f>
        <v>1</v>
      </c>
      <c r="AP113" s="107" t="str">
        <f>MID(DEC2BIN(AM111,4),4,1)</f>
        <v>1</v>
      </c>
      <c r="AS113" s="105" t="str">
        <f>MID(DEC2BIN(AS111,4),1,1)</f>
        <v>1</v>
      </c>
      <c r="AT113" s="106" t="str">
        <f>MID(DEC2BIN(AS111,4),2,1)</f>
        <v>0</v>
      </c>
      <c r="AU113" s="106" t="str">
        <f>MID(DEC2BIN(AS111,4),3,1)</f>
        <v>1</v>
      </c>
      <c r="AV113" s="107" t="str">
        <f>MID(DEC2BIN(AS111,4),4,1)</f>
        <v>1</v>
      </c>
    </row>
    <row r="114" spans="1:48" ht="24.95" customHeight="1" x14ac:dyDescent="0.25">
      <c r="C114" s="21">
        <f>VALUE(C113)</f>
        <v>0</v>
      </c>
      <c r="D114" s="21">
        <f t="shared" ref="D114" si="135">VALUE(D113)</f>
        <v>0</v>
      </c>
      <c r="E114" s="21">
        <f t="shared" ref="E114" si="136">VALUE(E113)</f>
        <v>0</v>
      </c>
      <c r="F114" s="21">
        <f t="shared" ref="F114" si="137">VALUE(F113)</f>
        <v>0</v>
      </c>
      <c r="I114" s="21">
        <f t="shared" ref="I114" si="138">VALUE(I113)</f>
        <v>1</v>
      </c>
      <c r="J114" s="21">
        <f t="shared" ref="J114" si="139">VALUE(J113)</f>
        <v>0</v>
      </c>
      <c r="K114" s="21">
        <f t="shared" ref="K114" si="140">VALUE(K113)</f>
        <v>0</v>
      </c>
      <c r="L114" s="21">
        <f t="shared" ref="L114" si="141">VALUE(L113)</f>
        <v>0</v>
      </c>
      <c r="O114" s="21">
        <f>VALUE(O113)</f>
        <v>1</v>
      </c>
      <c r="P114" s="21">
        <f t="shared" ref="P114" si="142">VALUE(P113)</f>
        <v>1</v>
      </c>
      <c r="Q114" s="21">
        <f t="shared" ref="Q114" si="143">VALUE(Q113)</f>
        <v>0</v>
      </c>
      <c r="R114" s="21">
        <f t="shared" ref="R114" si="144">VALUE(R113)</f>
        <v>1</v>
      </c>
      <c r="U114" s="21">
        <f>VALUE(U113)</f>
        <v>0</v>
      </c>
      <c r="V114" s="21">
        <f t="shared" ref="V114" si="145">VALUE(V113)</f>
        <v>1</v>
      </c>
      <c r="W114" s="21">
        <f t="shared" ref="W114" si="146">VALUE(W113)</f>
        <v>1</v>
      </c>
      <c r="X114" s="21">
        <f t="shared" ref="X114" si="147">VALUE(X113)</f>
        <v>1</v>
      </c>
      <c r="AA114" s="21">
        <f>VALUE(AA113)</f>
        <v>1</v>
      </c>
      <c r="AB114" s="21">
        <f t="shared" ref="AB114" si="148">VALUE(AB113)</f>
        <v>0</v>
      </c>
      <c r="AC114" s="21">
        <f t="shared" ref="AC114" si="149">VALUE(AC113)</f>
        <v>1</v>
      </c>
      <c r="AD114" s="21">
        <f t="shared" ref="AD114" si="150">VALUE(AD113)</f>
        <v>0</v>
      </c>
      <c r="AG114" s="21">
        <f>VALUE(AG113)</f>
        <v>1</v>
      </c>
      <c r="AH114" s="21">
        <f t="shared" ref="AH114" si="151">VALUE(AH113)</f>
        <v>0</v>
      </c>
      <c r="AI114" s="21">
        <f t="shared" ref="AI114" si="152">VALUE(AI113)</f>
        <v>0</v>
      </c>
      <c r="AJ114" s="21">
        <f t="shared" ref="AJ114" si="153">VALUE(AJ113)</f>
        <v>0</v>
      </c>
      <c r="AM114" s="21">
        <f>VALUE(AM113)</f>
        <v>0</v>
      </c>
      <c r="AN114" s="21">
        <f t="shared" ref="AN114" si="154">VALUE(AN113)</f>
        <v>0</v>
      </c>
      <c r="AO114" s="21">
        <f t="shared" ref="AO114" si="155">VALUE(AO113)</f>
        <v>1</v>
      </c>
      <c r="AP114" s="21">
        <f t="shared" ref="AP114" si="156">VALUE(AP113)</f>
        <v>1</v>
      </c>
      <c r="AS114" s="21">
        <f>VALUE(AS113)</f>
        <v>1</v>
      </c>
      <c r="AT114" s="21">
        <f t="shared" ref="AT114" si="157">VALUE(AT113)</f>
        <v>0</v>
      </c>
      <c r="AU114" s="21">
        <f t="shared" ref="AU114" si="158">VALUE(AU113)</f>
        <v>1</v>
      </c>
      <c r="AV114" s="21">
        <f t="shared" ref="AV114" si="159">VALUE(AV113)</f>
        <v>1</v>
      </c>
    </row>
    <row r="115" spans="1:48" ht="24.95" customHeight="1" x14ac:dyDescent="0.25">
      <c r="A115" s="111" t="s">
        <v>588</v>
      </c>
      <c r="B115" s="111"/>
      <c r="C115" s="111">
        <v>1</v>
      </c>
      <c r="D115" s="76">
        <v>2</v>
      </c>
      <c r="E115" s="111">
        <v>3</v>
      </c>
      <c r="F115" s="76">
        <v>4</v>
      </c>
      <c r="G115" s="111">
        <v>5</v>
      </c>
      <c r="H115" s="76">
        <v>6</v>
      </c>
      <c r="I115" s="111">
        <v>7</v>
      </c>
      <c r="J115" s="76">
        <v>8</v>
      </c>
      <c r="K115" s="111">
        <v>9</v>
      </c>
      <c r="L115" s="76">
        <v>10</v>
      </c>
      <c r="M115" s="111">
        <v>11</v>
      </c>
      <c r="N115" s="76">
        <v>12</v>
      </c>
      <c r="O115" s="111">
        <v>13</v>
      </c>
      <c r="P115" s="76">
        <v>14</v>
      </c>
      <c r="Q115" s="111">
        <v>15</v>
      </c>
      <c r="R115" s="76">
        <v>16</v>
      </c>
      <c r="S115" s="111">
        <v>17</v>
      </c>
      <c r="T115" s="76">
        <v>18</v>
      </c>
      <c r="U115" s="111">
        <v>19</v>
      </c>
      <c r="V115" s="76">
        <v>20</v>
      </c>
      <c r="W115" s="111">
        <v>21</v>
      </c>
      <c r="X115" s="76">
        <v>22</v>
      </c>
      <c r="Y115" s="111">
        <v>23</v>
      </c>
      <c r="Z115" s="76">
        <v>24</v>
      </c>
      <c r="AA115" s="111">
        <v>25</v>
      </c>
      <c r="AB115" s="76">
        <v>26</v>
      </c>
      <c r="AC115" s="111">
        <v>27</v>
      </c>
      <c r="AD115" s="76">
        <v>28</v>
      </c>
      <c r="AE115" s="111">
        <v>29</v>
      </c>
      <c r="AF115" s="76">
        <v>30</v>
      </c>
      <c r="AG115" s="111">
        <v>31</v>
      </c>
      <c r="AH115" s="76">
        <v>32</v>
      </c>
    </row>
    <row r="116" spans="1:48" ht="24.95" customHeight="1" x14ac:dyDescent="0.25">
      <c r="C116" s="108">
        <f>C114</f>
        <v>0</v>
      </c>
      <c r="D116" s="108">
        <f t="shared" ref="D116:F116" si="160">D114</f>
        <v>0</v>
      </c>
      <c r="E116" s="108">
        <f t="shared" si="160"/>
        <v>0</v>
      </c>
      <c r="F116" s="108">
        <f t="shared" si="160"/>
        <v>0</v>
      </c>
      <c r="G116" s="23">
        <f>I114</f>
        <v>1</v>
      </c>
      <c r="H116" s="23">
        <f t="shared" ref="H116" si="161">J114</f>
        <v>0</v>
      </c>
      <c r="I116" s="23">
        <f t="shared" ref="I116" si="162">K114</f>
        <v>0</v>
      </c>
      <c r="J116" s="23">
        <f t="shared" ref="J116" si="163">L114</f>
        <v>0</v>
      </c>
      <c r="K116" s="23">
        <f>O114</f>
        <v>1</v>
      </c>
      <c r="L116" s="23">
        <f t="shared" ref="L116" si="164">P114</f>
        <v>1</v>
      </c>
      <c r="M116" s="23">
        <f t="shared" ref="M116" si="165">Q114</f>
        <v>0</v>
      </c>
      <c r="N116" s="23">
        <f t="shared" ref="N116" si="166">R114</f>
        <v>1</v>
      </c>
      <c r="O116" s="23">
        <f>U114</f>
        <v>0</v>
      </c>
      <c r="P116" s="23">
        <f t="shared" ref="P116" si="167">V114</f>
        <v>1</v>
      </c>
      <c r="Q116" s="23">
        <f t="shared" ref="Q116" si="168">W114</f>
        <v>1</v>
      </c>
      <c r="R116" s="23">
        <f t="shared" ref="R116" si="169">X114</f>
        <v>1</v>
      </c>
      <c r="S116" s="23">
        <f>AA114</f>
        <v>1</v>
      </c>
      <c r="T116" s="23">
        <f t="shared" ref="T116" si="170">AB114</f>
        <v>0</v>
      </c>
      <c r="U116" s="23">
        <f t="shared" ref="U116" si="171">AC114</f>
        <v>1</v>
      </c>
      <c r="V116" s="23">
        <f t="shared" ref="V116" si="172">AD114</f>
        <v>0</v>
      </c>
      <c r="W116" s="23">
        <f>AG114</f>
        <v>1</v>
      </c>
      <c r="X116" s="23">
        <f t="shared" ref="X116" si="173">AH114</f>
        <v>0</v>
      </c>
      <c r="Y116" s="23">
        <f t="shared" ref="Y116" si="174">AI114</f>
        <v>0</v>
      </c>
      <c r="Z116" s="23">
        <f t="shared" ref="Z116" si="175">AJ114</f>
        <v>0</v>
      </c>
      <c r="AA116" s="23">
        <f>AM114</f>
        <v>0</v>
      </c>
      <c r="AB116" s="23">
        <f t="shared" ref="AB116" si="176">AN114</f>
        <v>0</v>
      </c>
      <c r="AC116" s="23">
        <f t="shared" ref="AC116" si="177">AO114</f>
        <v>1</v>
      </c>
      <c r="AD116" s="23">
        <f t="shared" ref="AD116" si="178">AP114</f>
        <v>1</v>
      </c>
      <c r="AE116" s="23">
        <f>AS114</f>
        <v>1</v>
      </c>
      <c r="AF116" s="23">
        <f t="shared" ref="AF116" si="179">AT114</f>
        <v>0</v>
      </c>
      <c r="AG116" s="23">
        <f t="shared" ref="AG116" si="180">AU114</f>
        <v>1</v>
      </c>
      <c r="AH116" s="23">
        <f t="shared" ref="AH116" si="181">AV114</f>
        <v>1</v>
      </c>
    </row>
    <row r="118" spans="1:48" ht="24.95" customHeight="1" x14ac:dyDescent="0.25">
      <c r="A118" s="110" t="s">
        <v>548</v>
      </c>
      <c r="B118" s="110"/>
      <c r="C118" s="109">
        <v>16</v>
      </c>
      <c r="D118" s="110">
        <v>7</v>
      </c>
      <c r="E118" s="110">
        <v>20</v>
      </c>
      <c r="F118" s="110">
        <v>21</v>
      </c>
      <c r="G118" s="110">
        <v>29</v>
      </c>
      <c r="H118" s="110">
        <v>12</v>
      </c>
      <c r="I118" s="110">
        <v>28</v>
      </c>
      <c r="J118" s="110">
        <v>17</v>
      </c>
      <c r="K118" s="110">
        <v>1</v>
      </c>
      <c r="L118" s="110">
        <v>15</v>
      </c>
      <c r="M118" s="110">
        <v>23</v>
      </c>
      <c r="N118" s="110">
        <v>26</v>
      </c>
      <c r="O118" s="110">
        <v>5</v>
      </c>
      <c r="P118" s="110">
        <v>18</v>
      </c>
      <c r="Q118" s="110">
        <v>31</v>
      </c>
      <c r="R118" s="110">
        <v>10</v>
      </c>
      <c r="S118" s="110">
        <v>2</v>
      </c>
      <c r="T118" s="110">
        <v>8</v>
      </c>
      <c r="U118" s="110">
        <v>24</v>
      </c>
      <c r="V118" s="110">
        <v>14</v>
      </c>
      <c r="W118" s="110">
        <v>32</v>
      </c>
      <c r="X118" s="110">
        <v>27</v>
      </c>
      <c r="Y118" s="110">
        <v>3</v>
      </c>
      <c r="Z118" s="110">
        <v>9</v>
      </c>
      <c r="AA118" s="110">
        <v>19</v>
      </c>
      <c r="AB118" s="110">
        <v>13</v>
      </c>
      <c r="AC118" s="110">
        <v>30</v>
      </c>
      <c r="AD118" s="110">
        <v>6</v>
      </c>
      <c r="AE118" s="110">
        <v>22</v>
      </c>
      <c r="AF118" s="110">
        <v>11</v>
      </c>
      <c r="AG118" s="110">
        <v>4</v>
      </c>
      <c r="AH118" s="110">
        <v>25</v>
      </c>
    </row>
    <row r="119" spans="1:48" ht="24.95" customHeight="1" x14ac:dyDescent="0.25">
      <c r="C119" s="103">
        <f>K116</f>
        <v>1</v>
      </c>
      <c r="D119" s="103">
        <f>S116</f>
        <v>1</v>
      </c>
      <c r="E119" s="103">
        <f>Y116</f>
        <v>0</v>
      </c>
      <c r="F119" s="112">
        <f>AG116</f>
        <v>1</v>
      </c>
      <c r="G119" s="103">
        <f>O116</f>
        <v>0</v>
      </c>
      <c r="H119" s="103">
        <f>AD116</f>
        <v>1</v>
      </c>
      <c r="I119" s="103">
        <f>D116</f>
        <v>0</v>
      </c>
      <c r="J119" s="103">
        <f>T116</f>
        <v>0</v>
      </c>
      <c r="K119" s="103">
        <f>Z116</f>
        <v>0</v>
      </c>
      <c r="L119" s="103">
        <f>R116</f>
        <v>1</v>
      </c>
      <c r="M119" s="103">
        <f>AF116</f>
        <v>0</v>
      </c>
      <c r="N119" s="103">
        <f>H116</f>
        <v>0</v>
      </c>
      <c r="O119" s="103">
        <f>AB116</f>
        <v>0</v>
      </c>
      <c r="P119" s="103">
        <f>V116</f>
        <v>0</v>
      </c>
      <c r="Q119" s="103">
        <f>L116</f>
        <v>1</v>
      </c>
      <c r="R119" s="103">
        <f>C116</f>
        <v>0</v>
      </c>
      <c r="S119" s="103">
        <f>J116</f>
        <v>0</v>
      </c>
      <c r="T119" s="103">
        <f>P116</f>
        <v>1</v>
      </c>
      <c r="U119" s="103">
        <f>AA116</f>
        <v>0</v>
      </c>
      <c r="V119" s="103">
        <f>E116</f>
        <v>0</v>
      </c>
      <c r="W119" s="103">
        <f>F116</f>
        <v>0</v>
      </c>
      <c r="X119" s="103">
        <f>AE116</f>
        <v>1</v>
      </c>
      <c r="Y119" s="103">
        <f>M116</f>
        <v>0</v>
      </c>
      <c r="Z119" s="103">
        <f>U116</f>
        <v>1</v>
      </c>
      <c r="AA119" s="103">
        <f>AH116</f>
        <v>1</v>
      </c>
      <c r="AB119" s="103">
        <f>N116</f>
        <v>1</v>
      </c>
      <c r="AC119" s="103">
        <f>X116</f>
        <v>0</v>
      </c>
      <c r="AD119" s="103">
        <f>I116</f>
        <v>0</v>
      </c>
      <c r="AE119" s="103">
        <f>G116</f>
        <v>1</v>
      </c>
      <c r="AF119" s="103">
        <f>AC116</f>
        <v>1</v>
      </c>
      <c r="AG119" s="103">
        <f>Q116</f>
        <v>1</v>
      </c>
      <c r="AH119" s="103">
        <f>W116</f>
        <v>1</v>
      </c>
    </row>
    <row r="120" spans="1:48" ht="24.95" customHeight="1" x14ac:dyDescent="0.25">
      <c r="C120" s="130">
        <v>1</v>
      </c>
      <c r="D120" s="131">
        <v>2</v>
      </c>
      <c r="E120" s="130">
        <v>3</v>
      </c>
      <c r="F120" s="131">
        <v>4</v>
      </c>
      <c r="G120" s="130">
        <v>5</v>
      </c>
      <c r="H120" s="131">
        <v>6</v>
      </c>
      <c r="I120" s="130">
        <v>7</v>
      </c>
      <c r="J120" s="131">
        <v>8</v>
      </c>
      <c r="K120" s="130">
        <v>9</v>
      </c>
      <c r="L120" s="131">
        <v>10</v>
      </c>
      <c r="M120" s="130">
        <v>11</v>
      </c>
      <c r="N120" s="131">
        <v>12</v>
      </c>
      <c r="O120" s="130">
        <v>13</v>
      </c>
      <c r="P120" s="131">
        <v>14</v>
      </c>
      <c r="Q120" s="130">
        <v>15</v>
      </c>
      <c r="R120" s="131">
        <v>16</v>
      </c>
      <c r="S120" s="130">
        <v>17</v>
      </c>
      <c r="T120" s="131">
        <v>18</v>
      </c>
      <c r="U120" s="130">
        <v>19</v>
      </c>
      <c r="V120" s="131">
        <v>20</v>
      </c>
      <c r="W120" s="130">
        <v>21</v>
      </c>
      <c r="X120" s="131">
        <v>22</v>
      </c>
      <c r="Y120" s="130">
        <v>23</v>
      </c>
      <c r="Z120" s="131">
        <v>24</v>
      </c>
      <c r="AA120" s="130">
        <v>25</v>
      </c>
      <c r="AB120" s="131">
        <v>26</v>
      </c>
      <c r="AC120" s="130">
        <v>27</v>
      </c>
      <c r="AD120" s="131">
        <v>28</v>
      </c>
      <c r="AE120" s="130">
        <v>29</v>
      </c>
      <c r="AF120" s="131">
        <v>30</v>
      </c>
      <c r="AG120" s="130">
        <v>31</v>
      </c>
      <c r="AH120" s="131">
        <v>32</v>
      </c>
    </row>
    <row r="124" spans="1:48" ht="24.95" customHeight="1" x14ac:dyDescent="0.25">
      <c r="A124" s="114" t="s">
        <v>590</v>
      </c>
      <c r="B124" s="114"/>
      <c r="C124" s="114"/>
      <c r="D124" s="68">
        <v>1</v>
      </c>
      <c r="E124" s="68">
        <v>2</v>
      </c>
      <c r="F124" s="68">
        <v>3</v>
      </c>
      <c r="G124" s="68">
        <v>4</v>
      </c>
      <c r="H124" s="68">
        <v>5</v>
      </c>
      <c r="I124" s="68">
        <v>6</v>
      </c>
      <c r="J124" s="68">
        <v>7</v>
      </c>
      <c r="K124" s="68">
        <v>8</v>
      </c>
      <c r="L124" s="68">
        <v>9</v>
      </c>
      <c r="M124" s="68">
        <v>10</v>
      </c>
      <c r="N124" s="68">
        <v>11</v>
      </c>
      <c r="O124" s="68">
        <v>12</v>
      </c>
      <c r="P124" s="68">
        <v>13</v>
      </c>
      <c r="Q124" s="68">
        <v>14</v>
      </c>
      <c r="R124" s="68">
        <v>15</v>
      </c>
      <c r="S124" s="68">
        <v>16</v>
      </c>
      <c r="T124" s="68">
        <v>17</v>
      </c>
      <c r="U124" s="68">
        <v>18</v>
      </c>
      <c r="V124" s="68">
        <v>19</v>
      </c>
      <c r="W124" s="68">
        <v>20</v>
      </c>
      <c r="X124" s="68">
        <v>21</v>
      </c>
      <c r="Y124" s="68">
        <v>22</v>
      </c>
      <c r="Z124" s="68">
        <v>23</v>
      </c>
      <c r="AA124" s="68">
        <v>24</v>
      </c>
      <c r="AB124" s="68">
        <v>25</v>
      </c>
      <c r="AC124" s="68">
        <v>26</v>
      </c>
      <c r="AD124" s="68">
        <v>27</v>
      </c>
      <c r="AE124" s="68">
        <v>28</v>
      </c>
      <c r="AF124" s="68">
        <v>29</v>
      </c>
      <c r="AG124" s="68">
        <v>30</v>
      </c>
      <c r="AH124" s="68">
        <v>31</v>
      </c>
      <c r="AI124" s="68">
        <v>32</v>
      </c>
    </row>
    <row r="125" spans="1:48" ht="24.95" customHeight="1" x14ac:dyDescent="0.25">
      <c r="A125" s="64" t="s">
        <v>549</v>
      </c>
      <c r="D125" s="68">
        <f>C83</f>
        <v>0</v>
      </c>
      <c r="E125" s="68">
        <f t="shared" ref="E125" si="182">D83</f>
        <v>1</v>
      </c>
      <c r="F125" s="68">
        <f t="shared" ref="F125" si="183">E83</f>
        <v>0</v>
      </c>
      <c r="G125" s="68">
        <f t="shared" ref="G125" si="184">F83</f>
        <v>0</v>
      </c>
      <c r="H125" s="68">
        <f t="shared" ref="H125" si="185">G83</f>
        <v>0</v>
      </c>
      <c r="I125" s="68">
        <f t="shared" ref="I125" si="186">H83</f>
        <v>0</v>
      </c>
      <c r="J125" s="68">
        <f t="shared" ref="J125" si="187">I83</f>
        <v>0</v>
      </c>
      <c r="K125" s="68">
        <f t="shared" ref="K125" si="188">J83</f>
        <v>1</v>
      </c>
      <c r="L125" s="68">
        <f t="shared" ref="L125" si="189">K83</f>
        <v>0</v>
      </c>
      <c r="M125" s="68">
        <f t="shared" ref="M125" si="190">L83</f>
        <v>0</v>
      </c>
      <c r="N125" s="68">
        <f t="shared" ref="N125" si="191">M83</f>
        <v>0</v>
      </c>
      <c r="O125" s="68">
        <f t="shared" ref="O125" si="192">N83</f>
        <v>0</v>
      </c>
      <c r="P125" s="68">
        <f t="shared" ref="P125" si="193">O83</f>
        <v>0</v>
      </c>
      <c r="Q125" s="68">
        <f t="shared" ref="Q125" si="194">P83</f>
        <v>0</v>
      </c>
      <c r="R125" s="68">
        <f t="shared" ref="R125" si="195">Q83</f>
        <v>1</v>
      </c>
      <c r="S125" s="68">
        <f t="shared" ref="S125" si="196">R83</f>
        <v>0</v>
      </c>
      <c r="T125" s="68">
        <f t="shared" ref="T125" si="197">S83</f>
        <v>0</v>
      </c>
      <c r="U125" s="68">
        <f t="shared" ref="U125" si="198">T83</f>
        <v>0</v>
      </c>
      <c r="V125" s="68">
        <f t="shared" ref="V125" si="199">U83</f>
        <v>0</v>
      </c>
      <c r="W125" s="68">
        <f t="shared" ref="W125" si="200">V83</f>
        <v>0</v>
      </c>
      <c r="X125" s="68">
        <f t="shared" ref="X125" si="201">W83</f>
        <v>1</v>
      </c>
      <c r="Y125" s="68">
        <f t="shared" ref="Y125" si="202">X83</f>
        <v>0</v>
      </c>
      <c r="Z125" s="68">
        <f t="shared" ref="Z125" si="203">Y83</f>
        <v>0</v>
      </c>
      <c r="AA125" s="68">
        <f t="shared" ref="AA125" si="204">Z83</f>
        <v>1</v>
      </c>
      <c r="AB125" s="68">
        <f t="shared" ref="AB125" si="205">AA83</f>
        <v>1</v>
      </c>
      <c r="AC125" s="68">
        <f t="shared" ref="AC125" si="206">AB83</f>
        <v>0</v>
      </c>
      <c r="AD125" s="68">
        <f t="shared" ref="AD125" si="207">AC83</f>
        <v>0</v>
      </c>
      <c r="AE125" s="68">
        <f t="shared" ref="AE125" si="208">AD83</f>
        <v>1</v>
      </c>
      <c r="AF125" s="68">
        <f t="shared" ref="AF125" si="209">AE83</f>
        <v>1</v>
      </c>
      <c r="AG125" s="68">
        <f t="shared" ref="AG125" si="210">AF83</f>
        <v>1</v>
      </c>
      <c r="AH125" s="68">
        <f t="shared" ref="AH125" si="211">AG83</f>
        <v>0</v>
      </c>
      <c r="AI125" s="68">
        <f t="shared" ref="AI125" si="212">AH83</f>
        <v>1</v>
      </c>
    </row>
    <row r="127" spans="1:48" ht="24.95" customHeight="1" x14ac:dyDescent="0.25">
      <c r="A127" s="114" t="s">
        <v>591</v>
      </c>
      <c r="B127" s="114"/>
      <c r="C127" s="114"/>
      <c r="D127" s="70">
        <v>1</v>
      </c>
      <c r="E127" s="70">
        <v>2</v>
      </c>
      <c r="F127" s="70">
        <v>3</v>
      </c>
      <c r="G127" s="70">
        <v>4</v>
      </c>
      <c r="H127" s="70">
        <v>5</v>
      </c>
      <c r="I127" s="70">
        <v>6</v>
      </c>
      <c r="J127" s="70">
        <v>7</v>
      </c>
      <c r="K127" s="70">
        <v>8</v>
      </c>
      <c r="L127" s="70">
        <v>9</v>
      </c>
      <c r="M127" s="70">
        <v>10</v>
      </c>
      <c r="N127" s="70">
        <v>11</v>
      </c>
      <c r="O127" s="70">
        <v>12</v>
      </c>
      <c r="P127" s="70">
        <v>13</v>
      </c>
      <c r="Q127" s="70">
        <v>14</v>
      </c>
      <c r="R127" s="70">
        <v>15</v>
      </c>
      <c r="S127" s="70">
        <v>16</v>
      </c>
      <c r="T127" s="70">
        <v>17</v>
      </c>
      <c r="U127" s="70">
        <v>18</v>
      </c>
      <c r="V127" s="70">
        <v>19</v>
      </c>
      <c r="W127" s="70">
        <v>20</v>
      </c>
      <c r="X127" s="70">
        <v>21</v>
      </c>
      <c r="Y127" s="70">
        <v>22</v>
      </c>
      <c r="Z127" s="70">
        <v>23</v>
      </c>
      <c r="AA127" s="70">
        <v>24</v>
      </c>
      <c r="AB127" s="70">
        <v>25</v>
      </c>
      <c r="AC127" s="70">
        <v>26</v>
      </c>
      <c r="AD127" s="70">
        <v>27</v>
      </c>
      <c r="AE127" s="70">
        <v>28</v>
      </c>
      <c r="AF127" s="70">
        <v>29</v>
      </c>
      <c r="AG127" s="70">
        <v>30</v>
      </c>
      <c r="AH127" s="70">
        <v>31</v>
      </c>
      <c r="AI127" s="70">
        <v>32</v>
      </c>
    </row>
    <row r="128" spans="1:48" ht="24.95" customHeight="1" x14ac:dyDescent="0.25">
      <c r="A128" s="64" t="s">
        <v>551</v>
      </c>
      <c r="D128" s="70">
        <f>--_xlfn.XOR(C119,D76)</f>
        <v>1</v>
      </c>
      <c r="E128" s="70">
        <f t="shared" ref="E128:AI128" si="213">--_xlfn.XOR(D119,E76)</f>
        <v>1</v>
      </c>
      <c r="F128" s="70">
        <f t="shared" si="213"/>
        <v>0</v>
      </c>
      <c r="G128" s="70">
        <f t="shared" si="213"/>
        <v>1</v>
      </c>
      <c r="H128" s="70">
        <f t="shared" si="213"/>
        <v>0</v>
      </c>
      <c r="I128" s="70">
        <f t="shared" si="213"/>
        <v>1</v>
      </c>
      <c r="J128" s="70">
        <f t="shared" si="213"/>
        <v>0</v>
      </c>
      <c r="K128" s="70">
        <f t="shared" si="213"/>
        <v>0</v>
      </c>
      <c r="L128" s="70">
        <f t="shared" si="213"/>
        <v>1</v>
      </c>
      <c r="M128" s="70">
        <f t="shared" si="213"/>
        <v>1</v>
      </c>
      <c r="N128" s="70">
        <f t="shared" si="213"/>
        <v>0</v>
      </c>
      <c r="O128" s="70">
        <f t="shared" si="213"/>
        <v>1</v>
      </c>
      <c r="P128" s="70">
        <f t="shared" si="213"/>
        <v>0</v>
      </c>
      <c r="Q128" s="70">
        <f t="shared" si="213"/>
        <v>1</v>
      </c>
      <c r="R128" s="70">
        <f t="shared" si="213"/>
        <v>1</v>
      </c>
      <c r="S128" s="70">
        <f t="shared" si="213"/>
        <v>0</v>
      </c>
      <c r="T128" s="70">
        <f t="shared" si="213"/>
        <v>0</v>
      </c>
      <c r="U128" s="70">
        <f t="shared" si="213"/>
        <v>0</v>
      </c>
      <c r="V128" s="70">
        <f t="shared" si="213"/>
        <v>1</v>
      </c>
      <c r="W128" s="70">
        <f t="shared" si="213"/>
        <v>1</v>
      </c>
      <c r="X128" s="70">
        <f t="shared" si="213"/>
        <v>1</v>
      </c>
      <c r="Y128" s="70">
        <f t="shared" si="213"/>
        <v>1</v>
      </c>
      <c r="Z128" s="70">
        <f t="shared" si="213"/>
        <v>1</v>
      </c>
      <c r="AA128" s="70">
        <f t="shared" si="213"/>
        <v>1</v>
      </c>
      <c r="AB128" s="70">
        <f t="shared" si="213"/>
        <v>0</v>
      </c>
      <c r="AC128" s="70">
        <f t="shared" si="213"/>
        <v>0</v>
      </c>
      <c r="AD128" s="70">
        <f t="shared" si="213"/>
        <v>0</v>
      </c>
      <c r="AE128" s="70">
        <f t="shared" si="213"/>
        <v>0</v>
      </c>
      <c r="AF128" s="70">
        <f t="shared" si="213"/>
        <v>0</v>
      </c>
      <c r="AG128" s="70">
        <f t="shared" si="213"/>
        <v>1</v>
      </c>
      <c r="AH128" s="70">
        <f t="shared" si="213"/>
        <v>0</v>
      </c>
      <c r="AI128" s="70">
        <f t="shared" si="213"/>
        <v>0</v>
      </c>
    </row>
    <row r="129" spans="1:51" ht="24.95" customHeight="1" x14ac:dyDescent="0.25">
      <c r="A129" s="132" t="s">
        <v>592</v>
      </c>
    </row>
    <row r="130" spans="1:51" s="132" customFormat="1" ht="24.95" customHeight="1" x14ac:dyDescent="0.25">
      <c r="B130" s="133"/>
      <c r="C130" s="134"/>
    </row>
    <row r="131" spans="1:51" ht="24.95" customHeight="1" x14ac:dyDescent="0.25">
      <c r="B131" s="21"/>
      <c r="C131" s="70">
        <v>1</v>
      </c>
      <c r="D131" s="70">
        <v>2</v>
      </c>
      <c r="E131" s="70">
        <v>3</v>
      </c>
      <c r="F131" s="70">
        <v>4</v>
      </c>
      <c r="G131" s="70">
        <v>5</v>
      </c>
      <c r="H131" s="70">
        <v>6</v>
      </c>
      <c r="I131" s="70">
        <v>7</v>
      </c>
      <c r="J131" s="70">
        <v>8</v>
      </c>
      <c r="K131" s="70">
        <v>9</v>
      </c>
      <c r="L131" s="70">
        <v>10</v>
      </c>
      <c r="M131" s="70">
        <v>11</v>
      </c>
      <c r="N131" s="70">
        <v>12</v>
      </c>
      <c r="O131" s="70">
        <v>13</v>
      </c>
      <c r="P131" s="70">
        <v>14</v>
      </c>
      <c r="Q131" s="70">
        <v>15</v>
      </c>
      <c r="R131" s="70">
        <v>16</v>
      </c>
      <c r="S131" s="70">
        <v>17</v>
      </c>
      <c r="T131" s="70">
        <v>18</v>
      </c>
      <c r="U131" s="70">
        <v>19</v>
      </c>
      <c r="V131" s="70">
        <v>20</v>
      </c>
      <c r="W131" s="70">
        <v>21</v>
      </c>
      <c r="X131" s="70">
        <v>22</v>
      </c>
      <c r="Y131" s="70">
        <v>23</v>
      </c>
      <c r="Z131" s="70">
        <v>24</v>
      </c>
      <c r="AA131" s="70">
        <v>25</v>
      </c>
      <c r="AB131" s="70">
        <v>26</v>
      </c>
      <c r="AC131" s="70">
        <v>27</v>
      </c>
      <c r="AD131" s="70">
        <v>28</v>
      </c>
      <c r="AE131" s="70">
        <v>29</v>
      </c>
      <c r="AF131" s="70">
        <v>30</v>
      </c>
      <c r="AG131" s="70">
        <v>31</v>
      </c>
      <c r="AH131" s="70">
        <v>32</v>
      </c>
    </row>
    <row r="132" spans="1:51" ht="24.95" customHeight="1" x14ac:dyDescent="0.25">
      <c r="A132" s="114" t="s">
        <v>591</v>
      </c>
      <c r="B132" s="114"/>
      <c r="C132" s="70">
        <f>D128</f>
        <v>1</v>
      </c>
      <c r="D132" s="70">
        <f t="shared" ref="D132:AH132" si="214">E128</f>
        <v>1</v>
      </c>
      <c r="E132" s="70">
        <f t="shared" si="214"/>
        <v>0</v>
      </c>
      <c r="F132" s="70">
        <f t="shared" si="214"/>
        <v>1</v>
      </c>
      <c r="G132" s="70">
        <f t="shared" si="214"/>
        <v>0</v>
      </c>
      <c r="H132" s="70">
        <f t="shared" si="214"/>
        <v>1</v>
      </c>
      <c r="I132" s="70">
        <f t="shared" si="214"/>
        <v>0</v>
      </c>
      <c r="J132" s="70">
        <f t="shared" si="214"/>
        <v>0</v>
      </c>
      <c r="K132" s="70">
        <f t="shared" si="214"/>
        <v>1</v>
      </c>
      <c r="L132" s="70">
        <f t="shared" si="214"/>
        <v>1</v>
      </c>
      <c r="M132" s="70">
        <f t="shared" si="214"/>
        <v>0</v>
      </c>
      <c r="N132" s="70">
        <f t="shared" si="214"/>
        <v>1</v>
      </c>
      <c r="O132" s="70">
        <f t="shared" si="214"/>
        <v>0</v>
      </c>
      <c r="P132" s="70">
        <f t="shared" si="214"/>
        <v>1</v>
      </c>
      <c r="Q132" s="70">
        <f t="shared" si="214"/>
        <v>1</v>
      </c>
      <c r="R132" s="70">
        <f t="shared" si="214"/>
        <v>0</v>
      </c>
      <c r="S132" s="70">
        <f t="shared" si="214"/>
        <v>0</v>
      </c>
      <c r="T132" s="70">
        <f t="shared" si="214"/>
        <v>0</v>
      </c>
      <c r="U132" s="70">
        <f t="shared" si="214"/>
        <v>1</v>
      </c>
      <c r="V132" s="70">
        <f t="shared" si="214"/>
        <v>1</v>
      </c>
      <c r="W132" s="70">
        <f t="shared" si="214"/>
        <v>1</v>
      </c>
      <c r="X132" s="70">
        <f t="shared" si="214"/>
        <v>1</v>
      </c>
      <c r="Y132" s="70">
        <f t="shared" si="214"/>
        <v>1</v>
      </c>
      <c r="Z132" s="70">
        <f t="shared" si="214"/>
        <v>1</v>
      </c>
      <c r="AA132" s="70">
        <f t="shared" si="214"/>
        <v>0</v>
      </c>
      <c r="AB132" s="70">
        <f t="shared" si="214"/>
        <v>0</v>
      </c>
      <c r="AC132" s="70">
        <f t="shared" si="214"/>
        <v>0</v>
      </c>
      <c r="AD132" s="70">
        <f t="shared" si="214"/>
        <v>0</v>
      </c>
      <c r="AE132" s="70">
        <f t="shared" si="214"/>
        <v>0</v>
      </c>
      <c r="AF132" s="70">
        <f t="shared" si="214"/>
        <v>1</v>
      </c>
      <c r="AG132" s="70">
        <f t="shared" si="214"/>
        <v>0</v>
      </c>
      <c r="AH132" s="70">
        <f t="shared" si="214"/>
        <v>0</v>
      </c>
      <c r="AI132" s="135"/>
    </row>
    <row r="134" spans="1:51" ht="24.95" customHeight="1" x14ac:dyDescent="0.25">
      <c r="A134" s="132"/>
      <c r="B134" s="133"/>
      <c r="C134" s="134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2"/>
      <c r="AE134" s="132"/>
      <c r="AF134" s="132"/>
      <c r="AG134" s="132"/>
      <c r="AH134" s="132"/>
      <c r="AI134" s="132"/>
      <c r="AJ134" s="132"/>
      <c r="AK134" s="132"/>
      <c r="AL134" s="132"/>
      <c r="AM134" s="132"/>
      <c r="AN134" s="132"/>
      <c r="AO134" s="132"/>
      <c r="AP134" s="132"/>
      <c r="AQ134" s="132"/>
      <c r="AR134" s="132"/>
      <c r="AS134" s="132"/>
      <c r="AT134" s="132"/>
      <c r="AU134" s="132"/>
      <c r="AV134" s="132"/>
      <c r="AW134" s="132"/>
      <c r="AX134" s="132"/>
      <c r="AY134" s="132"/>
    </row>
    <row r="136" spans="1:51" ht="24.95" customHeight="1" x14ac:dyDescent="0.25">
      <c r="A136" s="118" t="s">
        <v>532</v>
      </c>
      <c r="B136" s="118"/>
      <c r="C136" s="75">
        <v>32</v>
      </c>
      <c r="D136" s="74">
        <v>1</v>
      </c>
      <c r="E136" s="74">
        <v>2</v>
      </c>
      <c r="F136" s="74">
        <v>3</v>
      </c>
      <c r="G136" s="74">
        <v>4</v>
      </c>
      <c r="H136" s="73">
        <v>5</v>
      </c>
      <c r="I136" s="122"/>
      <c r="J136" s="118">
        <f>AH132</f>
        <v>0</v>
      </c>
      <c r="K136" s="118">
        <f>C132</f>
        <v>1</v>
      </c>
      <c r="L136" s="118">
        <f>D132</f>
        <v>1</v>
      </c>
      <c r="M136" s="118">
        <f>E132</f>
        <v>0</v>
      </c>
      <c r="N136" s="69">
        <f>F132</f>
        <v>1</v>
      </c>
      <c r="O136" s="119">
        <f>G132</f>
        <v>0</v>
      </c>
      <c r="P136" s="122"/>
    </row>
    <row r="137" spans="1:51" ht="24.95" customHeight="1" x14ac:dyDescent="0.25">
      <c r="C137" s="75">
        <v>4</v>
      </c>
      <c r="D137" s="74">
        <v>5</v>
      </c>
      <c r="E137" s="74">
        <v>6</v>
      </c>
      <c r="F137" s="74">
        <v>7</v>
      </c>
      <c r="G137" s="74">
        <v>8</v>
      </c>
      <c r="H137" s="73">
        <v>9</v>
      </c>
      <c r="I137" s="122"/>
      <c r="J137" s="118">
        <f t="shared" ref="J137" si="215">F132</f>
        <v>1</v>
      </c>
      <c r="K137" s="69">
        <f t="shared" ref="K137" si="216">G132</f>
        <v>0</v>
      </c>
      <c r="L137" s="69">
        <f t="shared" ref="L137" si="217">H132</f>
        <v>1</v>
      </c>
      <c r="M137" s="69">
        <f t="shared" ref="M137" si="218">I132</f>
        <v>0</v>
      </c>
      <c r="N137" s="69">
        <f t="shared" ref="N137" si="219">J132</f>
        <v>0</v>
      </c>
      <c r="O137" s="119">
        <f t="shared" ref="O137" si="220">K132</f>
        <v>1</v>
      </c>
      <c r="P137" s="122"/>
    </row>
    <row r="138" spans="1:51" ht="24.95" customHeight="1" x14ac:dyDescent="0.25">
      <c r="C138" s="75">
        <v>8</v>
      </c>
      <c r="D138" s="74">
        <v>9</v>
      </c>
      <c r="E138" s="74">
        <v>10</v>
      </c>
      <c r="F138" s="74">
        <v>11</v>
      </c>
      <c r="G138" s="74">
        <v>12</v>
      </c>
      <c r="H138" s="73">
        <v>13</v>
      </c>
      <c r="I138" s="123"/>
      <c r="J138" s="120">
        <f t="shared" ref="J138:O138" si="221">J132</f>
        <v>0</v>
      </c>
      <c r="K138" s="69">
        <f t="shared" si="221"/>
        <v>1</v>
      </c>
      <c r="L138" s="69">
        <f t="shared" si="221"/>
        <v>1</v>
      </c>
      <c r="M138" s="69">
        <f t="shared" si="221"/>
        <v>0</v>
      </c>
      <c r="N138" s="69">
        <f t="shared" si="221"/>
        <v>1</v>
      </c>
      <c r="O138" s="119">
        <f t="shared" si="221"/>
        <v>0</v>
      </c>
      <c r="P138" s="123"/>
    </row>
    <row r="139" spans="1:51" ht="24.95" customHeight="1" x14ac:dyDescent="0.25">
      <c r="C139" s="75">
        <v>12</v>
      </c>
      <c r="D139" s="74">
        <v>13</v>
      </c>
      <c r="E139" s="74">
        <v>14</v>
      </c>
      <c r="F139" s="74">
        <v>15</v>
      </c>
      <c r="G139" s="74">
        <v>16</v>
      </c>
      <c r="H139" s="73">
        <v>17</v>
      </c>
      <c r="I139" s="122"/>
      <c r="J139" s="118">
        <f t="shared" ref="J139" si="222">N132</f>
        <v>1</v>
      </c>
      <c r="K139" s="69">
        <f t="shared" ref="K139" si="223">O132</f>
        <v>0</v>
      </c>
      <c r="L139" s="69">
        <f t="shared" ref="L139" si="224">P132</f>
        <v>1</v>
      </c>
      <c r="M139" s="69">
        <f t="shared" ref="M139" si="225">Q132</f>
        <v>1</v>
      </c>
      <c r="N139" s="69">
        <f t="shared" ref="N139" si="226">R132</f>
        <v>0</v>
      </c>
      <c r="O139" s="119">
        <f t="shared" ref="O139" si="227">S132</f>
        <v>0</v>
      </c>
      <c r="P139" s="122"/>
    </row>
    <row r="140" spans="1:51" ht="24.95" customHeight="1" x14ac:dyDescent="0.25">
      <c r="C140" s="75">
        <v>16</v>
      </c>
      <c r="D140" s="74">
        <v>17</v>
      </c>
      <c r="E140" s="74">
        <v>18</v>
      </c>
      <c r="F140" s="74">
        <v>19</v>
      </c>
      <c r="G140" s="74">
        <v>20</v>
      </c>
      <c r="H140" s="73">
        <v>21</v>
      </c>
      <c r="I140" s="122"/>
      <c r="J140" s="118">
        <f t="shared" ref="J140" si="228">R132</f>
        <v>0</v>
      </c>
      <c r="K140" s="69">
        <f t="shared" ref="K140" si="229">S132</f>
        <v>0</v>
      </c>
      <c r="L140" s="69">
        <f t="shared" ref="L140" si="230">T132</f>
        <v>0</v>
      </c>
      <c r="M140" s="69">
        <f t="shared" ref="M140" si="231">U132</f>
        <v>1</v>
      </c>
      <c r="N140" s="69">
        <f t="shared" ref="N140" si="232">V132</f>
        <v>1</v>
      </c>
      <c r="O140" s="119">
        <f t="shared" ref="O140" si="233">W132</f>
        <v>1</v>
      </c>
      <c r="P140" s="122"/>
    </row>
    <row r="141" spans="1:51" ht="24.95" customHeight="1" x14ac:dyDescent="0.25">
      <c r="C141" s="75">
        <v>20</v>
      </c>
      <c r="D141" s="74">
        <v>21</v>
      </c>
      <c r="E141" s="74">
        <v>22</v>
      </c>
      <c r="F141" s="74">
        <v>23</v>
      </c>
      <c r="G141" s="74">
        <v>24</v>
      </c>
      <c r="H141" s="73">
        <v>25</v>
      </c>
      <c r="I141" s="122"/>
      <c r="J141" s="118">
        <f t="shared" ref="J141" si="234">V132</f>
        <v>1</v>
      </c>
      <c r="K141" s="69">
        <f t="shared" ref="K141" si="235">W132</f>
        <v>1</v>
      </c>
      <c r="L141" s="69">
        <f t="shared" ref="L141" si="236">X132</f>
        <v>1</v>
      </c>
      <c r="M141" s="69">
        <f t="shared" ref="M141" si="237">Y132</f>
        <v>1</v>
      </c>
      <c r="N141" s="69">
        <f t="shared" ref="N141" si="238">Z132</f>
        <v>1</v>
      </c>
      <c r="O141" s="119">
        <f t="shared" ref="O141" si="239">AA132</f>
        <v>0</v>
      </c>
      <c r="P141" s="122"/>
    </row>
    <row r="142" spans="1:51" ht="24.95" customHeight="1" x14ac:dyDescent="0.25">
      <c r="C142" s="75">
        <v>24</v>
      </c>
      <c r="D142" s="74">
        <v>25</v>
      </c>
      <c r="E142" s="74">
        <v>26</v>
      </c>
      <c r="F142" s="74">
        <v>27</v>
      </c>
      <c r="G142" s="74">
        <v>28</v>
      </c>
      <c r="H142" s="73">
        <v>29</v>
      </c>
      <c r="I142" s="122"/>
      <c r="J142" s="118">
        <f t="shared" ref="J142" si="240">Z132</f>
        <v>1</v>
      </c>
      <c r="K142" s="69">
        <f t="shared" ref="K142" si="241">AA132</f>
        <v>0</v>
      </c>
      <c r="L142" s="69">
        <f t="shared" ref="L142" si="242">AB132</f>
        <v>0</v>
      </c>
      <c r="M142" s="69">
        <f t="shared" ref="M142" si="243">AC132</f>
        <v>0</v>
      </c>
      <c r="N142" s="69">
        <f t="shared" ref="N142" si="244">AD132</f>
        <v>0</v>
      </c>
      <c r="O142" s="119">
        <f t="shared" ref="O142" si="245">AE132</f>
        <v>0</v>
      </c>
      <c r="P142" s="122"/>
    </row>
    <row r="143" spans="1:51" ht="24.95" customHeight="1" x14ac:dyDescent="0.25">
      <c r="C143" s="75">
        <v>28</v>
      </c>
      <c r="D143" s="74">
        <v>29</v>
      </c>
      <c r="E143" s="74">
        <v>30</v>
      </c>
      <c r="F143" s="74">
        <v>31</v>
      </c>
      <c r="G143" s="74">
        <v>32</v>
      </c>
      <c r="H143" s="73">
        <v>1</v>
      </c>
      <c r="I143" s="122"/>
      <c r="J143" s="70">
        <f>AD132</f>
        <v>0</v>
      </c>
      <c r="K143" s="71">
        <f>AE132</f>
        <v>0</v>
      </c>
      <c r="L143" s="71">
        <f>AF132</f>
        <v>1</v>
      </c>
      <c r="M143" s="71">
        <f>AG132</f>
        <v>0</v>
      </c>
      <c r="N143" s="71">
        <f>AH132</f>
        <v>0</v>
      </c>
      <c r="O143" s="121">
        <f>C132</f>
        <v>1</v>
      </c>
      <c r="P143" s="122"/>
    </row>
    <row r="146" spans="1:55" ht="24.95" customHeight="1" x14ac:dyDescent="0.25">
      <c r="A146" s="124" t="s">
        <v>533</v>
      </c>
      <c r="B146" s="124"/>
      <c r="C146" s="125">
        <v>1</v>
      </c>
      <c r="D146" s="126">
        <v>2</v>
      </c>
      <c r="E146" s="125">
        <v>3</v>
      </c>
      <c r="F146" s="126">
        <v>4</v>
      </c>
      <c r="G146" s="125">
        <v>5</v>
      </c>
      <c r="H146" s="126">
        <v>6</v>
      </c>
      <c r="I146" s="125">
        <v>7</v>
      </c>
      <c r="J146" s="126">
        <v>8</v>
      </c>
      <c r="K146" s="125">
        <v>9</v>
      </c>
      <c r="L146" s="126">
        <v>10</v>
      </c>
      <c r="M146" s="125">
        <v>11</v>
      </c>
      <c r="N146" s="126">
        <v>12</v>
      </c>
      <c r="O146" s="125">
        <v>13</v>
      </c>
      <c r="P146" s="126">
        <v>14</v>
      </c>
      <c r="Q146" s="125">
        <v>15</v>
      </c>
      <c r="R146" s="126">
        <v>16</v>
      </c>
      <c r="S146" s="125">
        <v>17</v>
      </c>
      <c r="T146" s="126">
        <v>18</v>
      </c>
      <c r="U146" s="125">
        <v>19</v>
      </c>
      <c r="V146" s="126">
        <v>20</v>
      </c>
      <c r="W146" s="125">
        <v>21</v>
      </c>
      <c r="X146" s="126">
        <v>22</v>
      </c>
      <c r="Y146" s="125">
        <v>23</v>
      </c>
      <c r="Z146" s="126">
        <v>24</v>
      </c>
      <c r="AA146" s="125">
        <v>25</v>
      </c>
      <c r="AB146" s="126">
        <v>26</v>
      </c>
      <c r="AC146" s="125">
        <v>27</v>
      </c>
      <c r="AD146" s="126">
        <v>28</v>
      </c>
      <c r="AE146" s="125">
        <v>29</v>
      </c>
      <c r="AF146" s="126">
        <v>30</v>
      </c>
      <c r="AG146" s="125">
        <v>31</v>
      </c>
      <c r="AH146" s="126">
        <v>32</v>
      </c>
      <c r="AI146" s="125">
        <v>33</v>
      </c>
      <c r="AJ146" s="126">
        <v>34</v>
      </c>
      <c r="AK146" s="125">
        <v>35</v>
      </c>
      <c r="AL146" s="126">
        <v>36</v>
      </c>
      <c r="AM146" s="125">
        <v>37</v>
      </c>
      <c r="AN146" s="126">
        <v>38</v>
      </c>
      <c r="AO146" s="125">
        <v>39</v>
      </c>
      <c r="AP146" s="126">
        <v>40</v>
      </c>
      <c r="AQ146" s="125">
        <v>41</v>
      </c>
      <c r="AR146" s="126">
        <v>42</v>
      </c>
      <c r="AS146" s="125">
        <v>43</v>
      </c>
      <c r="AT146" s="126">
        <v>44</v>
      </c>
      <c r="AU146" s="125">
        <v>45</v>
      </c>
      <c r="AV146" s="126">
        <v>46</v>
      </c>
      <c r="AW146" s="125">
        <v>47</v>
      </c>
      <c r="AX146" s="126">
        <v>48</v>
      </c>
    </row>
    <row r="147" spans="1:55" ht="24.95" customHeight="1" x14ac:dyDescent="0.25">
      <c r="C147" s="125">
        <f t="shared" ref="C147" si="246">J136</f>
        <v>0</v>
      </c>
      <c r="D147" s="125">
        <f t="shared" ref="D147" si="247">K136</f>
        <v>1</v>
      </c>
      <c r="E147" s="125">
        <f t="shared" ref="E147" si="248">L136</f>
        <v>1</v>
      </c>
      <c r="F147" s="125">
        <f t="shared" ref="F147" si="249">M136</f>
        <v>0</v>
      </c>
      <c r="G147" s="126">
        <f t="shared" ref="G147" si="250">N136</f>
        <v>1</v>
      </c>
      <c r="H147" s="126">
        <f t="shared" ref="H147" si="251">O136</f>
        <v>0</v>
      </c>
      <c r="I147" s="125">
        <f t="shared" ref="I147" si="252">J137</f>
        <v>1</v>
      </c>
      <c r="J147" s="125">
        <f t="shared" ref="J147" si="253">K137</f>
        <v>0</v>
      </c>
      <c r="K147" s="125">
        <f t="shared" ref="K147" si="254">L137</f>
        <v>1</v>
      </c>
      <c r="L147" s="125">
        <f t="shared" ref="L147" si="255">M137</f>
        <v>0</v>
      </c>
      <c r="M147" s="125">
        <f t="shared" ref="M147" si="256">N137</f>
        <v>0</v>
      </c>
      <c r="N147" s="125">
        <f t="shared" ref="N147" si="257">O137</f>
        <v>1</v>
      </c>
      <c r="O147" s="126">
        <f t="shared" ref="O147" si="258">J138</f>
        <v>0</v>
      </c>
      <c r="P147" s="126">
        <f t="shared" ref="P147" si="259">K138</f>
        <v>1</v>
      </c>
      <c r="Q147" s="126">
        <f t="shared" ref="Q147" si="260">L138</f>
        <v>1</v>
      </c>
      <c r="R147" s="126">
        <f t="shared" ref="R147" si="261">M138</f>
        <v>0</v>
      </c>
      <c r="S147" s="126">
        <f t="shared" ref="S147" si="262">N138</f>
        <v>1</v>
      </c>
      <c r="T147" s="126">
        <f t="shared" ref="T147" si="263">O138</f>
        <v>0</v>
      </c>
      <c r="U147" s="125">
        <f t="shared" ref="U147" si="264">J139</f>
        <v>1</v>
      </c>
      <c r="V147" s="126">
        <f t="shared" ref="V147" si="265">K139</f>
        <v>0</v>
      </c>
      <c r="W147" s="125">
        <f t="shared" ref="W147" si="266">L139</f>
        <v>1</v>
      </c>
      <c r="X147" s="126">
        <f t="shared" ref="X147" si="267">M139</f>
        <v>1</v>
      </c>
      <c r="Y147" s="125">
        <f t="shared" ref="Y147" si="268">N139</f>
        <v>0</v>
      </c>
      <c r="Z147" s="126">
        <f t="shared" ref="Z147" si="269">O139</f>
        <v>0</v>
      </c>
      <c r="AA147" s="125">
        <f t="shared" ref="AA147" si="270">J140</f>
        <v>0</v>
      </c>
      <c r="AB147" s="126">
        <f t="shared" ref="AB147" si="271">K140</f>
        <v>0</v>
      </c>
      <c r="AC147" s="125">
        <f t="shared" ref="AC147" si="272">L140</f>
        <v>0</v>
      </c>
      <c r="AD147" s="126">
        <f t="shared" ref="AD147" si="273">M140</f>
        <v>1</v>
      </c>
      <c r="AE147" s="125">
        <f t="shared" ref="AE147" si="274">N140</f>
        <v>1</v>
      </c>
      <c r="AF147" s="126">
        <f t="shared" ref="AF147" si="275">O140</f>
        <v>1</v>
      </c>
      <c r="AG147" s="125">
        <f t="shared" ref="AG147" si="276">J141</f>
        <v>1</v>
      </c>
      <c r="AH147" s="126">
        <f t="shared" ref="AH147" si="277">K141</f>
        <v>1</v>
      </c>
      <c r="AI147" s="125">
        <f t="shared" ref="AI147" si="278">L141</f>
        <v>1</v>
      </c>
      <c r="AJ147" s="126">
        <f t="shared" ref="AJ147" si="279">M141</f>
        <v>1</v>
      </c>
      <c r="AK147" s="125">
        <f t="shared" ref="AK147" si="280">N141</f>
        <v>1</v>
      </c>
      <c r="AL147" s="126">
        <f t="shared" ref="AL147" si="281">O141</f>
        <v>0</v>
      </c>
      <c r="AM147" s="125">
        <f t="shared" ref="AM147" si="282">J142</f>
        <v>1</v>
      </c>
      <c r="AN147" s="126">
        <f t="shared" ref="AN147" si="283">K142</f>
        <v>0</v>
      </c>
      <c r="AO147" s="125">
        <f t="shared" ref="AO147" si="284">L142</f>
        <v>0</v>
      </c>
      <c r="AP147" s="126">
        <f t="shared" ref="AP147" si="285">M142</f>
        <v>0</v>
      </c>
      <c r="AQ147" s="125">
        <f t="shared" ref="AQ147" si="286">N142</f>
        <v>0</v>
      </c>
      <c r="AR147" s="126">
        <f t="shared" ref="AR147" si="287">O142</f>
        <v>0</v>
      </c>
      <c r="AS147" s="125">
        <f t="shared" ref="AS147" si="288">J143</f>
        <v>0</v>
      </c>
      <c r="AT147" s="126">
        <f t="shared" ref="AT147" si="289">K143</f>
        <v>0</v>
      </c>
      <c r="AU147" s="125">
        <f t="shared" ref="AU147" si="290">L143</f>
        <v>1</v>
      </c>
      <c r="AV147" s="126">
        <f t="shared" ref="AV147" si="291">M143</f>
        <v>0</v>
      </c>
      <c r="AW147" s="125">
        <f t="shared" ref="AW147" si="292">N143</f>
        <v>0</v>
      </c>
      <c r="AX147" s="126">
        <f t="shared" ref="AX147" si="293">O143</f>
        <v>1</v>
      </c>
    </row>
    <row r="150" spans="1:55" ht="24.95" customHeight="1" x14ac:dyDescent="0.25">
      <c r="A150" s="127" t="s">
        <v>593</v>
      </c>
      <c r="B150" s="127"/>
      <c r="C150" s="77">
        <f>'Key Generator'!D135</f>
        <v>1</v>
      </c>
      <c r="D150" s="77">
        <f>'Key Generator'!E135</f>
        <v>2</v>
      </c>
      <c r="E150" s="77">
        <f>'Key Generator'!F135</f>
        <v>3</v>
      </c>
      <c r="F150" s="77">
        <f>'Key Generator'!G135</f>
        <v>4</v>
      </c>
      <c r="G150" s="77">
        <f>'Key Generator'!H135</f>
        <v>5</v>
      </c>
      <c r="H150" s="77">
        <f>'Key Generator'!I135</f>
        <v>6</v>
      </c>
      <c r="I150" s="77">
        <f>'Key Generator'!J135</f>
        <v>7</v>
      </c>
      <c r="J150" s="77">
        <f>'Key Generator'!K135</f>
        <v>8</v>
      </c>
      <c r="K150" s="77">
        <f>'Key Generator'!L135</f>
        <v>9</v>
      </c>
      <c r="L150" s="77">
        <f>'Key Generator'!M135</f>
        <v>10</v>
      </c>
      <c r="M150" s="77">
        <f>'Key Generator'!N135</f>
        <v>11</v>
      </c>
      <c r="N150" s="77">
        <f>'Key Generator'!O135</f>
        <v>12</v>
      </c>
      <c r="O150" s="77">
        <f>'Key Generator'!P135</f>
        <v>13</v>
      </c>
      <c r="P150" s="77">
        <f>'Key Generator'!Q135</f>
        <v>14</v>
      </c>
      <c r="Q150" s="77">
        <f>'Key Generator'!R135</f>
        <v>15</v>
      </c>
      <c r="R150" s="77">
        <f>'Key Generator'!S135</f>
        <v>16</v>
      </c>
      <c r="S150" s="77">
        <f>'Key Generator'!T135</f>
        <v>17</v>
      </c>
      <c r="T150" s="77">
        <f>'Key Generator'!U135</f>
        <v>18</v>
      </c>
      <c r="U150" s="77">
        <f>'Key Generator'!V135</f>
        <v>19</v>
      </c>
      <c r="V150" s="77">
        <f>'Key Generator'!W135</f>
        <v>20</v>
      </c>
      <c r="W150" s="77">
        <f>'Key Generator'!X135</f>
        <v>21</v>
      </c>
      <c r="X150" s="77">
        <f>'Key Generator'!Y135</f>
        <v>22</v>
      </c>
      <c r="Y150" s="77">
        <f>'Key Generator'!Z135</f>
        <v>23</v>
      </c>
      <c r="Z150" s="77">
        <f>'Key Generator'!AA135</f>
        <v>24</v>
      </c>
      <c r="AA150" s="77">
        <f>'Key Generator'!AB135</f>
        <v>25</v>
      </c>
      <c r="AB150" s="77">
        <f>'Key Generator'!AC135</f>
        <v>26</v>
      </c>
      <c r="AC150" s="77">
        <f>'Key Generator'!AD135</f>
        <v>27</v>
      </c>
      <c r="AD150" s="77">
        <f>'Key Generator'!AE135</f>
        <v>28</v>
      </c>
      <c r="AE150" s="77">
        <f>'Key Generator'!AF135</f>
        <v>29</v>
      </c>
      <c r="AF150" s="77">
        <f>'Key Generator'!AG135</f>
        <v>30</v>
      </c>
      <c r="AG150" s="77">
        <f>'Key Generator'!AH135</f>
        <v>31</v>
      </c>
      <c r="AH150" s="77">
        <f>'Key Generator'!AI135</f>
        <v>32</v>
      </c>
      <c r="AI150" s="77">
        <f>'Key Generator'!AJ135</f>
        <v>33</v>
      </c>
      <c r="AJ150" s="77">
        <f>'Key Generator'!AK135</f>
        <v>34</v>
      </c>
      <c r="AK150" s="77">
        <f>'Key Generator'!AL135</f>
        <v>35</v>
      </c>
      <c r="AL150" s="77">
        <f>'Key Generator'!AM135</f>
        <v>36</v>
      </c>
      <c r="AM150" s="77">
        <f>'Key Generator'!AN135</f>
        <v>37</v>
      </c>
      <c r="AN150" s="77">
        <f>'Key Generator'!AO135</f>
        <v>38</v>
      </c>
      <c r="AO150" s="77">
        <f>'Key Generator'!AP135</f>
        <v>39</v>
      </c>
      <c r="AP150" s="77">
        <f>'Key Generator'!AQ135</f>
        <v>40</v>
      </c>
      <c r="AQ150" s="77">
        <f>'Key Generator'!AR135</f>
        <v>41</v>
      </c>
      <c r="AR150" s="77">
        <f>'Key Generator'!AS135</f>
        <v>42</v>
      </c>
      <c r="AS150" s="77">
        <f>'Key Generator'!AT135</f>
        <v>43</v>
      </c>
      <c r="AT150" s="77">
        <f>'Key Generator'!AU135</f>
        <v>44</v>
      </c>
      <c r="AU150" s="77">
        <f>'Key Generator'!AV135</f>
        <v>45</v>
      </c>
      <c r="AV150" s="77">
        <f>'Key Generator'!AW135</f>
        <v>46</v>
      </c>
      <c r="AW150" s="77">
        <f>'Key Generator'!AX135</f>
        <v>47</v>
      </c>
      <c r="AX150" s="77">
        <f>'Key Generator'!AY135</f>
        <v>48</v>
      </c>
    </row>
    <row r="151" spans="1:55" ht="24.95" customHeight="1" x14ac:dyDescent="0.25">
      <c r="C151" s="77">
        <f>'Key Generator'!D136</f>
        <v>0</v>
      </c>
      <c r="D151" s="77">
        <f>'Key Generator'!E136</f>
        <v>1</v>
      </c>
      <c r="E151" s="77">
        <f>'Key Generator'!F136</f>
        <v>0</v>
      </c>
      <c r="F151" s="77">
        <f>'Key Generator'!G136</f>
        <v>1</v>
      </c>
      <c r="G151" s="77">
        <f>'Key Generator'!H136</f>
        <v>0</v>
      </c>
      <c r="H151" s="77">
        <f>'Key Generator'!I136</f>
        <v>0</v>
      </c>
      <c r="I151" s="77">
        <f>'Key Generator'!J136</f>
        <v>0</v>
      </c>
      <c r="J151" s="77">
        <f>'Key Generator'!K136</f>
        <v>1</v>
      </c>
      <c r="K151" s="77">
        <f>'Key Generator'!L136</f>
        <v>0</v>
      </c>
      <c r="L151" s="77">
        <f>'Key Generator'!M136</f>
        <v>0</v>
      </c>
      <c r="M151" s="77">
        <f>'Key Generator'!N136</f>
        <v>1</v>
      </c>
      <c r="N151" s="77">
        <f>'Key Generator'!O136</f>
        <v>0</v>
      </c>
      <c r="O151" s="77">
        <f>'Key Generator'!P136</f>
        <v>1</v>
      </c>
      <c r="P151" s="77">
        <f>'Key Generator'!Q136</f>
        <v>1</v>
      </c>
      <c r="Q151" s="77">
        <f>'Key Generator'!R136</f>
        <v>0</v>
      </c>
      <c r="R151" s="77">
        <f>'Key Generator'!S136</f>
        <v>0</v>
      </c>
      <c r="S151" s="77">
        <f>'Key Generator'!T136</f>
        <v>0</v>
      </c>
      <c r="T151" s="77">
        <f>'Key Generator'!U136</f>
        <v>1</v>
      </c>
      <c r="U151" s="77">
        <f>'Key Generator'!V136</f>
        <v>1</v>
      </c>
      <c r="V151" s="77">
        <f>'Key Generator'!W136</f>
        <v>0</v>
      </c>
      <c r="W151" s="77">
        <f>'Key Generator'!X136</f>
        <v>0</v>
      </c>
      <c r="X151" s="77">
        <f>'Key Generator'!Y136</f>
        <v>0</v>
      </c>
      <c r="Y151" s="77">
        <f>'Key Generator'!Z136</f>
        <v>0</v>
      </c>
      <c r="Z151" s="77">
        <f>'Key Generator'!AA136</f>
        <v>0</v>
      </c>
      <c r="AA151" s="77">
        <f>'Key Generator'!AB136</f>
        <v>1</v>
      </c>
      <c r="AB151" s="77">
        <f>'Key Generator'!AC136</f>
        <v>0</v>
      </c>
      <c r="AC151" s="77">
        <f>'Key Generator'!AD136</f>
        <v>1</v>
      </c>
      <c r="AD151" s="77">
        <f>'Key Generator'!AE136</f>
        <v>0</v>
      </c>
      <c r="AE151" s="77">
        <f>'Key Generator'!AF136</f>
        <v>0</v>
      </c>
      <c r="AF151" s="77">
        <f>'Key Generator'!AG136</f>
        <v>0</v>
      </c>
      <c r="AG151" s="77">
        <f>'Key Generator'!AH136</f>
        <v>0</v>
      </c>
      <c r="AH151" s="77">
        <f>'Key Generator'!AI136</f>
        <v>1</v>
      </c>
      <c r="AI151" s="77">
        <f>'Key Generator'!AJ136</f>
        <v>0</v>
      </c>
      <c r="AJ151" s="77">
        <f>'Key Generator'!AK136</f>
        <v>0</v>
      </c>
      <c r="AK151" s="77">
        <f>'Key Generator'!AL136</f>
        <v>0</v>
      </c>
      <c r="AL151" s="77">
        <f>'Key Generator'!AM136</f>
        <v>1</v>
      </c>
      <c r="AM151" s="77">
        <f>'Key Generator'!AN136</f>
        <v>1</v>
      </c>
      <c r="AN151" s="77">
        <f>'Key Generator'!AO136</f>
        <v>1</v>
      </c>
      <c r="AO151" s="77">
        <f>'Key Generator'!AP136</f>
        <v>0</v>
      </c>
      <c r="AP151" s="77">
        <f>'Key Generator'!AQ136</f>
        <v>1</v>
      </c>
      <c r="AQ151" s="77">
        <f>'Key Generator'!AR136</f>
        <v>1</v>
      </c>
      <c r="AR151" s="77">
        <f>'Key Generator'!AS136</f>
        <v>0</v>
      </c>
      <c r="AS151" s="77">
        <f>'Key Generator'!AT136</f>
        <v>1</v>
      </c>
      <c r="AT151" s="77">
        <f>'Key Generator'!AU136</f>
        <v>1</v>
      </c>
      <c r="AU151" s="77">
        <f>'Key Generator'!AV136</f>
        <v>1</v>
      </c>
      <c r="AV151" s="77">
        <f>'Key Generator'!AW136</f>
        <v>0</v>
      </c>
      <c r="AW151" s="77">
        <f>'Key Generator'!AX136</f>
        <v>1</v>
      </c>
      <c r="AX151" s="77">
        <f>'Key Generator'!AY136</f>
        <v>1</v>
      </c>
    </row>
    <row r="154" spans="1:55" ht="24.95" customHeight="1" x14ac:dyDescent="0.25">
      <c r="A154" s="128" t="s">
        <v>535</v>
      </c>
      <c r="B154" s="129"/>
      <c r="C154" s="79">
        <v>1</v>
      </c>
      <c r="D154" s="80">
        <v>2</v>
      </c>
      <c r="E154" s="79">
        <v>3</v>
      </c>
      <c r="F154" s="80">
        <v>4</v>
      </c>
      <c r="G154" s="79">
        <v>5</v>
      </c>
      <c r="H154" s="80">
        <v>6</v>
      </c>
      <c r="I154" s="79">
        <v>7</v>
      </c>
      <c r="J154" s="80">
        <v>8</v>
      </c>
      <c r="K154" s="79">
        <v>9</v>
      </c>
      <c r="L154" s="80">
        <v>10</v>
      </c>
      <c r="M154" s="79">
        <v>11</v>
      </c>
      <c r="N154" s="80">
        <v>12</v>
      </c>
      <c r="O154" s="79">
        <v>13</v>
      </c>
      <c r="P154" s="80">
        <v>14</v>
      </c>
      <c r="Q154" s="79">
        <v>15</v>
      </c>
      <c r="R154" s="80">
        <v>16</v>
      </c>
      <c r="S154" s="79">
        <v>17</v>
      </c>
      <c r="T154" s="80">
        <v>18</v>
      </c>
      <c r="U154" s="79">
        <v>19</v>
      </c>
      <c r="V154" s="80">
        <v>20</v>
      </c>
      <c r="W154" s="79">
        <v>21</v>
      </c>
      <c r="X154" s="80">
        <v>22</v>
      </c>
      <c r="Y154" s="79">
        <v>23</v>
      </c>
      <c r="Z154" s="80">
        <v>24</v>
      </c>
      <c r="AA154" s="79">
        <v>25</v>
      </c>
      <c r="AB154" s="80">
        <v>26</v>
      </c>
      <c r="AC154" s="79">
        <v>27</v>
      </c>
      <c r="AD154" s="80">
        <v>28</v>
      </c>
      <c r="AE154" s="79">
        <v>29</v>
      </c>
      <c r="AF154" s="80">
        <v>30</v>
      </c>
      <c r="AG154" s="79">
        <v>31</v>
      </c>
      <c r="AH154" s="80">
        <v>32</v>
      </c>
      <c r="AI154" s="79">
        <v>33</v>
      </c>
      <c r="AJ154" s="80">
        <v>34</v>
      </c>
      <c r="AK154" s="79">
        <v>35</v>
      </c>
      <c r="AL154" s="80">
        <v>36</v>
      </c>
      <c r="AM154" s="79">
        <v>37</v>
      </c>
      <c r="AN154" s="80">
        <v>38</v>
      </c>
      <c r="AO154" s="79">
        <v>39</v>
      </c>
      <c r="AP154" s="80">
        <v>40</v>
      </c>
      <c r="AQ154" s="79">
        <v>41</v>
      </c>
      <c r="AR154" s="80">
        <v>42</v>
      </c>
      <c r="AS154" s="79">
        <v>43</v>
      </c>
      <c r="AT154" s="80">
        <v>44</v>
      </c>
      <c r="AU154" s="79">
        <v>45</v>
      </c>
      <c r="AV154" s="80">
        <v>46</v>
      </c>
      <c r="AW154" s="79">
        <v>47</v>
      </c>
      <c r="AX154" s="80">
        <v>48</v>
      </c>
    </row>
    <row r="155" spans="1:55" ht="24.95" customHeight="1" x14ac:dyDescent="0.25">
      <c r="C155" s="88">
        <f>--_xlfn.XOR(C147,'Key Generator'!D136)</f>
        <v>0</v>
      </c>
      <c r="D155" s="88">
        <f>--_xlfn.XOR(D147,'Key Generator'!E136)</f>
        <v>0</v>
      </c>
      <c r="E155" s="88">
        <f>--_xlfn.XOR(E147,'Key Generator'!F136)</f>
        <v>1</v>
      </c>
      <c r="F155" s="88">
        <f>--_xlfn.XOR(F147,'Key Generator'!G136)</f>
        <v>1</v>
      </c>
      <c r="G155" s="88">
        <f>--_xlfn.XOR(G147,'Key Generator'!H136)</f>
        <v>1</v>
      </c>
      <c r="H155" s="88">
        <f>--_xlfn.XOR(H147,'Key Generator'!I136)</f>
        <v>0</v>
      </c>
      <c r="I155" s="87">
        <f>--_xlfn.XOR(I147,'Key Generator'!J136)</f>
        <v>1</v>
      </c>
      <c r="J155" s="87">
        <f>--_xlfn.XOR(J147,'Key Generator'!K136)</f>
        <v>1</v>
      </c>
      <c r="K155" s="87">
        <f>--_xlfn.XOR(K147,'Key Generator'!L136)</f>
        <v>1</v>
      </c>
      <c r="L155" s="87">
        <f>--_xlfn.XOR(L147,'Key Generator'!M136)</f>
        <v>0</v>
      </c>
      <c r="M155" s="87">
        <f>--_xlfn.XOR(M147,'Key Generator'!N136)</f>
        <v>1</v>
      </c>
      <c r="N155" s="87">
        <f>--_xlfn.XOR(N147,'Key Generator'!O136)</f>
        <v>1</v>
      </c>
      <c r="O155" s="89">
        <f>--_xlfn.XOR(O147,'Key Generator'!P136)</f>
        <v>1</v>
      </c>
      <c r="P155" s="89">
        <f>--_xlfn.XOR(P147,'Key Generator'!Q136)</f>
        <v>0</v>
      </c>
      <c r="Q155" s="89">
        <f>--_xlfn.XOR(Q147,'Key Generator'!R136)</f>
        <v>1</v>
      </c>
      <c r="R155" s="89">
        <f>--_xlfn.XOR(R147,'Key Generator'!S136)</f>
        <v>0</v>
      </c>
      <c r="S155" s="89">
        <f>--_xlfn.XOR(S147,'Key Generator'!T136)</f>
        <v>1</v>
      </c>
      <c r="T155" s="89">
        <f>--_xlfn.XOR(T147,'Key Generator'!U136)</f>
        <v>1</v>
      </c>
      <c r="U155" s="90">
        <f>--_xlfn.XOR(U147,'Key Generator'!V136)</f>
        <v>0</v>
      </c>
      <c r="V155" s="90">
        <f>--_xlfn.XOR(V147,'Key Generator'!W136)</f>
        <v>0</v>
      </c>
      <c r="W155" s="90">
        <f>--_xlfn.XOR(W147,'Key Generator'!X136)</f>
        <v>1</v>
      </c>
      <c r="X155" s="90">
        <f>--_xlfn.XOR(X147,'Key Generator'!Y136)</f>
        <v>1</v>
      </c>
      <c r="Y155" s="90">
        <f>--_xlfn.XOR(Y147,'Key Generator'!Z136)</f>
        <v>0</v>
      </c>
      <c r="Z155" s="90">
        <f>--_xlfn.XOR(Z147,'Key Generator'!AA136)</f>
        <v>0</v>
      </c>
      <c r="AA155" s="91">
        <f>--_xlfn.XOR(AA147,'Key Generator'!AB136)</f>
        <v>1</v>
      </c>
      <c r="AB155" s="91">
        <f>--_xlfn.XOR(AB147,'Key Generator'!AC136)</f>
        <v>0</v>
      </c>
      <c r="AC155" s="91">
        <f>--_xlfn.XOR(AC147,'Key Generator'!AD136)</f>
        <v>1</v>
      </c>
      <c r="AD155" s="91">
        <f>--_xlfn.XOR(AD147,'Key Generator'!AE136)</f>
        <v>1</v>
      </c>
      <c r="AE155" s="91">
        <f>--_xlfn.XOR(AE147,'Key Generator'!AF136)</f>
        <v>1</v>
      </c>
      <c r="AF155" s="91">
        <f>--_xlfn.XOR(AF147,'Key Generator'!AG136)</f>
        <v>1</v>
      </c>
      <c r="AG155" s="92">
        <f>--_xlfn.XOR(AG147,'Key Generator'!AH136)</f>
        <v>1</v>
      </c>
      <c r="AH155" s="92">
        <f>--_xlfn.XOR(AH147,'Key Generator'!AI136)</f>
        <v>0</v>
      </c>
      <c r="AI155" s="92">
        <f>--_xlfn.XOR(AI147,'Key Generator'!AJ136)</f>
        <v>1</v>
      </c>
      <c r="AJ155" s="92">
        <f>--_xlfn.XOR(AJ147,'Key Generator'!AK136)</f>
        <v>1</v>
      </c>
      <c r="AK155" s="92">
        <f>--_xlfn.XOR(AK147,'Key Generator'!AL136)</f>
        <v>1</v>
      </c>
      <c r="AL155" s="92">
        <f>--_xlfn.XOR(AL147,'Key Generator'!AM136)</f>
        <v>1</v>
      </c>
      <c r="AM155" s="86">
        <f>--_xlfn.XOR(AM147,'Key Generator'!AN136)</f>
        <v>0</v>
      </c>
      <c r="AN155" s="86">
        <f>--_xlfn.XOR(AN147,'Key Generator'!AO136)</f>
        <v>1</v>
      </c>
      <c r="AO155" s="86">
        <f>--_xlfn.XOR(AO147,'Key Generator'!AP136)</f>
        <v>0</v>
      </c>
      <c r="AP155" s="86">
        <f>--_xlfn.XOR(AP147,'Key Generator'!AQ136)</f>
        <v>1</v>
      </c>
      <c r="AQ155" s="86">
        <f>--_xlfn.XOR(AQ147,'Key Generator'!AR136)</f>
        <v>1</v>
      </c>
      <c r="AR155" s="86">
        <f>--_xlfn.XOR(AR147,'Key Generator'!AS136)</f>
        <v>0</v>
      </c>
      <c r="AS155" s="81">
        <f>--_xlfn.XOR(AS147,'Key Generator'!AT136)</f>
        <v>1</v>
      </c>
      <c r="AT155" s="81">
        <f>--_xlfn.XOR(AT147,'Key Generator'!AU136)</f>
        <v>1</v>
      </c>
      <c r="AU155" s="81">
        <f>--_xlfn.XOR(AU147,'Key Generator'!AV136)</f>
        <v>0</v>
      </c>
      <c r="AV155" s="81">
        <f>--_xlfn.XOR(AV147,'Key Generator'!AW136)</f>
        <v>0</v>
      </c>
      <c r="AW155" s="81">
        <f>--_xlfn.XOR(AW147,'Key Generator'!AX136)</f>
        <v>1</v>
      </c>
      <c r="AX155" s="81">
        <f>--_xlfn.XOR(AX147,'Key Generator'!AY136)</f>
        <v>0</v>
      </c>
      <c r="AZ155" s="20"/>
      <c r="BA155" s="20"/>
      <c r="BB155" s="20"/>
      <c r="BC155" s="20"/>
    </row>
    <row r="156" spans="1:55" ht="24.95" customHeight="1" x14ac:dyDescent="0.25">
      <c r="C156" s="93"/>
      <c r="D156" s="94"/>
      <c r="E156" s="94"/>
      <c r="F156" s="94"/>
      <c r="G156" s="94"/>
      <c r="H156" s="94"/>
      <c r="AZ156" s="20"/>
      <c r="BA156" s="20"/>
      <c r="BB156" s="20"/>
      <c r="BC156" s="20"/>
    </row>
    <row r="157" spans="1:55" ht="24.95" customHeight="1" x14ac:dyDescent="0.25">
      <c r="A157" s="96" t="s">
        <v>545</v>
      </c>
      <c r="B157" s="97"/>
      <c r="C157" s="101">
        <f>D155*8+E155*4+F155*2+G155</f>
        <v>7</v>
      </c>
      <c r="D157" s="123" t="s">
        <v>536</v>
      </c>
      <c r="E157" s="97"/>
      <c r="F157" s="97"/>
      <c r="G157" s="97"/>
      <c r="H157" s="97"/>
      <c r="I157" s="101">
        <f>J155*8+K155*4+L155*2+M155</f>
        <v>13</v>
      </c>
      <c r="J157" s="122" t="s">
        <v>537</v>
      </c>
      <c r="K157" s="97"/>
      <c r="L157" s="97"/>
      <c r="M157" s="97"/>
      <c r="N157" s="97"/>
      <c r="O157" s="101">
        <f>P155*8+Q155*4+R155*2+S155</f>
        <v>5</v>
      </c>
      <c r="P157" s="122" t="s">
        <v>538</v>
      </c>
      <c r="Q157" s="97"/>
      <c r="R157" s="97"/>
      <c r="S157" s="97"/>
      <c r="T157" s="97"/>
      <c r="U157" s="101">
        <f>V155*8+W155*4+X155*2+Y155</f>
        <v>6</v>
      </c>
      <c r="V157" s="122" t="s">
        <v>539</v>
      </c>
      <c r="W157" s="97"/>
      <c r="X157" s="97"/>
      <c r="Y157" s="97"/>
      <c r="Z157" s="97"/>
      <c r="AA157" s="101">
        <f>AB155*8+AC155*4+AD155*2+AE155</f>
        <v>7</v>
      </c>
      <c r="AB157" s="122" t="s">
        <v>540</v>
      </c>
      <c r="AC157" s="97"/>
      <c r="AD157" s="97"/>
      <c r="AE157" s="97"/>
      <c r="AF157" s="97"/>
      <c r="AG157" s="101">
        <f>AH155*8+AI155*4+AJ155*2+AK155</f>
        <v>7</v>
      </c>
      <c r="AH157" s="122" t="s">
        <v>541</v>
      </c>
      <c r="AI157" s="97"/>
      <c r="AJ157" s="97"/>
      <c r="AK157" s="97"/>
      <c r="AL157" s="97"/>
      <c r="AM157" s="101">
        <f>AN155*8+AO155*4+AP155*2+AQ155</f>
        <v>11</v>
      </c>
      <c r="AN157" s="122" t="s">
        <v>542</v>
      </c>
      <c r="AO157" s="97"/>
      <c r="AP157" s="97"/>
      <c r="AQ157" s="97"/>
      <c r="AR157" s="97"/>
      <c r="AS157" s="101">
        <f>AT155*8+AU155*4+AV155*2+AW155</f>
        <v>9</v>
      </c>
      <c r="AT157" s="122" t="s">
        <v>543</v>
      </c>
      <c r="AU157" s="97"/>
      <c r="AV157" s="97"/>
      <c r="AW157" s="97"/>
      <c r="AX157" s="97"/>
      <c r="AY157" s="97"/>
      <c r="AZ157" s="20"/>
      <c r="BA157" s="20"/>
      <c r="BB157" s="20"/>
      <c r="BC157" s="20"/>
    </row>
    <row r="158" spans="1:55" ht="24.95" customHeight="1" x14ac:dyDescent="0.25">
      <c r="A158" s="100" t="s">
        <v>546</v>
      </c>
      <c r="B158" s="99"/>
      <c r="C158" s="87">
        <f>C155*2+H155</f>
        <v>0</v>
      </c>
      <c r="D158" s="98"/>
      <c r="E158" s="98"/>
      <c r="F158" s="99"/>
      <c r="G158" s="99"/>
      <c r="H158" s="99"/>
      <c r="I158" s="87">
        <f>I155*2+N155</f>
        <v>3</v>
      </c>
      <c r="J158" s="99"/>
      <c r="K158" s="99"/>
      <c r="L158" s="99"/>
      <c r="M158" s="99"/>
      <c r="N158" s="99"/>
      <c r="O158" s="87">
        <f>O155*2+T155</f>
        <v>3</v>
      </c>
      <c r="P158" s="99"/>
      <c r="Q158" s="99"/>
      <c r="R158" s="99"/>
      <c r="S158" s="99"/>
      <c r="T158" s="99"/>
      <c r="U158" s="87">
        <f>U155*2+Z155</f>
        <v>0</v>
      </c>
      <c r="V158" s="99"/>
      <c r="W158" s="99"/>
      <c r="X158" s="99"/>
      <c r="Y158" s="99"/>
      <c r="Z158" s="99"/>
      <c r="AA158" s="87">
        <f>AA155*2+AF155</f>
        <v>3</v>
      </c>
      <c r="AB158" s="99"/>
      <c r="AC158" s="99"/>
      <c r="AD158" s="99"/>
      <c r="AE158" s="99"/>
      <c r="AF158" s="99"/>
      <c r="AG158" s="87">
        <f>AG155*2+AL155</f>
        <v>3</v>
      </c>
      <c r="AH158" s="99"/>
      <c r="AI158" s="99"/>
      <c r="AJ158" s="99"/>
      <c r="AK158" s="99"/>
      <c r="AL158" s="99"/>
      <c r="AM158" s="87">
        <f>AM155*2+AR155</f>
        <v>0</v>
      </c>
      <c r="AN158" s="99"/>
      <c r="AO158" s="99"/>
      <c r="AP158" s="99"/>
      <c r="AQ158" s="99"/>
      <c r="AR158" s="99"/>
      <c r="AS158" s="87">
        <f>AS155*2+AX155</f>
        <v>2</v>
      </c>
      <c r="AT158" s="99"/>
      <c r="AU158" s="99"/>
      <c r="AV158" s="99"/>
      <c r="AW158" s="99"/>
      <c r="AX158" s="99"/>
      <c r="AY158" s="99"/>
      <c r="AZ158" s="20"/>
      <c r="BA158" s="20"/>
      <c r="BB158" s="20"/>
      <c r="BC158" s="20"/>
    </row>
    <row r="159" spans="1:55" ht="24.95" customHeight="1" x14ac:dyDescent="0.25">
      <c r="AZ159" s="20"/>
      <c r="BA159" s="20"/>
      <c r="BB159" s="20"/>
      <c r="BC159" s="20"/>
    </row>
    <row r="160" spans="1:55" ht="24.95" customHeight="1" x14ac:dyDescent="0.25">
      <c r="A160" s="117" t="s">
        <v>547</v>
      </c>
      <c r="C160" s="72">
        <f>INDEX('S-Box'!D3:S6,'DES-Enc'!C158+1,'DES-Enc'!C157+1)</f>
        <v>8</v>
      </c>
      <c r="I160" s="102">
        <f>INDEX('S-Box'!D9:S12,'DES-Enc'!I158+1,'DES-Enc'!I157+1)</f>
        <v>5</v>
      </c>
      <c r="O160" s="102">
        <f>INDEX('S-Box'!D15:S18,'DES-Enc'!O158+1,'DES-Enc'!O157+1)</f>
        <v>9</v>
      </c>
      <c r="U160" s="102">
        <f>INDEX('S-Box'!D21:S24,'DES-Enc'!U158+1,'DES-Enc'!U157+1)</f>
        <v>9</v>
      </c>
      <c r="AA160" s="102">
        <f>INDEX('S-Box'!D27:S30,'DES-Enc'!AA158+1,'DES-Enc'!AA157+1)</f>
        <v>13</v>
      </c>
      <c r="AG160" s="102">
        <f>INDEX('S-Box'!D33:S36,'DES-Enc'!AG158+1,'DES-Enc'!AG157+1)</f>
        <v>10</v>
      </c>
      <c r="AM160" s="102">
        <f>INDEX('S-Box'!D39:S42,'DES-Enc'!AM158+1,'DES-Enc'!AM157+1)</f>
        <v>7</v>
      </c>
      <c r="AS160" s="102">
        <f>INDEX('S-Box'!D45:S48,'DES-Enc'!AS158+1,'DES-Enc'!AS157+1)</f>
        <v>6</v>
      </c>
      <c r="AZ160" s="20"/>
      <c r="BA160" s="20"/>
      <c r="BB160" s="20"/>
      <c r="BC160" s="20"/>
    </row>
    <row r="161" spans="1:48" ht="24.95" customHeight="1" x14ac:dyDescent="0.25">
      <c r="C161" s="104"/>
      <c r="I161" s="95"/>
      <c r="O161" s="95"/>
      <c r="U161" s="95"/>
      <c r="AA161" s="95"/>
      <c r="AG161" s="95"/>
      <c r="AM161" s="95"/>
      <c r="AS161" s="95"/>
    </row>
    <row r="162" spans="1:48" ht="24.95" customHeight="1" x14ac:dyDescent="0.25">
      <c r="C162" s="105" t="str">
        <f>MID(DEC2BIN(C160,4),1,1)</f>
        <v>1</v>
      </c>
      <c r="D162" s="106" t="str">
        <f>MID(DEC2BIN(C160,4),2,1)</f>
        <v>0</v>
      </c>
      <c r="E162" s="106" t="str">
        <f>MID(DEC2BIN(C160,4),3,1)</f>
        <v>0</v>
      </c>
      <c r="F162" s="107" t="str">
        <f>MID(DEC2BIN(C160,4),4,1)</f>
        <v>0</v>
      </c>
      <c r="I162" s="105" t="str">
        <f>MID(DEC2BIN(I160,4),1,1)</f>
        <v>0</v>
      </c>
      <c r="J162" s="106" t="str">
        <f>MID(DEC2BIN(I160,4),2,1)</f>
        <v>1</v>
      </c>
      <c r="K162" s="106" t="str">
        <f>MID(DEC2BIN(I160,4),3,1)</f>
        <v>0</v>
      </c>
      <c r="L162" s="107" t="str">
        <f>MID(DEC2BIN(I160,4),4,1)</f>
        <v>1</v>
      </c>
      <c r="O162" s="105" t="str">
        <f>MID(DEC2BIN(O160,4),1,1)</f>
        <v>1</v>
      </c>
      <c r="P162" s="106" t="str">
        <f>MID(DEC2BIN(O160,4),2,1)</f>
        <v>0</v>
      </c>
      <c r="Q162" s="106" t="str">
        <f>MID(DEC2BIN(O160,4),3,1)</f>
        <v>0</v>
      </c>
      <c r="R162" s="107" t="str">
        <f>MID(DEC2BIN(O160,4),4,1)</f>
        <v>1</v>
      </c>
      <c r="U162" s="105" t="str">
        <f>MID(DEC2BIN(U160,4),1,1)</f>
        <v>1</v>
      </c>
      <c r="V162" s="106" t="str">
        <f>MID(DEC2BIN(U160,4),2,1)</f>
        <v>0</v>
      </c>
      <c r="W162" s="106" t="str">
        <f>MID(DEC2BIN(U160,4),3,1)</f>
        <v>0</v>
      </c>
      <c r="X162" s="107" t="str">
        <f>MID(DEC2BIN(U160,4),4,1)</f>
        <v>1</v>
      </c>
      <c r="AA162" s="105" t="str">
        <f>MID(DEC2BIN(AA160,4),1,1)</f>
        <v>1</v>
      </c>
      <c r="AB162" s="106" t="str">
        <f>MID(DEC2BIN(AA160,4),2,1)</f>
        <v>1</v>
      </c>
      <c r="AC162" s="106" t="str">
        <f>MID(DEC2BIN(AA160,4),3,1)</f>
        <v>0</v>
      </c>
      <c r="AD162" s="107" t="str">
        <f>MID(DEC2BIN(AA160,4),4,1)</f>
        <v>1</v>
      </c>
      <c r="AG162" s="105" t="str">
        <f>MID(DEC2BIN(AG160,4),1,1)</f>
        <v>1</v>
      </c>
      <c r="AH162" s="106" t="str">
        <f>MID(DEC2BIN(AG160,4),2,1)</f>
        <v>0</v>
      </c>
      <c r="AI162" s="106" t="str">
        <f>MID(DEC2BIN(AG160,4),3,1)</f>
        <v>1</v>
      </c>
      <c r="AJ162" s="107" t="str">
        <f>MID(DEC2BIN(AG160,4),4,1)</f>
        <v>0</v>
      </c>
      <c r="AM162" s="105" t="str">
        <f>MID(DEC2BIN(AM160,4),1,1)</f>
        <v>0</v>
      </c>
      <c r="AN162" s="106" t="str">
        <f>MID(DEC2BIN(AM160,4),2,1)</f>
        <v>1</v>
      </c>
      <c r="AO162" s="106" t="str">
        <f>MID(DEC2BIN(AM160,4),3,1)</f>
        <v>1</v>
      </c>
      <c r="AP162" s="107" t="str">
        <f>MID(DEC2BIN(AM160,4),4,1)</f>
        <v>1</v>
      </c>
      <c r="AS162" s="105" t="str">
        <f>MID(DEC2BIN(AS160,4),1,1)</f>
        <v>0</v>
      </c>
      <c r="AT162" s="106" t="str">
        <f>MID(DEC2BIN(AS160,4),2,1)</f>
        <v>1</v>
      </c>
      <c r="AU162" s="106" t="str">
        <f>MID(DEC2BIN(AS160,4),3,1)</f>
        <v>1</v>
      </c>
      <c r="AV162" s="107" t="str">
        <f>MID(DEC2BIN(AS160,4),4,1)</f>
        <v>0</v>
      </c>
    </row>
    <row r="163" spans="1:48" ht="24.95" customHeight="1" x14ac:dyDescent="0.25">
      <c r="C163" s="21">
        <f>VALUE(C162)</f>
        <v>1</v>
      </c>
      <c r="D163" s="21">
        <f t="shared" ref="D163" si="294">VALUE(D162)</f>
        <v>0</v>
      </c>
      <c r="E163" s="21">
        <f t="shared" ref="E163" si="295">VALUE(E162)</f>
        <v>0</v>
      </c>
      <c r="F163" s="21">
        <f t="shared" ref="F163" si="296">VALUE(F162)</f>
        <v>0</v>
      </c>
      <c r="I163" s="21">
        <f t="shared" ref="I163" si="297">VALUE(I162)</f>
        <v>0</v>
      </c>
      <c r="J163" s="21">
        <f t="shared" ref="J163" si="298">VALUE(J162)</f>
        <v>1</v>
      </c>
      <c r="K163" s="21">
        <f t="shared" ref="K163" si="299">VALUE(K162)</f>
        <v>0</v>
      </c>
      <c r="L163" s="21">
        <f t="shared" ref="L163" si="300">VALUE(L162)</f>
        <v>1</v>
      </c>
      <c r="O163" s="21">
        <f>VALUE(O162)</f>
        <v>1</v>
      </c>
      <c r="P163" s="21">
        <f t="shared" ref="P163" si="301">VALUE(P162)</f>
        <v>0</v>
      </c>
      <c r="Q163" s="21">
        <f t="shared" ref="Q163" si="302">VALUE(Q162)</f>
        <v>0</v>
      </c>
      <c r="R163" s="21">
        <f t="shared" ref="R163" si="303">VALUE(R162)</f>
        <v>1</v>
      </c>
      <c r="U163" s="21">
        <f>VALUE(U162)</f>
        <v>1</v>
      </c>
      <c r="V163" s="21">
        <f t="shared" ref="V163" si="304">VALUE(V162)</f>
        <v>0</v>
      </c>
      <c r="W163" s="21">
        <f t="shared" ref="W163" si="305">VALUE(W162)</f>
        <v>0</v>
      </c>
      <c r="X163" s="21">
        <f t="shared" ref="X163" si="306">VALUE(X162)</f>
        <v>1</v>
      </c>
      <c r="AA163" s="21">
        <f>VALUE(AA162)</f>
        <v>1</v>
      </c>
      <c r="AB163" s="21">
        <f t="shared" ref="AB163" si="307">VALUE(AB162)</f>
        <v>1</v>
      </c>
      <c r="AC163" s="21">
        <f t="shared" ref="AC163" si="308">VALUE(AC162)</f>
        <v>0</v>
      </c>
      <c r="AD163" s="21">
        <f t="shared" ref="AD163" si="309">VALUE(AD162)</f>
        <v>1</v>
      </c>
      <c r="AG163" s="21">
        <f>VALUE(AG162)</f>
        <v>1</v>
      </c>
      <c r="AH163" s="21">
        <f t="shared" ref="AH163" si="310">VALUE(AH162)</f>
        <v>0</v>
      </c>
      <c r="AI163" s="21">
        <f t="shared" ref="AI163" si="311">VALUE(AI162)</f>
        <v>1</v>
      </c>
      <c r="AJ163" s="21">
        <f t="shared" ref="AJ163" si="312">VALUE(AJ162)</f>
        <v>0</v>
      </c>
      <c r="AM163" s="21">
        <f>VALUE(AM162)</f>
        <v>0</v>
      </c>
      <c r="AN163" s="21">
        <f t="shared" ref="AN163" si="313">VALUE(AN162)</f>
        <v>1</v>
      </c>
      <c r="AO163" s="21">
        <f t="shared" ref="AO163" si="314">VALUE(AO162)</f>
        <v>1</v>
      </c>
      <c r="AP163" s="21">
        <f t="shared" ref="AP163" si="315">VALUE(AP162)</f>
        <v>1</v>
      </c>
      <c r="AS163" s="21">
        <f>VALUE(AS162)</f>
        <v>0</v>
      </c>
      <c r="AT163" s="21">
        <f t="shared" ref="AT163" si="316">VALUE(AT162)</f>
        <v>1</v>
      </c>
      <c r="AU163" s="21">
        <f t="shared" ref="AU163" si="317">VALUE(AU162)</f>
        <v>1</v>
      </c>
      <c r="AV163" s="21">
        <f t="shared" ref="AV163" si="318">VALUE(AV162)</f>
        <v>0</v>
      </c>
    </row>
    <row r="164" spans="1:48" ht="24.95" customHeight="1" x14ac:dyDescent="0.25">
      <c r="A164" s="111" t="s">
        <v>588</v>
      </c>
      <c r="B164" s="111"/>
      <c r="C164" s="111">
        <v>1</v>
      </c>
      <c r="D164" s="76">
        <v>2</v>
      </c>
      <c r="E164" s="111">
        <v>3</v>
      </c>
      <c r="F164" s="76">
        <v>4</v>
      </c>
      <c r="G164" s="111">
        <v>5</v>
      </c>
      <c r="H164" s="76">
        <v>6</v>
      </c>
      <c r="I164" s="111">
        <v>7</v>
      </c>
      <c r="J164" s="76">
        <v>8</v>
      </c>
      <c r="K164" s="111">
        <v>9</v>
      </c>
      <c r="L164" s="76">
        <v>10</v>
      </c>
      <c r="M164" s="111">
        <v>11</v>
      </c>
      <c r="N164" s="76">
        <v>12</v>
      </c>
      <c r="O164" s="111">
        <v>13</v>
      </c>
      <c r="P164" s="76">
        <v>14</v>
      </c>
      <c r="Q164" s="111">
        <v>15</v>
      </c>
      <c r="R164" s="76">
        <v>16</v>
      </c>
      <c r="S164" s="111">
        <v>17</v>
      </c>
      <c r="T164" s="76">
        <v>18</v>
      </c>
      <c r="U164" s="111">
        <v>19</v>
      </c>
      <c r="V164" s="76">
        <v>20</v>
      </c>
      <c r="W164" s="111">
        <v>21</v>
      </c>
      <c r="X164" s="76">
        <v>22</v>
      </c>
      <c r="Y164" s="111">
        <v>23</v>
      </c>
      <c r="Z164" s="76">
        <v>24</v>
      </c>
      <c r="AA164" s="111">
        <v>25</v>
      </c>
      <c r="AB164" s="76">
        <v>26</v>
      </c>
      <c r="AC164" s="111">
        <v>27</v>
      </c>
      <c r="AD164" s="76">
        <v>28</v>
      </c>
      <c r="AE164" s="111">
        <v>29</v>
      </c>
      <c r="AF164" s="76">
        <v>30</v>
      </c>
      <c r="AG164" s="111">
        <v>31</v>
      </c>
      <c r="AH164" s="76">
        <v>32</v>
      </c>
    </row>
    <row r="165" spans="1:48" ht="24.95" customHeight="1" x14ac:dyDescent="0.25">
      <c r="C165" s="108">
        <f>C163</f>
        <v>1</v>
      </c>
      <c r="D165" s="108">
        <f t="shared" ref="D165:F165" si="319">D163</f>
        <v>0</v>
      </c>
      <c r="E165" s="108">
        <f t="shared" si="319"/>
        <v>0</v>
      </c>
      <c r="F165" s="108">
        <f t="shared" si="319"/>
        <v>0</v>
      </c>
      <c r="G165" s="23">
        <f>I163</f>
        <v>0</v>
      </c>
      <c r="H165" s="23">
        <f t="shared" ref="H165" si="320">J163</f>
        <v>1</v>
      </c>
      <c r="I165" s="23">
        <f t="shared" ref="I165" si="321">K163</f>
        <v>0</v>
      </c>
      <c r="J165" s="23">
        <f t="shared" ref="J165" si="322">L163</f>
        <v>1</v>
      </c>
      <c r="K165" s="23">
        <f>O163</f>
        <v>1</v>
      </c>
      <c r="L165" s="23">
        <f t="shared" ref="L165" si="323">P163</f>
        <v>0</v>
      </c>
      <c r="M165" s="23">
        <f t="shared" ref="M165" si="324">Q163</f>
        <v>0</v>
      </c>
      <c r="N165" s="23">
        <f t="shared" ref="N165" si="325">R163</f>
        <v>1</v>
      </c>
      <c r="O165" s="23">
        <f>U163</f>
        <v>1</v>
      </c>
      <c r="P165" s="23">
        <f t="shared" ref="P165" si="326">V163</f>
        <v>0</v>
      </c>
      <c r="Q165" s="23">
        <f t="shared" ref="Q165" si="327">W163</f>
        <v>0</v>
      </c>
      <c r="R165" s="23">
        <f t="shared" ref="R165" si="328">X163</f>
        <v>1</v>
      </c>
      <c r="S165" s="23">
        <f>AA163</f>
        <v>1</v>
      </c>
      <c r="T165" s="23">
        <f t="shared" ref="T165" si="329">AB163</f>
        <v>1</v>
      </c>
      <c r="U165" s="23">
        <f t="shared" ref="U165" si="330">AC163</f>
        <v>0</v>
      </c>
      <c r="V165" s="23">
        <f t="shared" ref="V165" si="331">AD163</f>
        <v>1</v>
      </c>
      <c r="W165" s="23">
        <f>AG163</f>
        <v>1</v>
      </c>
      <c r="X165" s="23">
        <f t="shared" ref="X165" si="332">AH163</f>
        <v>0</v>
      </c>
      <c r="Y165" s="23">
        <f t="shared" ref="Y165" si="333">AI163</f>
        <v>1</v>
      </c>
      <c r="Z165" s="23">
        <f t="shared" ref="Z165" si="334">AJ163</f>
        <v>0</v>
      </c>
      <c r="AA165" s="23">
        <f>AM163</f>
        <v>0</v>
      </c>
      <c r="AB165" s="23">
        <f t="shared" ref="AB165" si="335">AN163</f>
        <v>1</v>
      </c>
      <c r="AC165" s="23">
        <f t="shared" ref="AC165" si="336">AO163</f>
        <v>1</v>
      </c>
      <c r="AD165" s="23">
        <f t="shared" ref="AD165" si="337">AP163</f>
        <v>1</v>
      </c>
      <c r="AE165" s="23">
        <f>AS163</f>
        <v>0</v>
      </c>
      <c r="AF165" s="23">
        <f t="shared" ref="AF165" si="338">AT163</f>
        <v>1</v>
      </c>
      <c r="AG165" s="23">
        <f t="shared" ref="AG165" si="339">AU163</f>
        <v>1</v>
      </c>
      <c r="AH165" s="23">
        <f t="shared" ref="AH165" si="340">AV163</f>
        <v>0</v>
      </c>
    </row>
    <row r="167" spans="1:48" ht="24.95" customHeight="1" x14ac:dyDescent="0.25">
      <c r="A167" s="110" t="s">
        <v>548</v>
      </c>
      <c r="B167" s="110"/>
      <c r="C167" s="109">
        <v>16</v>
      </c>
      <c r="D167" s="110">
        <v>7</v>
      </c>
      <c r="E167" s="110">
        <v>20</v>
      </c>
      <c r="F167" s="110">
        <v>21</v>
      </c>
      <c r="G167" s="110">
        <v>29</v>
      </c>
      <c r="H167" s="110">
        <v>12</v>
      </c>
      <c r="I167" s="110">
        <v>28</v>
      </c>
      <c r="J167" s="110">
        <v>17</v>
      </c>
      <c r="K167" s="110">
        <v>1</v>
      </c>
      <c r="L167" s="110">
        <v>15</v>
      </c>
      <c r="M167" s="110">
        <v>23</v>
      </c>
      <c r="N167" s="110">
        <v>26</v>
      </c>
      <c r="O167" s="110">
        <v>5</v>
      </c>
      <c r="P167" s="110">
        <v>18</v>
      </c>
      <c r="Q167" s="110">
        <v>31</v>
      </c>
      <c r="R167" s="110">
        <v>10</v>
      </c>
      <c r="S167" s="110">
        <v>2</v>
      </c>
      <c r="T167" s="110">
        <v>8</v>
      </c>
      <c r="U167" s="110">
        <v>24</v>
      </c>
      <c r="V167" s="110">
        <v>14</v>
      </c>
      <c r="W167" s="110">
        <v>32</v>
      </c>
      <c r="X167" s="110">
        <v>27</v>
      </c>
      <c r="Y167" s="110">
        <v>3</v>
      </c>
      <c r="Z167" s="110">
        <v>9</v>
      </c>
      <c r="AA167" s="110">
        <v>19</v>
      </c>
      <c r="AB167" s="110">
        <v>13</v>
      </c>
      <c r="AC167" s="110">
        <v>30</v>
      </c>
      <c r="AD167" s="110">
        <v>6</v>
      </c>
      <c r="AE167" s="110">
        <v>22</v>
      </c>
      <c r="AF167" s="110">
        <v>11</v>
      </c>
      <c r="AG167" s="110">
        <v>4</v>
      </c>
      <c r="AH167" s="110">
        <v>25</v>
      </c>
    </row>
    <row r="168" spans="1:48" ht="24.95" customHeight="1" x14ac:dyDescent="0.25">
      <c r="C168" s="103">
        <f>K165</f>
        <v>1</v>
      </c>
      <c r="D168" s="103">
        <f>S165</f>
        <v>1</v>
      </c>
      <c r="E168" s="103">
        <f>Y165</f>
        <v>1</v>
      </c>
      <c r="F168" s="112">
        <f>AG165</f>
        <v>1</v>
      </c>
      <c r="G168" s="103">
        <f>O165</f>
        <v>1</v>
      </c>
      <c r="H168" s="103">
        <f>AD165</f>
        <v>1</v>
      </c>
      <c r="I168" s="103">
        <f>D165</f>
        <v>0</v>
      </c>
      <c r="J168" s="103">
        <f>T165</f>
        <v>1</v>
      </c>
      <c r="K168" s="103">
        <f>Z165</f>
        <v>0</v>
      </c>
      <c r="L168" s="103">
        <f>R165</f>
        <v>1</v>
      </c>
      <c r="M168" s="103">
        <f>AF165</f>
        <v>1</v>
      </c>
      <c r="N168" s="103">
        <f>H165</f>
        <v>1</v>
      </c>
      <c r="O168" s="103">
        <f>AB165</f>
        <v>1</v>
      </c>
      <c r="P168" s="103">
        <f>V165</f>
        <v>1</v>
      </c>
      <c r="Q168" s="103">
        <f>L165</f>
        <v>0</v>
      </c>
      <c r="R168" s="103">
        <f>C165</f>
        <v>1</v>
      </c>
      <c r="S168" s="103">
        <f>J165</f>
        <v>1</v>
      </c>
      <c r="T168" s="103">
        <f>P165</f>
        <v>0</v>
      </c>
      <c r="U168" s="103">
        <f>AA165</f>
        <v>0</v>
      </c>
      <c r="V168" s="103">
        <f>E165</f>
        <v>0</v>
      </c>
      <c r="W168" s="103">
        <f>F165</f>
        <v>0</v>
      </c>
      <c r="X168" s="103">
        <f>AE165</f>
        <v>0</v>
      </c>
      <c r="Y168" s="103">
        <f>M165</f>
        <v>0</v>
      </c>
      <c r="Z168" s="103">
        <f>U165</f>
        <v>0</v>
      </c>
      <c r="AA168" s="103">
        <f>AH165</f>
        <v>0</v>
      </c>
      <c r="AB168" s="103">
        <f>N165</f>
        <v>1</v>
      </c>
      <c r="AC168" s="103">
        <f>X165</f>
        <v>0</v>
      </c>
      <c r="AD168" s="103">
        <f>I165</f>
        <v>0</v>
      </c>
      <c r="AE168" s="103">
        <f>G165</f>
        <v>0</v>
      </c>
      <c r="AF168" s="103">
        <f>AC165</f>
        <v>1</v>
      </c>
      <c r="AG168" s="103">
        <f>Q165</f>
        <v>0</v>
      </c>
      <c r="AH168" s="103">
        <f>W165</f>
        <v>1</v>
      </c>
    </row>
    <row r="169" spans="1:48" ht="24.95" customHeight="1" x14ac:dyDescent="0.25">
      <c r="C169" s="130">
        <v>1</v>
      </c>
      <c r="D169" s="131">
        <v>2</v>
      </c>
      <c r="E169" s="130">
        <v>3</v>
      </c>
      <c r="F169" s="131">
        <v>4</v>
      </c>
      <c r="G169" s="130">
        <v>5</v>
      </c>
      <c r="H169" s="131">
        <v>6</v>
      </c>
      <c r="I169" s="130">
        <v>7</v>
      </c>
      <c r="J169" s="131">
        <v>8</v>
      </c>
      <c r="K169" s="130">
        <v>9</v>
      </c>
      <c r="L169" s="131">
        <v>10</v>
      </c>
      <c r="M169" s="130">
        <v>11</v>
      </c>
      <c r="N169" s="131">
        <v>12</v>
      </c>
      <c r="O169" s="130">
        <v>13</v>
      </c>
      <c r="P169" s="131">
        <v>14</v>
      </c>
      <c r="Q169" s="130">
        <v>15</v>
      </c>
      <c r="R169" s="131">
        <v>16</v>
      </c>
      <c r="S169" s="130">
        <v>17</v>
      </c>
      <c r="T169" s="131">
        <v>18</v>
      </c>
      <c r="U169" s="130">
        <v>19</v>
      </c>
      <c r="V169" s="131">
        <v>20</v>
      </c>
      <c r="W169" s="130">
        <v>21</v>
      </c>
      <c r="X169" s="131">
        <v>22</v>
      </c>
      <c r="Y169" s="130">
        <v>23</v>
      </c>
      <c r="Z169" s="131">
        <v>24</v>
      </c>
      <c r="AA169" s="130">
        <v>25</v>
      </c>
      <c r="AB169" s="131">
        <v>26</v>
      </c>
      <c r="AC169" s="130">
        <v>27</v>
      </c>
      <c r="AD169" s="131">
        <v>28</v>
      </c>
      <c r="AE169" s="130">
        <v>29</v>
      </c>
      <c r="AF169" s="131">
        <v>30</v>
      </c>
      <c r="AG169" s="130">
        <v>31</v>
      </c>
      <c r="AH169" s="131">
        <v>32</v>
      </c>
    </row>
    <row r="173" spans="1:48" ht="24.95" customHeight="1" x14ac:dyDescent="0.25">
      <c r="A173" s="114" t="s">
        <v>594</v>
      </c>
      <c r="B173" s="114"/>
      <c r="C173" s="114"/>
      <c r="D173" s="68">
        <v>1</v>
      </c>
      <c r="E173" s="68">
        <v>2</v>
      </c>
      <c r="F173" s="68">
        <v>3</v>
      </c>
      <c r="G173" s="68">
        <v>4</v>
      </c>
      <c r="H173" s="68">
        <v>5</v>
      </c>
      <c r="I173" s="68">
        <v>6</v>
      </c>
      <c r="J173" s="68">
        <v>7</v>
      </c>
      <c r="K173" s="68">
        <v>8</v>
      </c>
      <c r="L173" s="68">
        <v>9</v>
      </c>
      <c r="M173" s="68">
        <v>10</v>
      </c>
      <c r="N173" s="68">
        <v>11</v>
      </c>
      <c r="O173" s="68">
        <v>12</v>
      </c>
      <c r="P173" s="68">
        <v>13</v>
      </c>
      <c r="Q173" s="68">
        <v>14</v>
      </c>
      <c r="R173" s="68">
        <v>15</v>
      </c>
      <c r="S173" s="68">
        <v>16</v>
      </c>
      <c r="T173" s="68">
        <v>17</v>
      </c>
      <c r="U173" s="68">
        <v>18</v>
      </c>
      <c r="V173" s="68">
        <v>19</v>
      </c>
      <c r="W173" s="68">
        <v>20</v>
      </c>
      <c r="X173" s="68">
        <v>21</v>
      </c>
      <c r="Y173" s="68">
        <v>22</v>
      </c>
      <c r="Z173" s="68">
        <v>23</v>
      </c>
      <c r="AA173" s="68">
        <v>24</v>
      </c>
      <c r="AB173" s="68">
        <v>25</v>
      </c>
      <c r="AC173" s="68">
        <v>26</v>
      </c>
      <c r="AD173" s="68">
        <v>27</v>
      </c>
      <c r="AE173" s="68">
        <v>28</v>
      </c>
      <c r="AF173" s="68">
        <v>29</v>
      </c>
      <c r="AG173" s="68">
        <v>30</v>
      </c>
      <c r="AH173" s="68">
        <v>31</v>
      </c>
      <c r="AI173" s="68">
        <v>32</v>
      </c>
    </row>
    <row r="174" spans="1:48" ht="24.95" customHeight="1" x14ac:dyDescent="0.25">
      <c r="A174" s="64" t="s">
        <v>549</v>
      </c>
      <c r="D174" s="68">
        <f>C132</f>
        <v>1</v>
      </c>
      <c r="E174" s="68">
        <f t="shared" ref="E174" si="341">D132</f>
        <v>1</v>
      </c>
      <c r="F174" s="68">
        <f t="shared" ref="F174" si="342">E132</f>
        <v>0</v>
      </c>
      <c r="G174" s="68">
        <f t="shared" ref="G174" si="343">F132</f>
        <v>1</v>
      </c>
      <c r="H174" s="68">
        <f t="shared" ref="H174" si="344">G132</f>
        <v>0</v>
      </c>
      <c r="I174" s="68">
        <f t="shared" ref="I174" si="345">H132</f>
        <v>1</v>
      </c>
      <c r="J174" s="68">
        <f t="shared" ref="J174" si="346">I132</f>
        <v>0</v>
      </c>
      <c r="K174" s="68">
        <f t="shared" ref="K174" si="347">J132</f>
        <v>0</v>
      </c>
      <c r="L174" s="68">
        <f t="shared" ref="L174" si="348">K132</f>
        <v>1</v>
      </c>
      <c r="M174" s="68">
        <f t="shared" ref="M174" si="349">L132</f>
        <v>1</v>
      </c>
      <c r="N174" s="68">
        <f t="shared" ref="N174" si="350">M132</f>
        <v>0</v>
      </c>
      <c r="O174" s="68">
        <f t="shared" ref="O174" si="351">N132</f>
        <v>1</v>
      </c>
      <c r="P174" s="68">
        <f t="shared" ref="P174" si="352">O132</f>
        <v>0</v>
      </c>
      <c r="Q174" s="68">
        <f t="shared" ref="Q174" si="353">P132</f>
        <v>1</v>
      </c>
      <c r="R174" s="68">
        <f t="shared" ref="R174" si="354">Q132</f>
        <v>1</v>
      </c>
      <c r="S174" s="68">
        <f t="shared" ref="S174" si="355">R132</f>
        <v>0</v>
      </c>
      <c r="T174" s="68">
        <f t="shared" ref="T174" si="356">S132</f>
        <v>0</v>
      </c>
      <c r="U174" s="68">
        <f t="shared" ref="U174" si="357">T132</f>
        <v>0</v>
      </c>
      <c r="V174" s="68">
        <f t="shared" ref="V174" si="358">U132</f>
        <v>1</v>
      </c>
      <c r="W174" s="68">
        <f t="shared" ref="W174" si="359">V132</f>
        <v>1</v>
      </c>
      <c r="X174" s="68">
        <f t="shared" ref="X174" si="360">W132</f>
        <v>1</v>
      </c>
      <c r="Y174" s="68">
        <f t="shared" ref="Y174" si="361">X132</f>
        <v>1</v>
      </c>
      <c r="Z174" s="68">
        <f t="shared" ref="Z174" si="362">Y132</f>
        <v>1</v>
      </c>
      <c r="AA174" s="68">
        <f t="shared" ref="AA174" si="363">Z132</f>
        <v>1</v>
      </c>
      <c r="AB174" s="68">
        <f t="shared" ref="AB174" si="364">AA132</f>
        <v>0</v>
      </c>
      <c r="AC174" s="68">
        <f t="shared" ref="AC174" si="365">AB132</f>
        <v>0</v>
      </c>
      <c r="AD174" s="68">
        <f t="shared" ref="AD174" si="366">AC132</f>
        <v>0</v>
      </c>
      <c r="AE174" s="68">
        <f t="shared" ref="AE174" si="367">AD132</f>
        <v>0</v>
      </c>
      <c r="AF174" s="68">
        <f t="shared" ref="AF174" si="368">AE132</f>
        <v>0</v>
      </c>
      <c r="AG174" s="68">
        <f t="shared" ref="AG174" si="369">AF132</f>
        <v>1</v>
      </c>
      <c r="AH174" s="68">
        <f t="shared" ref="AH174" si="370">AG132</f>
        <v>0</v>
      </c>
      <c r="AI174" s="68">
        <f t="shared" ref="AI174" si="371">AH132</f>
        <v>0</v>
      </c>
    </row>
    <row r="176" spans="1:48" ht="24.95" customHeight="1" x14ac:dyDescent="0.25">
      <c r="A176" s="114" t="s">
        <v>595</v>
      </c>
      <c r="B176" s="114"/>
      <c r="C176" s="114"/>
      <c r="D176" s="70">
        <v>1</v>
      </c>
      <c r="E176" s="70">
        <v>2</v>
      </c>
      <c r="F176" s="70">
        <v>3</v>
      </c>
      <c r="G176" s="70">
        <v>4</v>
      </c>
      <c r="H176" s="70">
        <v>5</v>
      </c>
      <c r="I176" s="70">
        <v>6</v>
      </c>
      <c r="J176" s="70">
        <v>7</v>
      </c>
      <c r="K176" s="70">
        <v>8</v>
      </c>
      <c r="L176" s="70">
        <v>9</v>
      </c>
      <c r="M176" s="70">
        <v>10</v>
      </c>
      <c r="N176" s="70">
        <v>11</v>
      </c>
      <c r="O176" s="70">
        <v>12</v>
      </c>
      <c r="P176" s="70">
        <v>13</v>
      </c>
      <c r="Q176" s="70">
        <v>14</v>
      </c>
      <c r="R176" s="70">
        <v>15</v>
      </c>
      <c r="S176" s="70">
        <v>16</v>
      </c>
      <c r="T176" s="70">
        <v>17</v>
      </c>
      <c r="U176" s="70">
        <v>18</v>
      </c>
      <c r="V176" s="70">
        <v>19</v>
      </c>
      <c r="W176" s="70">
        <v>20</v>
      </c>
      <c r="X176" s="70">
        <v>21</v>
      </c>
      <c r="Y176" s="70">
        <v>22</v>
      </c>
      <c r="Z176" s="70">
        <v>23</v>
      </c>
      <c r="AA176" s="70">
        <v>24</v>
      </c>
      <c r="AB176" s="70">
        <v>25</v>
      </c>
      <c r="AC176" s="70">
        <v>26</v>
      </c>
      <c r="AD176" s="70">
        <v>27</v>
      </c>
      <c r="AE176" s="70">
        <v>28</v>
      </c>
      <c r="AF176" s="70">
        <v>29</v>
      </c>
      <c r="AG176" s="70">
        <v>30</v>
      </c>
      <c r="AH176" s="70">
        <v>31</v>
      </c>
      <c r="AI176" s="70">
        <v>32</v>
      </c>
    </row>
    <row r="177" spans="1:51" ht="24.95" customHeight="1" x14ac:dyDescent="0.25">
      <c r="A177" s="64" t="s">
        <v>551</v>
      </c>
      <c r="D177" s="70">
        <f>--_xlfn.XOR(C168,D125)</f>
        <v>1</v>
      </c>
      <c r="E177" s="70">
        <f t="shared" ref="E177:AI177" si="372">--_xlfn.XOR(D168,E125)</f>
        <v>0</v>
      </c>
      <c r="F177" s="70">
        <f t="shared" si="372"/>
        <v>1</v>
      </c>
      <c r="G177" s="70">
        <f t="shared" si="372"/>
        <v>1</v>
      </c>
      <c r="H177" s="70">
        <f t="shared" si="372"/>
        <v>1</v>
      </c>
      <c r="I177" s="70">
        <f t="shared" si="372"/>
        <v>1</v>
      </c>
      <c r="J177" s="70">
        <f t="shared" si="372"/>
        <v>0</v>
      </c>
      <c r="K177" s="70">
        <f t="shared" si="372"/>
        <v>0</v>
      </c>
      <c r="L177" s="70">
        <f t="shared" si="372"/>
        <v>0</v>
      </c>
      <c r="M177" s="70">
        <f t="shared" si="372"/>
        <v>1</v>
      </c>
      <c r="N177" s="70">
        <f t="shared" si="372"/>
        <v>1</v>
      </c>
      <c r="O177" s="70">
        <f t="shared" si="372"/>
        <v>1</v>
      </c>
      <c r="P177" s="70">
        <f t="shared" si="372"/>
        <v>1</v>
      </c>
      <c r="Q177" s="70">
        <f t="shared" si="372"/>
        <v>1</v>
      </c>
      <c r="R177" s="70">
        <f t="shared" si="372"/>
        <v>1</v>
      </c>
      <c r="S177" s="70">
        <f t="shared" si="372"/>
        <v>1</v>
      </c>
      <c r="T177" s="70">
        <f t="shared" si="372"/>
        <v>1</v>
      </c>
      <c r="U177" s="70">
        <f t="shared" si="372"/>
        <v>0</v>
      </c>
      <c r="V177" s="70">
        <f t="shared" si="372"/>
        <v>0</v>
      </c>
      <c r="W177" s="70">
        <f t="shared" si="372"/>
        <v>0</v>
      </c>
      <c r="X177" s="70">
        <f t="shared" si="372"/>
        <v>1</v>
      </c>
      <c r="Y177" s="70">
        <f t="shared" si="372"/>
        <v>0</v>
      </c>
      <c r="Z177" s="70">
        <f t="shared" si="372"/>
        <v>0</v>
      </c>
      <c r="AA177" s="70">
        <f t="shared" si="372"/>
        <v>1</v>
      </c>
      <c r="AB177" s="70">
        <f t="shared" si="372"/>
        <v>1</v>
      </c>
      <c r="AC177" s="70">
        <f t="shared" si="372"/>
        <v>1</v>
      </c>
      <c r="AD177" s="70">
        <f t="shared" si="372"/>
        <v>0</v>
      </c>
      <c r="AE177" s="70">
        <f t="shared" si="372"/>
        <v>1</v>
      </c>
      <c r="AF177" s="70">
        <f t="shared" si="372"/>
        <v>1</v>
      </c>
      <c r="AG177" s="70">
        <f t="shared" si="372"/>
        <v>0</v>
      </c>
      <c r="AH177" s="70">
        <f t="shared" si="372"/>
        <v>0</v>
      </c>
      <c r="AI177" s="70">
        <f t="shared" si="372"/>
        <v>0</v>
      </c>
    </row>
    <row r="178" spans="1:51" ht="24.95" customHeight="1" x14ac:dyDescent="0.25">
      <c r="A178" s="132" t="s">
        <v>596</v>
      </c>
    </row>
    <row r="179" spans="1:51" s="132" customFormat="1" ht="24.95" customHeight="1" x14ac:dyDescent="0.25">
      <c r="B179" s="133"/>
      <c r="C179" s="134"/>
    </row>
    <row r="180" spans="1:51" ht="24.95" customHeight="1" x14ac:dyDescent="0.25">
      <c r="B180" s="21"/>
      <c r="C180" s="70">
        <v>1</v>
      </c>
      <c r="D180" s="70">
        <v>2</v>
      </c>
      <c r="E180" s="70">
        <v>3</v>
      </c>
      <c r="F180" s="70">
        <v>4</v>
      </c>
      <c r="G180" s="70">
        <v>5</v>
      </c>
      <c r="H180" s="70">
        <v>6</v>
      </c>
      <c r="I180" s="70">
        <v>7</v>
      </c>
      <c r="J180" s="70">
        <v>8</v>
      </c>
      <c r="K180" s="70">
        <v>9</v>
      </c>
      <c r="L180" s="70">
        <v>10</v>
      </c>
      <c r="M180" s="70">
        <v>11</v>
      </c>
      <c r="N180" s="70">
        <v>12</v>
      </c>
      <c r="O180" s="70">
        <v>13</v>
      </c>
      <c r="P180" s="70">
        <v>14</v>
      </c>
      <c r="Q180" s="70">
        <v>15</v>
      </c>
      <c r="R180" s="70">
        <v>16</v>
      </c>
      <c r="S180" s="70">
        <v>17</v>
      </c>
      <c r="T180" s="70">
        <v>18</v>
      </c>
      <c r="U180" s="70">
        <v>19</v>
      </c>
      <c r="V180" s="70">
        <v>20</v>
      </c>
      <c r="W180" s="70">
        <v>21</v>
      </c>
      <c r="X180" s="70">
        <v>22</v>
      </c>
      <c r="Y180" s="70">
        <v>23</v>
      </c>
      <c r="Z180" s="70">
        <v>24</v>
      </c>
      <c r="AA180" s="70">
        <v>25</v>
      </c>
      <c r="AB180" s="70">
        <v>26</v>
      </c>
      <c r="AC180" s="70">
        <v>27</v>
      </c>
      <c r="AD180" s="70">
        <v>28</v>
      </c>
      <c r="AE180" s="70">
        <v>29</v>
      </c>
      <c r="AF180" s="70">
        <v>30</v>
      </c>
      <c r="AG180" s="70">
        <v>31</v>
      </c>
      <c r="AH180" s="70">
        <v>32</v>
      </c>
    </row>
    <row r="181" spans="1:51" ht="24.95" customHeight="1" x14ac:dyDescent="0.25">
      <c r="A181" s="114" t="s">
        <v>595</v>
      </c>
      <c r="B181" s="114"/>
      <c r="C181" s="70">
        <f>D177</f>
        <v>1</v>
      </c>
      <c r="D181" s="70">
        <f t="shared" ref="D181:AH181" si="373">E177</f>
        <v>0</v>
      </c>
      <c r="E181" s="70">
        <f t="shared" si="373"/>
        <v>1</v>
      </c>
      <c r="F181" s="70">
        <f t="shared" si="373"/>
        <v>1</v>
      </c>
      <c r="G181" s="70">
        <f t="shared" si="373"/>
        <v>1</v>
      </c>
      <c r="H181" s="70">
        <f t="shared" si="373"/>
        <v>1</v>
      </c>
      <c r="I181" s="70">
        <f t="shared" si="373"/>
        <v>0</v>
      </c>
      <c r="J181" s="70">
        <f t="shared" si="373"/>
        <v>0</v>
      </c>
      <c r="K181" s="70">
        <f t="shared" si="373"/>
        <v>0</v>
      </c>
      <c r="L181" s="70">
        <f t="shared" si="373"/>
        <v>1</v>
      </c>
      <c r="M181" s="70">
        <f t="shared" si="373"/>
        <v>1</v>
      </c>
      <c r="N181" s="70">
        <f t="shared" si="373"/>
        <v>1</v>
      </c>
      <c r="O181" s="70">
        <f t="shared" si="373"/>
        <v>1</v>
      </c>
      <c r="P181" s="70">
        <f t="shared" si="373"/>
        <v>1</v>
      </c>
      <c r="Q181" s="70">
        <f t="shared" si="373"/>
        <v>1</v>
      </c>
      <c r="R181" s="70">
        <f t="shared" si="373"/>
        <v>1</v>
      </c>
      <c r="S181" s="70">
        <f t="shared" si="373"/>
        <v>1</v>
      </c>
      <c r="T181" s="70">
        <f t="shared" si="373"/>
        <v>0</v>
      </c>
      <c r="U181" s="70">
        <f t="shared" si="373"/>
        <v>0</v>
      </c>
      <c r="V181" s="70">
        <f t="shared" si="373"/>
        <v>0</v>
      </c>
      <c r="W181" s="70">
        <f t="shared" si="373"/>
        <v>1</v>
      </c>
      <c r="X181" s="70">
        <f t="shared" si="373"/>
        <v>0</v>
      </c>
      <c r="Y181" s="70">
        <f t="shared" si="373"/>
        <v>0</v>
      </c>
      <c r="Z181" s="70">
        <f t="shared" si="373"/>
        <v>1</v>
      </c>
      <c r="AA181" s="70">
        <f t="shared" si="373"/>
        <v>1</v>
      </c>
      <c r="AB181" s="70">
        <f t="shared" si="373"/>
        <v>1</v>
      </c>
      <c r="AC181" s="70">
        <f t="shared" si="373"/>
        <v>0</v>
      </c>
      <c r="AD181" s="70">
        <f t="shared" si="373"/>
        <v>1</v>
      </c>
      <c r="AE181" s="70">
        <f t="shared" si="373"/>
        <v>1</v>
      </c>
      <c r="AF181" s="70">
        <f t="shared" si="373"/>
        <v>0</v>
      </c>
      <c r="AG181" s="70">
        <f t="shared" si="373"/>
        <v>0</v>
      </c>
      <c r="AH181" s="70">
        <f t="shared" si="373"/>
        <v>0</v>
      </c>
      <c r="AI181" s="135"/>
    </row>
    <row r="183" spans="1:51" ht="24.95" customHeight="1" x14ac:dyDescent="0.25">
      <c r="A183" s="132"/>
      <c r="B183" s="133"/>
      <c r="C183" s="134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  <c r="AG183" s="132"/>
      <c r="AH183" s="132"/>
      <c r="AI183" s="132"/>
      <c r="AJ183" s="132"/>
      <c r="AK183" s="132"/>
      <c r="AL183" s="132"/>
      <c r="AM183" s="132"/>
      <c r="AN183" s="132"/>
      <c r="AO183" s="132"/>
      <c r="AP183" s="132"/>
      <c r="AQ183" s="132"/>
      <c r="AR183" s="132"/>
      <c r="AS183" s="132"/>
      <c r="AT183" s="132"/>
      <c r="AU183" s="132"/>
      <c r="AV183" s="132"/>
      <c r="AW183" s="132"/>
      <c r="AX183" s="132"/>
      <c r="AY183" s="132"/>
    </row>
    <row r="185" spans="1:51" ht="24.95" customHeight="1" x14ac:dyDescent="0.25">
      <c r="A185" s="118" t="s">
        <v>532</v>
      </c>
      <c r="B185" s="118"/>
      <c r="C185" s="75">
        <v>32</v>
      </c>
      <c r="D185" s="74">
        <v>1</v>
      </c>
      <c r="E185" s="74">
        <v>2</v>
      </c>
      <c r="F185" s="74">
        <v>3</v>
      </c>
      <c r="G185" s="74">
        <v>4</v>
      </c>
      <c r="H185" s="73">
        <v>5</v>
      </c>
      <c r="I185" s="122"/>
      <c r="J185" s="118">
        <f>AH181</f>
        <v>0</v>
      </c>
      <c r="K185" s="118">
        <f>C181</f>
        <v>1</v>
      </c>
      <c r="L185" s="118">
        <f>D181</f>
        <v>0</v>
      </c>
      <c r="M185" s="118">
        <f>E181</f>
        <v>1</v>
      </c>
      <c r="N185" s="69">
        <f>F181</f>
        <v>1</v>
      </c>
      <c r="O185" s="119">
        <f>G181</f>
        <v>1</v>
      </c>
      <c r="P185" s="122"/>
    </row>
    <row r="186" spans="1:51" ht="24.95" customHeight="1" x14ac:dyDescent="0.25">
      <c r="C186" s="75">
        <v>4</v>
      </c>
      <c r="D186" s="74">
        <v>5</v>
      </c>
      <c r="E186" s="74">
        <v>6</v>
      </c>
      <c r="F186" s="74">
        <v>7</v>
      </c>
      <c r="G186" s="74">
        <v>8</v>
      </c>
      <c r="H186" s="73">
        <v>9</v>
      </c>
      <c r="I186" s="122"/>
      <c r="J186" s="118">
        <f t="shared" ref="J186" si="374">F181</f>
        <v>1</v>
      </c>
      <c r="K186" s="69">
        <f t="shared" ref="K186" si="375">G181</f>
        <v>1</v>
      </c>
      <c r="L186" s="69">
        <f t="shared" ref="L186" si="376">H181</f>
        <v>1</v>
      </c>
      <c r="M186" s="69">
        <f t="shared" ref="M186" si="377">I181</f>
        <v>0</v>
      </c>
      <c r="N186" s="69">
        <f t="shared" ref="N186" si="378">J181</f>
        <v>0</v>
      </c>
      <c r="O186" s="119">
        <f t="shared" ref="O186" si="379">K181</f>
        <v>0</v>
      </c>
      <c r="P186" s="122"/>
    </row>
    <row r="187" spans="1:51" ht="24.95" customHeight="1" x14ac:dyDescent="0.25">
      <c r="C187" s="75">
        <v>8</v>
      </c>
      <c r="D187" s="74">
        <v>9</v>
      </c>
      <c r="E187" s="74">
        <v>10</v>
      </c>
      <c r="F187" s="74">
        <v>11</v>
      </c>
      <c r="G187" s="74">
        <v>12</v>
      </c>
      <c r="H187" s="73">
        <v>13</v>
      </c>
      <c r="I187" s="123"/>
      <c r="J187" s="120">
        <f t="shared" ref="J187:O187" si="380">J181</f>
        <v>0</v>
      </c>
      <c r="K187" s="69">
        <f t="shared" si="380"/>
        <v>0</v>
      </c>
      <c r="L187" s="69">
        <f t="shared" si="380"/>
        <v>1</v>
      </c>
      <c r="M187" s="69">
        <f t="shared" si="380"/>
        <v>1</v>
      </c>
      <c r="N187" s="69">
        <f t="shared" si="380"/>
        <v>1</v>
      </c>
      <c r="O187" s="119">
        <f t="shared" si="380"/>
        <v>1</v>
      </c>
      <c r="P187" s="123"/>
    </row>
    <row r="188" spans="1:51" ht="24.95" customHeight="1" x14ac:dyDescent="0.25">
      <c r="C188" s="75">
        <v>12</v>
      </c>
      <c r="D188" s="74">
        <v>13</v>
      </c>
      <c r="E188" s="74">
        <v>14</v>
      </c>
      <c r="F188" s="74">
        <v>15</v>
      </c>
      <c r="G188" s="74">
        <v>16</v>
      </c>
      <c r="H188" s="73">
        <v>17</v>
      </c>
      <c r="I188" s="122"/>
      <c r="J188" s="118">
        <f t="shared" ref="J188" si="381">N181</f>
        <v>1</v>
      </c>
      <c r="K188" s="69">
        <f t="shared" ref="K188" si="382">O181</f>
        <v>1</v>
      </c>
      <c r="L188" s="69">
        <f t="shared" ref="L188" si="383">P181</f>
        <v>1</v>
      </c>
      <c r="M188" s="69">
        <f t="shared" ref="M188" si="384">Q181</f>
        <v>1</v>
      </c>
      <c r="N188" s="69">
        <f t="shared" ref="N188" si="385">R181</f>
        <v>1</v>
      </c>
      <c r="O188" s="119">
        <f t="shared" ref="O188" si="386">S181</f>
        <v>1</v>
      </c>
      <c r="P188" s="122"/>
    </row>
    <row r="189" spans="1:51" ht="24.95" customHeight="1" x14ac:dyDescent="0.25">
      <c r="C189" s="75">
        <v>16</v>
      </c>
      <c r="D189" s="74">
        <v>17</v>
      </c>
      <c r="E189" s="74">
        <v>18</v>
      </c>
      <c r="F189" s="74">
        <v>19</v>
      </c>
      <c r="G189" s="74">
        <v>20</v>
      </c>
      <c r="H189" s="73">
        <v>21</v>
      </c>
      <c r="I189" s="122"/>
      <c r="J189" s="118">
        <f t="shared" ref="J189" si="387">R181</f>
        <v>1</v>
      </c>
      <c r="K189" s="69">
        <f t="shared" ref="K189" si="388">S181</f>
        <v>1</v>
      </c>
      <c r="L189" s="69">
        <f t="shared" ref="L189" si="389">T181</f>
        <v>0</v>
      </c>
      <c r="M189" s="69">
        <f t="shared" ref="M189" si="390">U181</f>
        <v>0</v>
      </c>
      <c r="N189" s="69">
        <f t="shared" ref="N189" si="391">V181</f>
        <v>0</v>
      </c>
      <c r="O189" s="119">
        <f t="shared" ref="O189" si="392">W181</f>
        <v>1</v>
      </c>
      <c r="P189" s="122"/>
    </row>
    <row r="190" spans="1:51" ht="24.95" customHeight="1" x14ac:dyDescent="0.25">
      <c r="C190" s="75">
        <v>20</v>
      </c>
      <c r="D190" s="74">
        <v>21</v>
      </c>
      <c r="E190" s="74">
        <v>22</v>
      </c>
      <c r="F190" s="74">
        <v>23</v>
      </c>
      <c r="G190" s="74">
        <v>24</v>
      </c>
      <c r="H190" s="73">
        <v>25</v>
      </c>
      <c r="I190" s="122"/>
      <c r="J190" s="118">
        <f t="shared" ref="J190" si="393">V181</f>
        <v>0</v>
      </c>
      <c r="K190" s="69">
        <f t="shared" ref="K190" si="394">W181</f>
        <v>1</v>
      </c>
      <c r="L190" s="69">
        <f t="shared" ref="L190" si="395">X181</f>
        <v>0</v>
      </c>
      <c r="M190" s="69">
        <f t="shared" ref="M190" si="396">Y181</f>
        <v>0</v>
      </c>
      <c r="N190" s="69">
        <f t="shared" ref="N190" si="397">Z181</f>
        <v>1</v>
      </c>
      <c r="O190" s="119">
        <f t="shared" ref="O190" si="398">AA181</f>
        <v>1</v>
      </c>
      <c r="P190" s="122"/>
    </row>
    <row r="191" spans="1:51" ht="24.95" customHeight="1" x14ac:dyDescent="0.25">
      <c r="C191" s="75">
        <v>24</v>
      </c>
      <c r="D191" s="74">
        <v>25</v>
      </c>
      <c r="E191" s="74">
        <v>26</v>
      </c>
      <c r="F191" s="74">
        <v>27</v>
      </c>
      <c r="G191" s="74">
        <v>28</v>
      </c>
      <c r="H191" s="73">
        <v>29</v>
      </c>
      <c r="I191" s="122"/>
      <c r="J191" s="118">
        <f t="shared" ref="J191" si="399">Z181</f>
        <v>1</v>
      </c>
      <c r="K191" s="69">
        <f t="shared" ref="K191" si="400">AA181</f>
        <v>1</v>
      </c>
      <c r="L191" s="69">
        <f t="shared" ref="L191" si="401">AB181</f>
        <v>1</v>
      </c>
      <c r="M191" s="69">
        <f t="shared" ref="M191" si="402">AC181</f>
        <v>0</v>
      </c>
      <c r="N191" s="69">
        <f t="shared" ref="N191" si="403">AD181</f>
        <v>1</v>
      </c>
      <c r="O191" s="119">
        <f t="shared" ref="O191" si="404">AE181</f>
        <v>1</v>
      </c>
      <c r="P191" s="122"/>
    </row>
    <row r="192" spans="1:51" ht="24.95" customHeight="1" x14ac:dyDescent="0.25">
      <c r="C192" s="75">
        <v>28</v>
      </c>
      <c r="D192" s="74">
        <v>29</v>
      </c>
      <c r="E192" s="74">
        <v>30</v>
      </c>
      <c r="F192" s="74">
        <v>31</v>
      </c>
      <c r="G192" s="74">
        <v>32</v>
      </c>
      <c r="H192" s="73">
        <v>1</v>
      </c>
      <c r="I192" s="122"/>
      <c r="J192" s="70">
        <f>AD181</f>
        <v>1</v>
      </c>
      <c r="K192" s="71">
        <f>AE181</f>
        <v>1</v>
      </c>
      <c r="L192" s="71">
        <f>AF181</f>
        <v>0</v>
      </c>
      <c r="M192" s="71">
        <f>AG181</f>
        <v>0</v>
      </c>
      <c r="N192" s="71">
        <f>AH181</f>
        <v>0</v>
      </c>
      <c r="O192" s="121">
        <f>C181</f>
        <v>1</v>
      </c>
      <c r="P192" s="122"/>
    </row>
    <row r="195" spans="1:55" ht="24.95" customHeight="1" x14ac:dyDescent="0.25">
      <c r="A195" s="124" t="s">
        <v>533</v>
      </c>
      <c r="B195" s="124"/>
      <c r="C195" s="125">
        <v>1</v>
      </c>
      <c r="D195" s="126">
        <v>2</v>
      </c>
      <c r="E195" s="125">
        <v>3</v>
      </c>
      <c r="F195" s="126">
        <v>4</v>
      </c>
      <c r="G195" s="125">
        <v>5</v>
      </c>
      <c r="H195" s="126">
        <v>6</v>
      </c>
      <c r="I195" s="125">
        <v>7</v>
      </c>
      <c r="J195" s="126">
        <v>8</v>
      </c>
      <c r="K195" s="125">
        <v>9</v>
      </c>
      <c r="L195" s="126">
        <v>10</v>
      </c>
      <c r="M195" s="125">
        <v>11</v>
      </c>
      <c r="N195" s="126">
        <v>12</v>
      </c>
      <c r="O195" s="125">
        <v>13</v>
      </c>
      <c r="P195" s="126">
        <v>14</v>
      </c>
      <c r="Q195" s="125">
        <v>15</v>
      </c>
      <c r="R195" s="126">
        <v>16</v>
      </c>
      <c r="S195" s="125">
        <v>17</v>
      </c>
      <c r="T195" s="126">
        <v>18</v>
      </c>
      <c r="U195" s="125">
        <v>19</v>
      </c>
      <c r="V195" s="126">
        <v>20</v>
      </c>
      <c r="W195" s="125">
        <v>21</v>
      </c>
      <c r="X195" s="126">
        <v>22</v>
      </c>
      <c r="Y195" s="125">
        <v>23</v>
      </c>
      <c r="Z195" s="126">
        <v>24</v>
      </c>
      <c r="AA195" s="125">
        <v>25</v>
      </c>
      <c r="AB195" s="126">
        <v>26</v>
      </c>
      <c r="AC195" s="125">
        <v>27</v>
      </c>
      <c r="AD195" s="126">
        <v>28</v>
      </c>
      <c r="AE195" s="125">
        <v>29</v>
      </c>
      <c r="AF195" s="126">
        <v>30</v>
      </c>
      <c r="AG195" s="125">
        <v>31</v>
      </c>
      <c r="AH195" s="126">
        <v>32</v>
      </c>
      <c r="AI195" s="125">
        <v>33</v>
      </c>
      <c r="AJ195" s="126">
        <v>34</v>
      </c>
      <c r="AK195" s="125">
        <v>35</v>
      </c>
      <c r="AL195" s="126">
        <v>36</v>
      </c>
      <c r="AM195" s="125">
        <v>37</v>
      </c>
      <c r="AN195" s="126">
        <v>38</v>
      </c>
      <c r="AO195" s="125">
        <v>39</v>
      </c>
      <c r="AP195" s="126">
        <v>40</v>
      </c>
      <c r="AQ195" s="125">
        <v>41</v>
      </c>
      <c r="AR195" s="126">
        <v>42</v>
      </c>
      <c r="AS195" s="125">
        <v>43</v>
      </c>
      <c r="AT195" s="126">
        <v>44</v>
      </c>
      <c r="AU195" s="125">
        <v>45</v>
      </c>
      <c r="AV195" s="126">
        <v>46</v>
      </c>
      <c r="AW195" s="125">
        <v>47</v>
      </c>
      <c r="AX195" s="126">
        <v>48</v>
      </c>
    </row>
    <row r="196" spans="1:55" ht="24.95" customHeight="1" x14ac:dyDescent="0.25">
      <c r="C196" s="125">
        <f t="shared" ref="C196" si="405">J185</f>
        <v>0</v>
      </c>
      <c r="D196" s="125">
        <f t="shared" ref="D196" si="406">K185</f>
        <v>1</v>
      </c>
      <c r="E196" s="125">
        <f t="shared" ref="E196" si="407">L185</f>
        <v>0</v>
      </c>
      <c r="F196" s="125">
        <f t="shared" ref="F196" si="408">M185</f>
        <v>1</v>
      </c>
      <c r="G196" s="126">
        <f t="shared" ref="G196" si="409">N185</f>
        <v>1</v>
      </c>
      <c r="H196" s="126">
        <f t="shared" ref="H196" si="410">O185</f>
        <v>1</v>
      </c>
      <c r="I196" s="125">
        <f t="shared" ref="I196" si="411">J186</f>
        <v>1</v>
      </c>
      <c r="J196" s="125">
        <f t="shared" ref="J196" si="412">K186</f>
        <v>1</v>
      </c>
      <c r="K196" s="125">
        <f t="shared" ref="K196" si="413">L186</f>
        <v>1</v>
      </c>
      <c r="L196" s="125">
        <f t="shared" ref="L196" si="414">M186</f>
        <v>0</v>
      </c>
      <c r="M196" s="125">
        <f t="shared" ref="M196" si="415">N186</f>
        <v>0</v>
      </c>
      <c r="N196" s="125">
        <f t="shared" ref="N196" si="416">O186</f>
        <v>0</v>
      </c>
      <c r="O196" s="126">
        <f t="shared" ref="O196" si="417">J187</f>
        <v>0</v>
      </c>
      <c r="P196" s="126">
        <f t="shared" ref="P196" si="418">K187</f>
        <v>0</v>
      </c>
      <c r="Q196" s="126">
        <f t="shared" ref="Q196" si="419">L187</f>
        <v>1</v>
      </c>
      <c r="R196" s="126">
        <f t="shared" ref="R196" si="420">M187</f>
        <v>1</v>
      </c>
      <c r="S196" s="126">
        <f t="shared" ref="S196" si="421">N187</f>
        <v>1</v>
      </c>
      <c r="T196" s="126">
        <f t="shared" ref="T196" si="422">O187</f>
        <v>1</v>
      </c>
      <c r="U196" s="125">
        <f t="shared" ref="U196" si="423">J188</f>
        <v>1</v>
      </c>
      <c r="V196" s="126">
        <f t="shared" ref="V196" si="424">K188</f>
        <v>1</v>
      </c>
      <c r="W196" s="125">
        <f t="shared" ref="W196" si="425">L188</f>
        <v>1</v>
      </c>
      <c r="X196" s="126">
        <f t="shared" ref="X196" si="426">M188</f>
        <v>1</v>
      </c>
      <c r="Y196" s="125">
        <f t="shared" ref="Y196" si="427">N188</f>
        <v>1</v>
      </c>
      <c r="Z196" s="126">
        <f t="shared" ref="Z196" si="428">O188</f>
        <v>1</v>
      </c>
      <c r="AA196" s="125">
        <f t="shared" ref="AA196" si="429">J189</f>
        <v>1</v>
      </c>
      <c r="AB196" s="126">
        <f t="shared" ref="AB196" si="430">K189</f>
        <v>1</v>
      </c>
      <c r="AC196" s="125">
        <f t="shared" ref="AC196" si="431">L189</f>
        <v>0</v>
      </c>
      <c r="AD196" s="126">
        <f t="shared" ref="AD196" si="432">M189</f>
        <v>0</v>
      </c>
      <c r="AE196" s="125">
        <f t="shared" ref="AE196" si="433">N189</f>
        <v>0</v>
      </c>
      <c r="AF196" s="126">
        <f t="shared" ref="AF196" si="434">O189</f>
        <v>1</v>
      </c>
      <c r="AG196" s="125">
        <f t="shared" ref="AG196" si="435">J190</f>
        <v>0</v>
      </c>
      <c r="AH196" s="126">
        <f t="shared" ref="AH196" si="436">K190</f>
        <v>1</v>
      </c>
      <c r="AI196" s="125">
        <f t="shared" ref="AI196" si="437">L190</f>
        <v>0</v>
      </c>
      <c r="AJ196" s="126">
        <f t="shared" ref="AJ196" si="438">M190</f>
        <v>0</v>
      </c>
      <c r="AK196" s="125">
        <f t="shared" ref="AK196" si="439">N190</f>
        <v>1</v>
      </c>
      <c r="AL196" s="126">
        <f t="shared" ref="AL196" si="440">O190</f>
        <v>1</v>
      </c>
      <c r="AM196" s="125">
        <f t="shared" ref="AM196" si="441">J191</f>
        <v>1</v>
      </c>
      <c r="AN196" s="126">
        <f t="shared" ref="AN196" si="442">K191</f>
        <v>1</v>
      </c>
      <c r="AO196" s="125">
        <f t="shared" ref="AO196" si="443">L191</f>
        <v>1</v>
      </c>
      <c r="AP196" s="126">
        <f t="shared" ref="AP196" si="444">M191</f>
        <v>0</v>
      </c>
      <c r="AQ196" s="125">
        <f t="shared" ref="AQ196" si="445">N191</f>
        <v>1</v>
      </c>
      <c r="AR196" s="126">
        <f t="shared" ref="AR196" si="446">O191</f>
        <v>1</v>
      </c>
      <c r="AS196" s="125">
        <f t="shared" ref="AS196" si="447">J192</f>
        <v>1</v>
      </c>
      <c r="AT196" s="126">
        <f t="shared" ref="AT196" si="448">K192</f>
        <v>1</v>
      </c>
      <c r="AU196" s="125">
        <f t="shared" ref="AU196" si="449">L192</f>
        <v>0</v>
      </c>
      <c r="AV196" s="126">
        <f t="shared" ref="AV196" si="450">M192</f>
        <v>0</v>
      </c>
      <c r="AW196" s="125">
        <f t="shared" ref="AW196" si="451">N192</f>
        <v>0</v>
      </c>
      <c r="AX196" s="126">
        <f t="shared" ref="AX196" si="452">O192</f>
        <v>1</v>
      </c>
    </row>
    <row r="199" spans="1:55" ht="24.95" customHeight="1" x14ac:dyDescent="0.25">
      <c r="A199" s="127" t="s">
        <v>597</v>
      </c>
      <c r="B199" s="127"/>
      <c r="C199" s="77">
        <f>'Key Generator'!D169</f>
        <v>1</v>
      </c>
      <c r="D199" s="77">
        <f>'Key Generator'!E169</f>
        <v>2</v>
      </c>
      <c r="E199" s="77">
        <f>'Key Generator'!F169</f>
        <v>3</v>
      </c>
      <c r="F199" s="77">
        <f>'Key Generator'!G169</f>
        <v>4</v>
      </c>
      <c r="G199" s="77">
        <f>'Key Generator'!H169</f>
        <v>5</v>
      </c>
      <c r="H199" s="77">
        <f>'Key Generator'!I169</f>
        <v>6</v>
      </c>
      <c r="I199" s="77">
        <f>'Key Generator'!J169</f>
        <v>7</v>
      </c>
      <c r="J199" s="77">
        <f>'Key Generator'!K169</f>
        <v>8</v>
      </c>
      <c r="K199" s="77">
        <f>'Key Generator'!L169</f>
        <v>9</v>
      </c>
      <c r="L199" s="77">
        <f>'Key Generator'!M169</f>
        <v>10</v>
      </c>
      <c r="M199" s="77">
        <f>'Key Generator'!N169</f>
        <v>11</v>
      </c>
      <c r="N199" s="77">
        <f>'Key Generator'!O169</f>
        <v>12</v>
      </c>
      <c r="O199" s="77">
        <f>'Key Generator'!P169</f>
        <v>13</v>
      </c>
      <c r="P199" s="77">
        <f>'Key Generator'!Q169</f>
        <v>14</v>
      </c>
      <c r="Q199" s="77">
        <f>'Key Generator'!R169</f>
        <v>15</v>
      </c>
      <c r="R199" s="77">
        <f>'Key Generator'!S169</f>
        <v>16</v>
      </c>
      <c r="S199" s="77">
        <f>'Key Generator'!T169</f>
        <v>17</v>
      </c>
      <c r="T199" s="77">
        <f>'Key Generator'!U169</f>
        <v>18</v>
      </c>
      <c r="U199" s="77">
        <f>'Key Generator'!V169</f>
        <v>19</v>
      </c>
      <c r="V199" s="77">
        <f>'Key Generator'!W169</f>
        <v>20</v>
      </c>
      <c r="W199" s="77">
        <f>'Key Generator'!X169</f>
        <v>21</v>
      </c>
      <c r="X199" s="77">
        <f>'Key Generator'!Y169</f>
        <v>22</v>
      </c>
      <c r="Y199" s="77">
        <f>'Key Generator'!Z169</f>
        <v>23</v>
      </c>
      <c r="Z199" s="77">
        <f>'Key Generator'!AA169</f>
        <v>24</v>
      </c>
      <c r="AA199" s="77">
        <f>'Key Generator'!AB169</f>
        <v>25</v>
      </c>
      <c r="AB199" s="77">
        <f>'Key Generator'!AC169</f>
        <v>26</v>
      </c>
      <c r="AC199" s="77">
        <f>'Key Generator'!AD169</f>
        <v>27</v>
      </c>
      <c r="AD199" s="77">
        <f>'Key Generator'!AE169</f>
        <v>28</v>
      </c>
      <c r="AE199" s="77">
        <f>'Key Generator'!AF169</f>
        <v>29</v>
      </c>
      <c r="AF199" s="77">
        <f>'Key Generator'!AG169</f>
        <v>30</v>
      </c>
      <c r="AG199" s="77">
        <f>'Key Generator'!AH169</f>
        <v>31</v>
      </c>
      <c r="AH199" s="77">
        <f>'Key Generator'!AI169</f>
        <v>32</v>
      </c>
      <c r="AI199" s="77">
        <f>'Key Generator'!AJ169</f>
        <v>33</v>
      </c>
      <c r="AJ199" s="77">
        <f>'Key Generator'!AK169</f>
        <v>34</v>
      </c>
      <c r="AK199" s="77">
        <f>'Key Generator'!AL169</f>
        <v>35</v>
      </c>
      <c r="AL199" s="77">
        <f>'Key Generator'!AM169</f>
        <v>36</v>
      </c>
      <c r="AM199" s="77">
        <f>'Key Generator'!AN169</f>
        <v>37</v>
      </c>
      <c r="AN199" s="77">
        <f>'Key Generator'!AO169</f>
        <v>38</v>
      </c>
      <c r="AO199" s="77">
        <f>'Key Generator'!AP169</f>
        <v>39</v>
      </c>
      <c r="AP199" s="77">
        <f>'Key Generator'!AQ169</f>
        <v>40</v>
      </c>
      <c r="AQ199" s="77">
        <f>'Key Generator'!AR169</f>
        <v>41</v>
      </c>
      <c r="AR199" s="77">
        <f>'Key Generator'!AS169</f>
        <v>42</v>
      </c>
      <c r="AS199" s="77">
        <f>'Key Generator'!AT169</f>
        <v>43</v>
      </c>
      <c r="AT199" s="77">
        <f>'Key Generator'!AU169</f>
        <v>44</v>
      </c>
      <c r="AU199" s="77">
        <f>'Key Generator'!AV169</f>
        <v>45</v>
      </c>
      <c r="AV199" s="77">
        <f>'Key Generator'!AW169</f>
        <v>46</v>
      </c>
      <c r="AW199" s="77">
        <f>'Key Generator'!AX169</f>
        <v>47</v>
      </c>
      <c r="AX199" s="77">
        <f>'Key Generator'!AY169</f>
        <v>48</v>
      </c>
    </row>
    <row r="200" spans="1:55" ht="24.95" customHeight="1" x14ac:dyDescent="0.25">
      <c r="C200" s="77">
        <f>'Key Generator'!D170</f>
        <v>1</v>
      </c>
      <c r="D200" s="77">
        <f>'Key Generator'!E170</f>
        <v>1</v>
      </c>
      <c r="E200" s="77">
        <f>'Key Generator'!F170</f>
        <v>0</v>
      </c>
      <c r="F200" s="77">
        <f>'Key Generator'!G170</f>
        <v>1</v>
      </c>
      <c r="G200" s="77">
        <f>'Key Generator'!H170</f>
        <v>0</v>
      </c>
      <c r="H200" s="77">
        <f>'Key Generator'!I170</f>
        <v>0</v>
      </c>
      <c r="I200" s="77">
        <f>'Key Generator'!J170</f>
        <v>0</v>
      </c>
      <c r="J200" s="77">
        <f>'Key Generator'!K170</f>
        <v>0</v>
      </c>
      <c r="K200" s="77">
        <f>'Key Generator'!L170</f>
        <v>0</v>
      </c>
      <c r="L200" s="77">
        <f>'Key Generator'!M170</f>
        <v>1</v>
      </c>
      <c r="M200" s="77">
        <f>'Key Generator'!N170</f>
        <v>1</v>
      </c>
      <c r="N200" s="77">
        <f>'Key Generator'!O170</f>
        <v>0</v>
      </c>
      <c r="O200" s="77">
        <f>'Key Generator'!P170</f>
        <v>1</v>
      </c>
      <c r="P200" s="77">
        <f>'Key Generator'!Q170</f>
        <v>1</v>
      </c>
      <c r="Q200" s="77">
        <f>'Key Generator'!R170</f>
        <v>0</v>
      </c>
      <c r="R200" s="77">
        <f>'Key Generator'!S170</f>
        <v>0</v>
      </c>
      <c r="S200" s="77">
        <f>'Key Generator'!T170</f>
        <v>1</v>
      </c>
      <c r="T200" s="77">
        <f>'Key Generator'!U170</f>
        <v>0</v>
      </c>
      <c r="U200" s="77">
        <f>'Key Generator'!V170</f>
        <v>0</v>
      </c>
      <c r="V200" s="77">
        <f>'Key Generator'!W170</f>
        <v>0</v>
      </c>
      <c r="W200" s="77">
        <f>'Key Generator'!X170</f>
        <v>0</v>
      </c>
      <c r="X200" s="77">
        <f>'Key Generator'!Y170</f>
        <v>1</v>
      </c>
      <c r="Y200" s="77">
        <f>'Key Generator'!Z170</f>
        <v>0</v>
      </c>
      <c r="Z200" s="77">
        <f>'Key Generator'!AA170</f>
        <v>0</v>
      </c>
      <c r="AA200" s="77">
        <f>'Key Generator'!AB170</f>
        <v>1</v>
      </c>
      <c r="AB200" s="77">
        <f>'Key Generator'!AC170</f>
        <v>1</v>
      </c>
      <c r="AC200" s="77">
        <f>'Key Generator'!AD170</f>
        <v>1</v>
      </c>
      <c r="AD200" s="77">
        <f>'Key Generator'!AE170</f>
        <v>0</v>
      </c>
      <c r="AE200" s="77">
        <f>'Key Generator'!AF170</f>
        <v>0</v>
      </c>
      <c r="AF200" s="77">
        <f>'Key Generator'!AG170</f>
        <v>0</v>
      </c>
      <c r="AG200" s="77">
        <f>'Key Generator'!AH170</f>
        <v>1</v>
      </c>
      <c r="AH200" s="77">
        <f>'Key Generator'!AI170</f>
        <v>1</v>
      </c>
      <c r="AI200" s="77">
        <f>'Key Generator'!AJ170</f>
        <v>1</v>
      </c>
      <c r="AJ200" s="77">
        <f>'Key Generator'!AK170</f>
        <v>0</v>
      </c>
      <c r="AK200" s="77">
        <f>'Key Generator'!AL170</f>
        <v>0</v>
      </c>
      <c r="AL200" s="77">
        <f>'Key Generator'!AM170</f>
        <v>1</v>
      </c>
      <c r="AM200" s="77">
        <f>'Key Generator'!AN170</f>
        <v>1</v>
      </c>
      <c r="AN200" s="77">
        <f>'Key Generator'!AO170</f>
        <v>0</v>
      </c>
      <c r="AO200" s="77">
        <f>'Key Generator'!AP170</f>
        <v>0</v>
      </c>
      <c r="AP200" s="77">
        <f>'Key Generator'!AQ170</f>
        <v>0</v>
      </c>
      <c r="AQ200" s="77">
        <f>'Key Generator'!AR170</f>
        <v>0</v>
      </c>
      <c r="AR200" s="77">
        <f>'Key Generator'!AS170</f>
        <v>0</v>
      </c>
      <c r="AS200" s="77">
        <f>'Key Generator'!AT170</f>
        <v>1</v>
      </c>
      <c r="AT200" s="77">
        <f>'Key Generator'!AU170</f>
        <v>1</v>
      </c>
      <c r="AU200" s="77">
        <f>'Key Generator'!AV170</f>
        <v>0</v>
      </c>
      <c r="AV200" s="77">
        <f>'Key Generator'!AW170</f>
        <v>1</v>
      </c>
      <c r="AW200" s="77">
        <f>'Key Generator'!AX170</f>
        <v>1</v>
      </c>
      <c r="AX200" s="77">
        <f>'Key Generator'!AY170</f>
        <v>0</v>
      </c>
    </row>
    <row r="203" spans="1:55" ht="24.95" customHeight="1" x14ac:dyDescent="0.25">
      <c r="A203" s="128" t="s">
        <v>535</v>
      </c>
      <c r="B203" s="129"/>
      <c r="C203" s="79">
        <v>1</v>
      </c>
      <c r="D203" s="80">
        <v>2</v>
      </c>
      <c r="E203" s="79">
        <v>3</v>
      </c>
      <c r="F203" s="80">
        <v>4</v>
      </c>
      <c r="G203" s="79">
        <v>5</v>
      </c>
      <c r="H203" s="80">
        <v>6</v>
      </c>
      <c r="I203" s="79">
        <v>7</v>
      </c>
      <c r="J203" s="80">
        <v>8</v>
      </c>
      <c r="K203" s="79">
        <v>9</v>
      </c>
      <c r="L203" s="80">
        <v>10</v>
      </c>
      <c r="M203" s="79">
        <v>11</v>
      </c>
      <c r="N203" s="80">
        <v>12</v>
      </c>
      <c r="O203" s="79">
        <v>13</v>
      </c>
      <c r="P203" s="80">
        <v>14</v>
      </c>
      <c r="Q203" s="79">
        <v>15</v>
      </c>
      <c r="R203" s="80">
        <v>16</v>
      </c>
      <c r="S203" s="79">
        <v>17</v>
      </c>
      <c r="T203" s="80">
        <v>18</v>
      </c>
      <c r="U203" s="79">
        <v>19</v>
      </c>
      <c r="V203" s="80">
        <v>20</v>
      </c>
      <c r="W203" s="79">
        <v>21</v>
      </c>
      <c r="X203" s="80">
        <v>22</v>
      </c>
      <c r="Y203" s="79">
        <v>23</v>
      </c>
      <c r="Z203" s="80">
        <v>24</v>
      </c>
      <c r="AA203" s="79">
        <v>25</v>
      </c>
      <c r="AB203" s="80">
        <v>26</v>
      </c>
      <c r="AC203" s="79">
        <v>27</v>
      </c>
      <c r="AD203" s="80">
        <v>28</v>
      </c>
      <c r="AE203" s="79">
        <v>29</v>
      </c>
      <c r="AF203" s="80">
        <v>30</v>
      </c>
      <c r="AG203" s="79">
        <v>31</v>
      </c>
      <c r="AH203" s="80">
        <v>32</v>
      </c>
      <c r="AI203" s="79">
        <v>33</v>
      </c>
      <c r="AJ203" s="80">
        <v>34</v>
      </c>
      <c r="AK203" s="79">
        <v>35</v>
      </c>
      <c r="AL203" s="80">
        <v>36</v>
      </c>
      <c r="AM203" s="79">
        <v>37</v>
      </c>
      <c r="AN203" s="80">
        <v>38</v>
      </c>
      <c r="AO203" s="79">
        <v>39</v>
      </c>
      <c r="AP203" s="80">
        <v>40</v>
      </c>
      <c r="AQ203" s="79">
        <v>41</v>
      </c>
      <c r="AR203" s="80">
        <v>42</v>
      </c>
      <c r="AS203" s="79">
        <v>43</v>
      </c>
      <c r="AT203" s="80">
        <v>44</v>
      </c>
      <c r="AU203" s="79">
        <v>45</v>
      </c>
      <c r="AV203" s="80">
        <v>46</v>
      </c>
      <c r="AW203" s="79">
        <v>47</v>
      </c>
      <c r="AX203" s="80">
        <v>48</v>
      </c>
    </row>
    <row r="204" spans="1:55" ht="24.95" customHeight="1" x14ac:dyDescent="0.25">
      <c r="C204" s="88">
        <f>--_xlfn.XOR(C196,'Key Generator'!D170)</f>
        <v>1</v>
      </c>
      <c r="D204" s="88">
        <f>--_xlfn.XOR(D196,'Key Generator'!E170)</f>
        <v>0</v>
      </c>
      <c r="E204" s="88">
        <f>--_xlfn.XOR(E196,'Key Generator'!F170)</f>
        <v>0</v>
      </c>
      <c r="F204" s="88">
        <f>--_xlfn.XOR(F196,'Key Generator'!G170)</f>
        <v>0</v>
      </c>
      <c r="G204" s="88">
        <f>--_xlfn.XOR(G196,'Key Generator'!H170)</f>
        <v>1</v>
      </c>
      <c r="H204" s="88">
        <f>--_xlfn.XOR(H196,'Key Generator'!I170)</f>
        <v>1</v>
      </c>
      <c r="I204" s="87">
        <f>--_xlfn.XOR(I196,'Key Generator'!J170)</f>
        <v>1</v>
      </c>
      <c r="J204" s="87">
        <f>--_xlfn.XOR(J196,'Key Generator'!K170)</f>
        <v>1</v>
      </c>
      <c r="K204" s="87">
        <f>--_xlfn.XOR(K196,'Key Generator'!L170)</f>
        <v>1</v>
      </c>
      <c r="L204" s="87">
        <f>--_xlfn.XOR(L196,'Key Generator'!M170)</f>
        <v>1</v>
      </c>
      <c r="M204" s="87">
        <f>--_xlfn.XOR(M196,'Key Generator'!N170)</f>
        <v>1</v>
      </c>
      <c r="N204" s="87">
        <f>--_xlfn.XOR(N196,'Key Generator'!O170)</f>
        <v>0</v>
      </c>
      <c r="O204" s="89">
        <f>--_xlfn.XOR(O196,'Key Generator'!P170)</f>
        <v>1</v>
      </c>
      <c r="P204" s="89">
        <f>--_xlfn.XOR(P196,'Key Generator'!Q170)</f>
        <v>1</v>
      </c>
      <c r="Q204" s="89">
        <f>--_xlfn.XOR(Q196,'Key Generator'!R170)</f>
        <v>1</v>
      </c>
      <c r="R204" s="89">
        <f>--_xlfn.XOR(R196,'Key Generator'!S170)</f>
        <v>1</v>
      </c>
      <c r="S204" s="89">
        <f>--_xlfn.XOR(S196,'Key Generator'!T170)</f>
        <v>0</v>
      </c>
      <c r="T204" s="89">
        <f>--_xlfn.XOR(T196,'Key Generator'!U170)</f>
        <v>1</v>
      </c>
      <c r="U204" s="90">
        <f>--_xlfn.XOR(U196,'Key Generator'!V170)</f>
        <v>1</v>
      </c>
      <c r="V204" s="90">
        <f>--_xlfn.XOR(V196,'Key Generator'!W170)</f>
        <v>1</v>
      </c>
      <c r="W204" s="90">
        <f>--_xlfn.XOR(W196,'Key Generator'!X170)</f>
        <v>1</v>
      </c>
      <c r="X204" s="90">
        <f>--_xlfn.XOR(X196,'Key Generator'!Y170)</f>
        <v>0</v>
      </c>
      <c r="Y204" s="90">
        <f>--_xlfn.XOR(Y196,'Key Generator'!Z170)</f>
        <v>1</v>
      </c>
      <c r="Z204" s="90">
        <f>--_xlfn.XOR(Z196,'Key Generator'!AA170)</f>
        <v>1</v>
      </c>
      <c r="AA204" s="91">
        <f>--_xlfn.XOR(AA196,'Key Generator'!AB170)</f>
        <v>0</v>
      </c>
      <c r="AB204" s="91">
        <f>--_xlfn.XOR(AB196,'Key Generator'!AC170)</f>
        <v>0</v>
      </c>
      <c r="AC204" s="91">
        <f>--_xlfn.XOR(AC196,'Key Generator'!AD170)</f>
        <v>1</v>
      </c>
      <c r="AD204" s="91">
        <f>--_xlfn.XOR(AD196,'Key Generator'!AE170)</f>
        <v>0</v>
      </c>
      <c r="AE204" s="91">
        <f>--_xlfn.XOR(AE196,'Key Generator'!AF170)</f>
        <v>0</v>
      </c>
      <c r="AF204" s="91">
        <f>--_xlfn.XOR(AF196,'Key Generator'!AG170)</f>
        <v>1</v>
      </c>
      <c r="AG204" s="92">
        <f>--_xlfn.XOR(AG196,'Key Generator'!AH170)</f>
        <v>1</v>
      </c>
      <c r="AH204" s="92">
        <f>--_xlfn.XOR(AH196,'Key Generator'!AI170)</f>
        <v>0</v>
      </c>
      <c r="AI204" s="92">
        <f>--_xlfn.XOR(AI196,'Key Generator'!AJ170)</f>
        <v>1</v>
      </c>
      <c r="AJ204" s="92">
        <f>--_xlfn.XOR(AJ196,'Key Generator'!AK170)</f>
        <v>0</v>
      </c>
      <c r="AK204" s="92">
        <f>--_xlfn.XOR(AK196,'Key Generator'!AL170)</f>
        <v>1</v>
      </c>
      <c r="AL204" s="92">
        <f>--_xlfn.XOR(AL196,'Key Generator'!AM170)</f>
        <v>0</v>
      </c>
      <c r="AM204" s="86">
        <f>--_xlfn.XOR(AM196,'Key Generator'!AN170)</f>
        <v>0</v>
      </c>
      <c r="AN204" s="86">
        <f>--_xlfn.XOR(AN196,'Key Generator'!AO170)</f>
        <v>1</v>
      </c>
      <c r="AO204" s="86">
        <f>--_xlfn.XOR(AO196,'Key Generator'!AP170)</f>
        <v>1</v>
      </c>
      <c r="AP204" s="86">
        <f>--_xlfn.XOR(AP196,'Key Generator'!AQ170)</f>
        <v>0</v>
      </c>
      <c r="AQ204" s="86">
        <f>--_xlfn.XOR(AQ196,'Key Generator'!AR170)</f>
        <v>1</v>
      </c>
      <c r="AR204" s="86">
        <f>--_xlfn.XOR(AR196,'Key Generator'!AS170)</f>
        <v>1</v>
      </c>
      <c r="AS204" s="81">
        <f>--_xlfn.XOR(AS196,'Key Generator'!AT170)</f>
        <v>0</v>
      </c>
      <c r="AT204" s="81">
        <f>--_xlfn.XOR(AT196,'Key Generator'!AU170)</f>
        <v>0</v>
      </c>
      <c r="AU204" s="81">
        <f>--_xlfn.XOR(AU196,'Key Generator'!AV170)</f>
        <v>0</v>
      </c>
      <c r="AV204" s="81">
        <f>--_xlfn.XOR(AV196,'Key Generator'!AW170)</f>
        <v>1</v>
      </c>
      <c r="AW204" s="81">
        <f>--_xlfn.XOR(AW196,'Key Generator'!AX170)</f>
        <v>1</v>
      </c>
      <c r="AX204" s="81">
        <f>--_xlfn.XOR(AX196,'Key Generator'!AY170)</f>
        <v>1</v>
      </c>
      <c r="AZ204" s="20"/>
      <c r="BA204" s="20"/>
      <c r="BB204" s="20"/>
      <c r="BC204" s="20"/>
    </row>
    <row r="205" spans="1:55" ht="24.95" customHeight="1" x14ac:dyDescent="0.25">
      <c r="C205" s="93"/>
      <c r="D205" s="94"/>
      <c r="E205" s="94"/>
      <c r="F205" s="94"/>
      <c r="G205" s="94"/>
      <c r="H205" s="94"/>
      <c r="AZ205" s="20"/>
      <c r="BA205" s="20"/>
      <c r="BB205" s="20"/>
      <c r="BC205" s="20"/>
    </row>
    <row r="206" spans="1:55" ht="24.95" customHeight="1" x14ac:dyDescent="0.25">
      <c r="A206" s="96" t="s">
        <v>545</v>
      </c>
      <c r="B206" s="97"/>
      <c r="C206" s="101">
        <f>D204*8+E204*4+F204*2+G204</f>
        <v>1</v>
      </c>
      <c r="D206" s="123" t="s">
        <v>536</v>
      </c>
      <c r="E206" s="97"/>
      <c r="F206" s="97"/>
      <c r="G206" s="97"/>
      <c r="H206" s="97"/>
      <c r="I206" s="101">
        <f>J204*8+K204*4+L204*2+M204</f>
        <v>15</v>
      </c>
      <c r="J206" s="122" t="s">
        <v>537</v>
      </c>
      <c r="K206" s="97"/>
      <c r="L206" s="97"/>
      <c r="M206" s="97"/>
      <c r="N206" s="97"/>
      <c r="O206" s="101">
        <f>P204*8+Q204*4+R204*2+S204</f>
        <v>14</v>
      </c>
      <c r="P206" s="122" t="s">
        <v>538</v>
      </c>
      <c r="Q206" s="97"/>
      <c r="R206" s="97"/>
      <c r="S206" s="97"/>
      <c r="T206" s="97"/>
      <c r="U206" s="101">
        <f>V204*8+W204*4+X204*2+Y204</f>
        <v>13</v>
      </c>
      <c r="V206" s="122" t="s">
        <v>539</v>
      </c>
      <c r="W206" s="97"/>
      <c r="X206" s="97"/>
      <c r="Y206" s="97"/>
      <c r="Z206" s="97"/>
      <c r="AA206" s="101">
        <f>AB204*8+AC204*4+AD204*2+AE204</f>
        <v>4</v>
      </c>
      <c r="AB206" s="122" t="s">
        <v>540</v>
      </c>
      <c r="AC206" s="97"/>
      <c r="AD206" s="97"/>
      <c r="AE206" s="97"/>
      <c r="AF206" s="97"/>
      <c r="AG206" s="101">
        <f>AH204*8+AI204*4+AJ204*2+AK204</f>
        <v>5</v>
      </c>
      <c r="AH206" s="122" t="s">
        <v>541</v>
      </c>
      <c r="AI206" s="97"/>
      <c r="AJ206" s="97"/>
      <c r="AK206" s="97"/>
      <c r="AL206" s="97"/>
      <c r="AM206" s="101">
        <f>AN204*8+AO204*4+AP204*2+AQ204</f>
        <v>13</v>
      </c>
      <c r="AN206" s="122" t="s">
        <v>542</v>
      </c>
      <c r="AO206" s="97"/>
      <c r="AP206" s="97"/>
      <c r="AQ206" s="97"/>
      <c r="AR206" s="97"/>
      <c r="AS206" s="101">
        <f>AT204*8+AU204*4+AV204*2+AW204</f>
        <v>3</v>
      </c>
      <c r="AT206" s="122" t="s">
        <v>543</v>
      </c>
      <c r="AU206" s="97"/>
      <c r="AV206" s="97"/>
      <c r="AW206" s="97"/>
      <c r="AX206" s="97"/>
      <c r="AY206" s="97"/>
      <c r="AZ206" s="20"/>
      <c r="BA206" s="20"/>
      <c r="BB206" s="20"/>
      <c r="BC206" s="20"/>
    </row>
    <row r="207" spans="1:55" ht="24.95" customHeight="1" x14ac:dyDescent="0.25">
      <c r="A207" s="100" t="s">
        <v>546</v>
      </c>
      <c r="B207" s="99"/>
      <c r="C207" s="87">
        <f>C204*2+H204</f>
        <v>3</v>
      </c>
      <c r="D207" s="98"/>
      <c r="E207" s="98"/>
      <c r="F207" s="99"/>
      <c r="G207" s="99"/>
      <c r="H207" s="99"/>
      <c r="I207" s="87">
        <f>I204*2+N204</f>
        <v>2</v>
      </c>
      <c r="J207" s="99"/>
      <c r="K207" s="99"/>
      <c r="L207" s="99"/>
      <c r="M207" s="99"/>
      <c r="N207" s="99"/>
      <c r="O207" s="87">
        <f>O204*2+T204</f>
        <v>3</v>
      </c>
      <c r="P207" s="99"/>
      <c r="Q207" s="99"/>
      <c r="R207" s="99"/>
      <c r="S207" s="99"/>
      <c r="T207" s="99"/>
      <c r="U207" s="87">
        <f>U204*2+Z204</f>
        <v>3</v>
      </c>
      <c r="V207" s="99"/>
      <c r="W207" s="99"/>
      <c r="X207" s="99"/>
      <c r="Y207" s="99"/>
      <c r="Z207" s="99"/>
      <c r="AA207" s="87">
        <f>AA204*2+AF204</f>
        <v>1</v>
      </c>
      <c r="AB207" s="99"/>
      <c r="AC207" s="99"/>
      <c r="AD207" s="99"/>
      <c r="AE207" s="99"/>
      <c r="AF207" s="99"/>
      <c r="AG207" s="87">
        <f>AG204*2+AL204</f>
        <v>2</v>
      </c>
      <c r="AH207" s="99"/>
      <c r="AI207" s="99"/>
      <c r="AJ207" s="99"/>
      <c r="AK207" s="99"/>
      <c r="AL207" s="99"/>
      <c r="AM207" s="87">
        <f>AM204*2+AR204</f>
        <v>1</v>
      </c>
      <c r="AN207" s="99"/>
      <c r="AO207" s="99"/>
      <c r="AP207" s="99"/>
      <c r="AQ207" s="99"/>
      <c r="AR207" s="99"/>
      <c r="AS207" s="87">
        <f>AS204*2+AX204</f>
        <v>1</v>
      </c>
      <c r="AT207" s="99"/>
      <c r="AU207" s="99"/>
      <c r="AV207" s="99"/>
      <c r="AW207" s="99"/>
      <c r="AX207" s="99"/>
      <c r="AY207" s="99"/>
      <c r="AZ207" s="20"/>
      <c r="BA207" s="20"/>
      <c r="BB207" s="20"/>
      <c r="BC207" s="20"/>
    </row>
    <row r="208" spans="1:55" ht="24.95" customHeight="1" x14ac:dyDescent="0.25">
      <c r="AZ208" s="20"/>
      <c r="BA208" s="20"/>
      <c r="BB208" s="20"/>
      <c r="BC208" s="20"/>
    </row>
    <row r="209" spans="1:55" ht="24.95" customHeight="1" x14ac:dyDescent="0.25">
      <c r="A209" s="117" t="s">
        <v>547</v>
      </c>
      <c r="C209" s="72">
        <f>INDEX('S-Box'!D3:S6,'DES-Enc'!C207+1,'DES-Enc'!C206+1)</f>
        <v>12</v>
      </c>
      <c r="I209" s="102">
        <f>INDEX('S-Box'!D9:S12,'DES-Enc'!I207+1,'DES-Enc'!I206+1)</f>
        <v>15</v>
      </c>
      <c r="O209" s="102">
        <f>INDEX('S-Box'!D15:S18,'DES-Enc'!O207+1,'DES-Enc'!O206+1)</f>
        <v>2</v>
      </c>
      <c r="U209" s="102">
        <f>INDEX('S-Box'!D21:S24,'DES-Enc'!U207+1,'DES-Enc'!U206+1)</f>
        <v>7</v>
      </c>
      <c r="AA209" s="102">
        <f>INDEX('S-Box'!D27:S30,'DES-Enc'!AA207+1,'DES-Enc'!AA206+1)</f>
        <v>4</v>
      </c>
      <c r="AG209" s="102">
        <f>INDEX('S-Box'!D33:S36,'DES-Enc'!AG207+1,'DES-Enc'!AG206+1)</f>
        <v>8</v>
      </c>
      <c r="AM209" s="102">
        <f>INDEX('S-Box'!D39:S42,'DES-Enc'!AM207+1,'DES-Enc'!AM206+1)</f>
        <v>15</v>
      </c>
      <c r="AS209" s="102">
        <f>INDEX('S-Box'!D45:S48,'DES-Enc'!AS207+1,'DES-Enc'!AS206+1)</f>
        <v>8</v>
      </c>
      <c r="AZ209" s="20"/>
      <c r="BA209" s="20"/>
      <c r="BB209" s="20"/>
      <c r="BC209" s="20"/>
    </row>
    <row r="210" spans="1:55" ht="24.95" customHeight="1" x14ac:dyDescent="0.25">
      <c r="C210" s="104"/>
      <c r="I210" s="95"/>
      <c r="O210" s="95"/>
      <c r="U210" s="95"/>
      <c r="AA210" s="95"/>
      <c r="AG210" s="95"/>
      <c r="AM210" s="95"/>
      <c r="AS210" s="95"/>
    </row>
    <row r="211" spans="1:55" ht="24.95" customHeight="1" x14ac:dyDescent="0.25">
      <c r="C211" s="105" t="str">
        <f>MID(DEC2BIN(C209,4),1,1)</f>
        <v>1</v>
      </c>
      <c r="D211" s="106" t="str">
        <f>MID(DEC2BIN(C209,4),2,1)</f>
        <v>1</v>
      </c>
      <c r="E211" s="106" t="str">
        <f>MID(DEC2BIN(C209,4),3,1)</f>
        <v>0</v>
      </c>
      <c r="F211" s="107" t="str">
        <f>MID(DEC2BIN(C209,4),4,1)</f>
        <v>0</v>
      </c>
      <c r="I211" s="105" t="str">
        <f>MID(DEC2BIN(I209,4),1,1)</f>
        <v>1</v>
      </c>
      <c r="J211" s="106" t="str">
        <f>MID(DEC2BIN(I209,4),2,1)</f>
        <v>1</v>
      </c>
      <c r="K211" s="106" t="str">
        <f>MID(DEC2BIN(I209,4),3,1)</f>
        <v>1</v>
      </c>
      <c r="L211" s="107" t="str">
        <f>MID(DEC2BIN(I209,4),4,1)</f>
        <v>1</v>
      </c>
      <c r="O211" s="105" t="str">
        <f>MID(DEC2BIN(O209,4),1,1)</f>
        <v>0</v>
      </c>
      <c r="P211" s="106" t="str">
        <f>MID(DEC2BIN(O209,4),2,1)</f>
        <v>0</v>
      </c>
      <c r="Q211" s="106" t="str">
        <f>MID(DEC2BIN(O209,4),3,1)</f>
        <v>1</v>
      </c>
      <c r="R211" s="107" t="str">
        <f>MID(DEC2BIN(O209,4),4,1)</f>
        <v>0</v>
      </c>
      <c r="U211" s="105" t="str">
        <f>MID(DEC2BIN(U209,4),1,1)</f>
        <v>0</v>
      </c>
      <c r="V211" s="106" t="str">
        <f>MID(DEC2BIN(U209,4),2,1)</f>
        <v>1</v>
      </c>
      <c r="W211" s="106" t="str">
        <f>MID(DEC2BIN(U209,4),3,1)</f>
        <v>1</v>
      </c>
      <c r="X211" s="107" t="str">
        <f>MID(DEC2BIN(U209,4),4,1)</f>
        <v>1</v>
      </c>
      <c r="AA211" s="105" t="str">
        <f>MID(DEC2BIN(AA209,4),1,1)</f>
        <v>0</v>
      </c>
      <c r="AB211" s="106" t="str">
        <f>MID(DEC2BIN(AA209,4),2,1)</f>
        <v>1</v>
      </c>
      <c r="AC211" s="106" t="str">
        <f>MID(DEC2BIN(AA209,4),3,1)</f>
        <v>0</v>
      </c>
      <c r="AD211" s="107" t="str">
        <f>MID(DEC2BIN(AA209,4),4,1)</f>
        <v>0</v>
      </c>
      <c r="AG211" s="105" t="str">
        <f>MID(DEC2BIN(AG209,4),1,1)</f>
        <v>1</v>
      </c>
      <c r="AH211" s="106" t="str">
        <f>MID(DEC2BIN(AG209,4),2,1)</f>
        <v>0</v>
      </c>
      <c r="AI211" s="106" t="str">
        <f>MID(DEC2BIN(AG209,4),3,1)</f>
        <v>0</v>
      </c>
      <c r="AJ211" s="107" t="str">
        <f>MID(DEC2BIN(AG209,4),4,1)</f>
        <v>0</v>
      </c>
      <c r="AM211" s="105" t="str">
        <f>MID(DEC2BIN(AM209,4),1,1)</f>
        <v>1</v>
      </c>
      <c r="AN211" s="106" t="str">
        <f>MID(DEC2BIN(AM209,4),2,1)</f>
        <v>1</v>
      </c>
      <c r="AO211" s="106" t="str">
        <f>MID(DEC2BIN(AM209,4),3,1)</f>
        <v>1</v>
      </c>
      <c r="AP211" s="107" t="str">
        <f>MID(DEC2BIN(AM209,4),4,1)</f>
        <v>1</v>
      </c>
      <c r="AS211" s="105" t="str">
        <f>MID(DEC2BIN(AS209,4),1,1)</f>
        <v>1</v>
      </c>
      <c r="AT211" s="106" t="str">
        <f>MID(DEC2BIN(AS209,4),2,1)</f>
        <v>0</v>
      </c>
      <c r="AU211" s="106" t="str">
        <f>MID(DEC2BIN(AS209,4),3,1)</f>
        <v>0</v>
      </c>
      <c r="AV211" s="107" t="str">
        <f>MID(DEC2BIN(AS209,4),4,1)</f>
        <v>0</v>
      </c>
    </row>
    <row r="212" spans="1:55" ht="24.95" customHeight="1" x14ac:dyDescent="0.25">
      <c r="C212" s="21">
        <f>VALUE(C211)</f>
        <v>1</v>
      </c>
      <c r="D212" s="21">
        <f t="shared" ref="D212" si="453">VALUE(D211)</f>
        <v>1</v>
      </c>
      <c r="E212" s="21">
        <f t="shared" ref="E212" si="454">VALUE(E211)</f>
        <v>0</v>
      </c>
      <c r="F212" s="21">
        <f t="shared" ref="F212" si="455">VALUE(F211)</f>
        <v>0</v>
      </c>
      <c r="I212" s="21">
        <f t="shared" ref="I212" si="456">VALUE(I211)</f>
        <v>1</v>
      </c>
      <c r="J212" s="21">
        <f t="shared" ref="J212" si="457">VALUE(J211)</f>
        <v>1</v>
      </c>
      <c r="K212" s="21">
        <f t="shared" ref="K212" si="458">VALUE(K211)</f>
        <v>1</v>
      </c>
      <c r="L212" s="21">
        <f t="shared" ref="L212" si="459">VALUE(L211)</f>
        <v>1</v>
      </c>
      <c r="O212" s="21">
        <f>VALUE(O211)</f>
        <v>0</v>
      </c>
      <c r="P212" s="21">
        <f t="shared" ref="P212" si="460">VALUE(P211)</f>
        <v>0</v>
      </c>
      <c r="Q212" s="21">
        <f t="shared" ref="Q212" si="461">VALUE(Q211)</f>
        <v>1</v>
      </c>
      <c r="R212" s="21">
        <f t="shared" ref="R212" si="462">VALUE(R211)</f>
        <v>0</v>
      </c>
      <c r="U212" s="21">
        <f>VALUE(U211)</f>
        <v>0</v>
      </c>
      <c r="V212" s="21">
        <f t="shared" ref="V212" si="463">VALUE(V211)</f>
        <v>1</v>
      </c>
      <c r="W212" s="21">
        <f t="shared" ref="W212" si="464">VALUE(W211)</f>
        <v>1</v>
      </c>
      <c r="X212" s="21">
        <f t="shared" ref="X212" si="465">VALUE(X211)</f>
        <v>1</v>
      </c>
      <c r="AA212" s="21">
        <f>VALUE(AA211)</f>
        <v>0</v>
      </c>
      <c r="AB212" s="21">
        <f t="shared" ref="AB212" si="466">VALUE(AB211)</f>
        <v>1</v>
      </c>
      <c r="AC212" s="21">
        <f t="shared" ref="AC212" si="467">VALUE(AC211)</f>
        <v>0</v>
      </c>
      <c r="AD212" s="21">
        <f t="shared" ref="AD212" si="468">VALUE(AD211)</f>
        <v>0</v>
      </c>
      <c r="AG212" s="21">
        <f>VALUE(AG211)</f>
        <v>1</v>
      </c>
      <c r="AH212" s="21">
        <f t="shared" ref="AH212" si="469">VALUE(AH211)</f>
        <v>0</v>
      </c>
      <c r="AI212" s="21">
        <f t="shared" ref="AI212" si="470">VALUE(AI211)</f>
        <v>0</v>
      </c>
      <c r="AJ212" s="21">
        <f t="shared" ref="AJ212" si="471">VALUE(AJ211)</f>
        <v>0</v>
      </c>
      <c r="AM212" s="21">
        <f>VALUE(AM211)</f>
        <v>1</v>
      </c>
      <c r="AN212" s="21">
        <f t="shared" ref="AN212" si="472">VALUE(AN211)</f>
        <v>1</v>
      </c>
      <c r="AO212" s="21">
        <f t="shared" ref="AO212" si="473">VALUE(AO211)</f>
        <v>1</v>
      </c>
      <c r="AP212" s="21">
        <f t="shared" ref="AP212" si="474">VALUE(AP211)</f>
        <v>1</v>
      </c>
      <c r="AS212" s="21">
        <f>VALUE(AS211)</f>
        <v>1</v>
      </c>
      <c r="AT212" s="21">
        <f t="shared" ref="AT212" si="475">VALUE(AT211)</f>
        <v>0</v>
      </c>
      <c r="AU212" s="21">
        <f t="shared" ref="AU212" si="476">VALUE(AU211)</f>
        <v>0</v>
      </c>
      <c r="AV212" s="21">
        <f t="shared" ref="AV212" si="477">VALUE(AV211)</f>
        <v>0</v>
      </c>
    </row>
    <row r="213" spans="1:55" ht="24.95" customHeight="1" x14ac:dyDescent="0.25">
      <c r="A213" s="111" t="s">
        <v>588</v>
      </c>
      <c r="B213" s="111"/>
      <c r="C213" s="111">
        <v>1</v>
      </c>
      <c r="D213" s="76">
        <v>2</v>
      </c>
      <c r="E213" s="111">
        <v>3</v>
      </c>
      <c r="F213" s="76">
        <v>4</v>
      </c>
      <c r="G213" s="111">
        <v>5</v>
      </c>
      <c r="H213" s="76">
        <v>6</v>
      </c>
      <c r="I213" s="111">
        <v>7</v>
      </c>
      <c r="J213" s="76">
        <v>8</v>
      </c>
      <c r="K213" s="111">
        <v>9</v>
      </c>
      <c r="L213" s="76">
        <v>10</v>
      </c>
      <c r="M213" s="111">
        <v>11</v>
      </c>
      <c r="N213" s="76">
        <v>12</v>
      </c>
      <c r="O213" s="111">
        <v>13</v>
      </c>
      <c r="P213" s="76">
        <v>14</v>
      </c>
      <c r="Q213" s="111">
        <v>15</v>
      </c>
      <c r="R213" s="76">
        <v>16</v>
      </c>
      <c r="S213" s="111">
        <v>17</v>
      </c>
      <c r="T213" s="76">
        <v>18</v>
      </c>
      <c r="U213" s="111">
        <v>19</v>
      </c>
      <c r="V213" s="76">
        <v>20</v>
      </c>
      <c r="W213" s="111">
        <v>21</v>
      </c>
      <c r="X213" s="76">
        <v>22</v>
      </c>
      <c r="Y213" s="111">
        <v>23</v>
      </c>
      <c r="Z213" s="76">
        <v>24</v>
      </c>
      <c r="AA213" s="111">
        <v>25</v>
      </c>
      <c r="AB213" s="76">
        <v>26</v>
      </c>
      <c r="AC213" s="111">
        <v>27</v>
      </c>
      <c r="AD213" s="76">
        <v>28</v>
      </c>
      <c r="AE213" s="111">
        <v>29</v>
      </c>
      <c r="AF213" s="76">
        <v>30</v>
      </c>
      <c r="AG213" s="111">
        <v>31</v>
      </c>
      <c r="AH213" s="76">
        <v>32</v>
      </c>
    </row>
    <row r="214" spans="1:55" ht="24.95" customHeight="1" x14ac:dyDescent="0.25">
      <c r="C214" s="108">
        <f>C212</f>
        <v>1</v>
      </c>
      <c r="D214" s="108">
        <f t="shared" ref="D214:F214" si="478">D212</f>
        <v>1</v>
      </c>
      <c r="E214" s="108">
        <f t="shared" si="478"/>
        <v>0</v>
      </c>
      <c r="F214" s="108">
        <f t="shared" si="478"/>
        <v>0</v>
      </c>
      <c r="G214" s="23">
        <f>I212</f>
        <v>1</v>
      </c>
      <c r="H214" s="23">
        <f t="shared" ref="H214" si="479">J212</f>
        <v>1</v>
      </c>
      <c r="I214" s="23">
        <f t="shared" ref="I214" si="480">K212</f>
        <v>1</v>
      </c>
      <c r="J214" s="23">
        <f t="shared" ref="J214" si="481">L212</f>
        <v>1</v>
      </c>
      <c r="K214" s="23">
        <f>O212</f>
        <v>0</v>
      </c>
      <c r="L214" s="23">
        <f t="shared" ref="L214" si="482">P212</f>
        <v>0</v>
      </c>
      <c r="M214" s="23">
        <f t="shared" ref="M214" si="483">Q212</f>
        <v>1</v>
      </c>
      <c r="N214" s="23">
        <f t="shared" ref="N214" si="484">R212</f>
        <v>0</v>
      </c>
      <c r="O214" s="23">
        <f>U212</f>
        <v>0</v>
      </c>
      <c r="P214" s="23">
        <f t="shared" ref="P214" si="485">V212</f>
        <v>1</v>
      </c>
      <c r="Q214" s="23">
        <f t="shared" ref="Q214" si="486">W212</f>
        <v>1</v>
      </c>
      <c r="R214" s="23">
        <f t="shared" ref="R214" si="487">X212</f>
        <v>1</v>
      </c>
      <c r="S214" s="23">
        <f>AA212</f>
        <v>0</v>
      </c>
      <c r="T214" s="23">
        <f t="shared" ref="T214" si="488">AB212</f>
        <v>1</v>
      </c>
      <c r="U214" s="23">
        <f t="shared" ref="U214" si="489">AC212</f>
        <v>0</v>
      </c>
      <c r="V214" s="23">
        <f t="shared" ref="V214" si="490">AD212</f>
        <v>0</v>
      </c>
      <c r="W214" s="23">
        <f>AG212</f>
        <v>1</v>
      </c>
      <c r="X214" s="23">
        <f t="shared" ref="X214" si="491">AH212</f>
        <v>0</v>
      </c>
      <c r="Y214" s="23">
        <f t="shared" ref="Y214" si="492">AI212</f>
        <v>0</v>
      </c>
      <c r="Z214" s="23">
        <f t="shared" ref="Z214" si="493">AJ212</f>
        <v>0</v>
      </c>
      <c r="AA214" s="23">
        <f>AM212</f>
        <v>1</v>
      </c>
      <c r="AB214" s="23">
        <f t="shared" ref="AB214" si="494">AN212</f>
        <v>1</v>
      </c>
      <c r="AC214" s="23">
        <f t="shared" ref="AC214" si="495">AO212</f>
        <v>1</v>
      </c>
      <c r="AD214" s="23">
        <f t="shared" ref="AD214" si="496">AP212</f>
        <v>1</v>
      </c>
      <c r="AE214" s="23">
        <f>AS212</f>
        <v>1</v>
      </c>
      <c r="AF214" s="23">
        <f t="shared" ref="AF214" si="497">AT212</f>
        <v>0</v>
      </c>
      <c r="AG214" s="23">
        <f t="shared" ref="AG214" si="498">AU212</f>
        <v>0</v>
      </c>
      <c r="AH214" s="23">
        <f t="shared" ref="AH214" si="499">AV212</f>
        <v>0</v>
      </c>
    </row>
    <row r="216" spans="1:55" ht="24.95" customHeight="1" x14ac:dyDescent="0.25">
      <c r="A216" s="110" t="s">
        <v>548</v>
      </c>
      <c r="B216" s="110"/>
      <c r="C216" s="109">
        <v>16</v>
      </c>
      <c r="D216" s="110">
        <v>7</v>
      </c>
      <c r="E216" s="110">
        <v>20</v>
      </c>
      <c r="F216" s="110">
        <v>21</v>
      </c>
      <c r="G216" s="110">
        <v>29</v>
      </c>
      <c r="H216" s="110">
        <v>12</v>
      </c>
      <c r="I216" s="110">
        <v>28</v>
      </c>
      <c r="J216" s="110">
        <v>17</v>
      </c>
      <c r="K216" s="110">
        <v>1</v>
      </c>
      <c r="L216" s="110">
        <v>15</v>
      </c>
      <c r="M216" s="110">
        <v>23</v>
      </c>
      <c r="N216" s="110">
        <v>26</v>
      </c>
      <c r="O216" s="110">
        <v>5</v>
      </c>
      <c r="P216" s="110">
        <v>18</v>
      </c>
      <c r="Q216" s="110">
        <v>31</v>
      </c>
      <c r="R216" s="110">
        <v>10</v>
      </c>
      <c r="S216" s="110">
        <v>2</v>
      </c>
      <c r="T216" s="110">
        <v>8</v>
      </c>
      <c r="U216" s="110">
        <v>24</v>
      </c>
      <c r="V216" s="110">
        <v>14</v>
      </c>
      <c r="W216" s="110">
        <v>32</v>
      </c>
      <c r="X216" s="110">
        <v>27</v>
      </c>
      <c r="Y216" s="110">
        <v>3</v>
      </c>
      <c r="Z216" s="110">
        <v>9</v>
      </c>
      <c r="AA216" s="110">
        <v>19</v>
      </c>
      <c r="AB216" s="110">
        <v>13</v>
      </c>
      <c r="AC216" s="110">
        <v>30</v>
      </c>
      <c r="AD216" s="110">
        <v>6</v>
      </c>
      <c r="AE216" s="110">
        <v>22</v>
      </c>
      <c r="AF216" s="110">
        <v>11</v>
      </c>
      <c r="AG216" s="110">
        <v>4</v>
      </c>
      <c r="AH216" s="110">
        <v>25</v>
      </c>
    </row>
    <row r="217" spans="1:55" ht="24.95" customHeight="1" x14ac:dyDescent="0.25">
      <c r="C217" s="103">
        <f>K214</f>
        <v>0</v>
      </c>
      <c r="D217" s="103">
        <f>S214</f>
        <v>0</v>
      </c>
      <c r="E217" s="103">
        <f>Y214</f>
        <v>0</v>
      </c>
      <c r="F217" s="112">
        <f>AG214</f>
        <v>0</v>
      </c>
      <c r="G217" s="103">
        <f>O214</f>
        <v>0</v>
      </c>
      <c r="H217" s="103">
        <f>AD214</f>
        <v>1</v>
      </c>
      <c r="I217" s="103">
        <f>D214</f>
        <v>1</v>
      </c>
      <c r="J217" s="103">
        <f>T214</f>
        <v>1</v>
      </c>
      <c r="K217" s="103">
        <f>Z214</f>
        <v>0</v>
      </c>
      <c r="L217" s="103">
        <f>R214</f>
        <v>1</v>
      </c>
      <c r="M217" s="103">
        <f>AF214</f>
        <v>0</v>
      </c>
      <c r="N217" s="103">
        <f>H214</f>
        <v>1</v>
      </c>
      <c r="O217" s="103">
        <f>AB214</f>
        <v>1</v>
      </c>
      <c r="P217" s="103">
        <f>V214</f>
        <v>0</v>
      </c>
      <c r="Q217" s="103">
        <f>L214</f>
        <v>0</v>
      </c>
      <c r="R217" s="103">
        <f>C214</f>
        <v>1</v>
      </c>
      <c r="S217" s="103">
        <f>J214</f>
        <v>1</v>
      </c>
      <c r="T217" s="103">
        <f>P214</f>
        <v>1</v>
      </c>
      <c r="U217" s="103">
        <f>AA214</f>
        <v>1</v>
      </c>
      <c r="V217" s="103">
        <f>E214</f>
        <v>0</v>
      </c>
      <c r="W217" s="103">
        <f>F214</f>
        <v>0</v>
      </c>
      <c r="X217" s="103">
        <f>AE214</f>
        <v>1</v>
      </c>
      <c r="Y217" s="103">
        <f>M214</f>
        <v>1</v>
      </c>
      <c r="Z217" s="103">
        <f>U214</f>
        <v>0</v>
      </c>
      <c r="AA217" s="103">
        <f>AH214</f>
        <v>0</v>
      </c>
      <c r="AB217" s="103">
        <f>N214</f>
        <v>0</v>
      </c>
      <c r="AC217" s="103">
        <f>X214</f>
        <v>0</v>
      </c>
      <c r="AD217" s="103">
        <f>I214</f>
        <v>1</v>
      </c>
      <c r="AE217" s="103">
        <f>G214</f>
        <v>1</v>
      </c>
      <c r="AF217" s="103">
        <f>AC214</f>
        <v>1</v>
      </c>
      <c r="AG217" s="103">
        <f>Q214</f>
        <v>1</v>
      </c>
      <c r="AH217" s="103">
        <f>W214</f>
        <v>1</v>
      </c>
    </row>
    <row r="218" spans="1:55" ht="24.95" customHeight="1" x14ac:dyDescent="0.25">
      <c r="C218" s="130">
        <v>1</v>
      </c>
      <c r="D218" s="131">
        <v>2</v>
      </c>
      <c r="E218" s="130">
        <v>3</v>
      </c>
      <c r="F218" s="131">
        <v>4</v>
      </c>
      <c r="G218" s="130">
        <v>5</v>
      </c>
      <c r="H218" s="131">
        <v>6</v>
      </c>
      <c r="I218" s="130">
        <v>7</v>
      </c>
      <c r="J218" s="131">
        <v>8</v>
      </c>
      <c r="K218" s="130">
        <v>9</v>
      </c>
      <c r="L218" s="131">
        <v>10</v>
      </c>
      <c r="M218" s="130">
        <v>11</v>
      </c>
      <c r="N218" s="131">
        <v>12</v>
      </c>
      <c r="O218" s="130">
        <v>13</v>
      </c>
      <c r="P218" s="131">
        <v>14</v>
      </c>
      <c r="Q218" s="130">
        <v>15</v>
      </c>
      <c r="R218" s="131">
        <v>16</v>
      </c>
      <c r="S218" s="130">
        <v>17</v>
      </c>
      <c r="T218" s="131">
        <v>18</v>
      </c>
      <c r="U218" s="130">
        <v>19</v>
      </c>
      <c r="V218" s="131">
        <v>20</v>
      </c>
      <c r="W218" s="130">
        <v>21</v>
      </c>
      <c r="X218" s="131">
        <v>22</v>
      </c>
      <c r="Y218" s="130">
        <v>23</v>
      </c>
      <c r="Z218" s="131">
        <v>24</v>
      </c>
      <c r="AA218" s="130">
        <v>25</v>
      </c>
      <c r="AB218" s="131">
        <v>26</v>
      </c>
      <c r="AC218" s="130">
        <v>27</v>
      </c>
      <c r="AD218" s="131">
        <v>28</v>
      </c>
      <c r="AE218" s="130">
        <v>29</v>
      </c>
      <c r="AF218" s="131">
        <v>30</v>
      </c>
      <c r="AG218" s="130">
        <v>31</v>
      </c>
      <c r="AH218" s="131">
        <v>32</v>
      </c>
    </row>
    <row r="222" spans="1:55" ht="24.95" customHeight="1" x14ac:dyDescent="0.25">
      <c r="A222" s="114" t="s">
        <v>598</v>
      </c>
      <c r="B222" s="114"/>
      <c r="C222" s="114"/>
      <c r="D222" s="68">
        <v>1</v>
      </c>
      <c r="E222" s="68">
        <v>2</v>
      </c>
      <c r="F222" s="68">
        <v>3</v>
      </c>
      <c r="G222" s="68">
        <v>4</v>
      </c>
      <c r="H222" s="68">
        <v>5</v>
      </c>
      <c r="I222" s="68">
        <v>6</v>
      </c>
      <c r="J222" s="68">
        <v>7</v>
      </c>
      <c r="K222" s="68">
        <v>8</v>
      </c>
      <c r="L222" s="68">
        <v>9</v>
      </c>
      <c r="M222" s="68">
        <v>10</v>
      </c>
      <c r="N222" s="68">
        <v>11</v>
      </c>
      <c r="O222" s="68">
        <v>12</v>
      </c>
      <c r="P222" s="68">
        <v>13</v>
      </c>
      <c r="Q222" s="68">
        <v>14</v>
      </c>
      <c r="R222" s="68">
        <v>15</v>
      </c>
      <c r="S222" s="68">
        <v>16</v>
      </c>
      <c r="T222" s="68">
        <v>17</v>
      </c>
      <c r="U222" s="68">
        <v>18</v>
      </c>
      <c r="V222" s="68">
        <v>19</v>
      </c>
      <c r="W222" s="68">
        <v>20</v>
      </c>
      <c r="X222" s="68">
        <v>21</v>
      </c>
      <c r="Y222" s="68">
        <v>22</v>
      </c>
      <c r="Z222" s="68">
        <v>23</v>
      </c>
      <c r="AA222" s="68">
        <v>24</v>
      </c>
      <c r="AB222" s="68">
        <v>25</v>
      </c>
      <c r="AC222" s="68">
        <v>26</v>
      </c>
      <c r="AD222" s="68">
        <v>27</v>
      </c>
      <c r="AE222" s="68">
        <v>28</v>
      </c>
      <c r="AF222" s="68">
        <v>29</v>
      </c>
      <c r="AG222" s="68">
        <v>30</v>
      </c>
      <c r="AH222" s="68">
        <v>31</v>
      </c>
      <c r="AI222" s="68">
        <v>32</v>
      </c>
    </row>
    <row r="223" spans="1:55" ht="24.95" customHeight="1" x14ac:dyDescent="0.25">
      <c r="A223" s="64" t="s">
        <v>549</v>
      </c>
      <c r="D223" s="68">
        <f>C181</f>
        <v>1</v>
      </c>
      <c r="E223" s="68">
        <f t="shared" ref="E223" si="500">D181</f>
        <v>0</v>
      </c>
      <c r="F223" s="68">
        <f t="shared" ref="F223" si="501">E181</f>
        <v>1</v>
      </c>
      <c r="G223" s="68">
        <f t="shared" ref="G223" si="502">F181</f>
        <v>1</v>
      </c>
      <c r="H223" s="68">
        <f t="shared" ref="H223" si="503">G181</f>
        <v>1</v>
      </c>
      <c r="I223" s="68">
        <f t="shared" ref="I223" si="504">H181</f>
        <v>1</v>
      </c>
      <c r="J223" s="68">
        <f t="shared" ref="J223" si="505">I181</f>
        <v>0</v>
      </c>
      <c r="K223" s="68">
        <f t="shared" ref="K223" si="506">J181</f>
        <v>0</v>
      </c>
      <c r="L223" s="68">
        <f t="shared" ref="L223" si="507">K181</f>
        <v>0</v>
      </c>
      <c r="M223" s="68">
        <f t="shared" ref="M223" si="508">L181</f>
        <v>1</v>
      </c>
      <c r="N223" s="68">
        <f t="shared" ref="N223" si="509">M181</f>
        <v>1</v>
      </c>
      <c r="O223" s="68">
        <f t="shared" ref="O223" si="510">N181</f>
        <v>1</v>
      </c>
      <c r="P223" s="68">
        <f t="shared" ref="P223" si="511">O181</f>
        <v>1</v>
      </c>
      <c r="Q223" s="68">
        <f t="shared" ref="Q223" si="512">P181</f>
        <v>1</v>
      </c>
      <c r="R223" s="68">
        <f t="shared" ref="R223" si="513">Q181</f>
        <v>1</v>
      </c>
      <c r="S223" s="68">
        <f t="shared" ref="S223" si="514">R181</f>
        <v>1</v>
      </c>
      <c r="T223" s="68">
        <f t="shared" ref="T223" si="515">S181</f>
        <v>1</v>
      </c>
      <c r="U223" s="68">
        <f t="shared" ref="U223" si="516">T181</f>
        <v>0</v>
      </c>
      <c r="V223" s="68">
        <f t="shared" ref="V223" si="517">U181</f>
        <v>0</v>
      </c>
      <c r="W223" s="68">
        <f t="shared" ref="W223" si="518">V181</f>
        <v>0</v>
      </c>
      <c r="X223" s="68">
        <f t="shared" ref="X223" si="519">W181</f>
        <v>1</v>
      </c>
      <c r="Y223" s="68">
        <f t="shared" ref="Y223" si="520">X181</f>
        <v>0</v>
      </c>
      <c r="Z223" s="68">
        <f t="shared" ref="Z223" si="521">Y181</f>
        <v>0</v>
      </c>
      <c r="AA223" s="68">
        <f t="shared" ref="AA223" si="522">Z181</f>
        <v>1</v>
      </c>
      <c r="AB223" s="68">
        <f t="shared" ref="AB223" si="523">AA181</f>
        <v>1</v>
      </c>
      <c r="AC223" s="68">
        <f t="shared" ref="AC223" si="524">AB181</f>
        <v>1</v>
      </c>
      <c r="AD223" s="68">
        <f t="shared" ref="AD223" si="525">AC181</f>
        <v>0</v>
      </c>
      <c r="AE223" s="68">
        <f t="shared" ref="AE223" si="526">AD181</f>
        <v>1</v>
      </c>
      <c r="AF223" s="68">
        <f t="shared" ref="AF223" si="527">AE181</f>
        <v>1</v>
      </c>
      <c r="AG223" s="68">
        <f t="shared" ref="AG223" si="528">AF181</f>
        <v>0</v>
      </c>
      <c r="AH223" s="68">
        <f t="shared" ref="AH223" si="529">AG181</f>
        <v>0</v>
      </c>
      <c r="AI223" s="68">
        <f t="shared" ref="AI223" si="530">AH181</f>
        <v>0</v>
      </c>
    </row>
    <row r="225" spans="1:51" ht="24.95" customHeight="1" x14ac:dyDescent="0.25">
      <c r="A225" s="114" t="s">
        <v>599</v>
      </c>
      <c r="B225" s="114"/>
      <c r="C225" s="114"/>
      <c r="D225" s="70">
        <v>1</v>
      </c>
      <c r="E225" s="70">
        <v>2</v>
      </c>
      <c r="F225" s="70">
        <v>3</v>
      </c>
      <c r="G225" s="70">
        <v>4</v>
      </c>
      <c r="H225" s="70">
        <v>5</v>
      </c>
      <c r="I225" s="70">
        <v>6</v>
      </c>
      <c r="J225" s="70">
        <v>7</v>
      </c>
      <c r="K225" s="70">
        <v>8</v>
      </c>
      <c r="L225" s="70">
        <v>9</v>
      </c>
      <c r="M225" s="70">
        <v>10</v>
      </c>
      <c r="N225" s="70">
        <v>11</v>
      </c>
      <c r="O225" s="70">
        <v>12</v>
      </c>
      <c r="P225" s="70">
        <v>13</v>
      </c>
      <c r="Q225" s="70">
        <v>14</v>
      </c>
      <c r="R225" s="70">
        <v>15</v>
      </c>
      <c r="S225" s="70">
        <v>16</v>
      </c>
      <c r="T225" s="70">
        <v>17</v>
      </c>
      <c r="U225" s="70">
        <v>18</v>
      </c>
      <c r="V225" s="70">
        <v>19</v>
      </c>
      <c r="W225" s="70">
        <v>20</v>
      </c>
      <c r="X225" s="70">
        <v>21</v>
      </c>
      <c r="Y225" s="70">
        <v>22</v>
      </c>
      <c r="Z225" s="70">
        <v>23</v>
      </c>
      <c r="AA225" s="70">
        <v>24</v>
      </c>
      <c r="AB225" s="70">
        <v>25</v>
      </c>
      <c r="AC225" s="70">
        <v>26</v>
      </c>
      <c r="AD225" s="70">
        <v>27</v>
      </c>
      <c r="AE225" s="70">
        <v>28</v>
      </c>
      <c r="AF225" s="70">
        <v>29</v>
      </c>
      <c r="AG225" s="70">
        <v>30</v>
      </c>
      <c r="AH225" s="70">
        <v>31</v>
      </c>
      <c r="AI225" s="70">
        <v>32</v>
      </c>
    </row>
    <row r="226" spans="1:51" ht="24.95" customHeight="1" x14ac:dyDescent="0.25">
      <c r="A226" s="64" t="s">
        <v>551</v>
      </c>
      <c r="D226" s="70">
        <f>--_xlfn.XOR(C217,D174)</f>
        <v>1</v>
      </c>
      <c r="E226" s="70">
        <f t="shared" ref="E226:AI226" si="531">--_xlfn.XOR(D217,E174)</f>
        <v>1</v>
      </c>
      <c r="F226" s="70">
        <f t="shared" si="531"/>
        <v>0</v>
      </c>
      <c r="G226" s="70">
        <f t="shared" si="531"/>
        <v>1</v>
      </c>
      <c r="H226" s="70">
        <f t="shared" si="531"/>
        <v>0</v>
      </c>
      <c r="I226" s="70">
        <f t="shared" si="531"/>
        <v>0</v>
      </c>
      <c r="J226" s="70">
        <f t="shared" si="531"/>
        <v>1</v>
      </c>
      <c r="K226" s="70">
        <f t="shared" si="531"/>
        <v>1</v>
      </c>
      <c r="L226" s="70">
        <f t="shared" si="531"/>
        <v>1</v>
      </c>
      <c r="M226" s="70">
        <f t="shared" si="531"/>
        <v>0</v>
      </c>
      <c r="N226" s="70">
        <f t="shared" si="531"/>
        <v>0</v>
      </c>
      <c r="O226" s="70">
        <f t="shared" si="531"/>
        <v>0</v>
      </c>
      <c r="P226" s="70">
        <f t="shared" si="531"/>
        <v>1</v>
      </c>
      <c r="Q226" s="70">
        <f t="shared" si="531"/>
        <v>1</v>
      </c>
      <c r="R226" s="70">
        <f t="shared" si="531"/>
        <v>1</v>
      </c>
      <c r="S226" s="70">
        <f t="shared" si="531"/>
        <v>1</v>
      </c>
      <c r="T226" s="70">
        <f t="shared" si="531"/>
        <v>1</v>
      </c>
      <c r="U226" s="70">
        <f t="shared" si="531"/>
        <v>1</v>
      </c>
      <c r="V226" s="70">
        <f t="shared" si="531"/>
        <v>0</v>
      </c>
      <c r="W226" s="70">
        <f t="shared" si="531"/>
        <v>1</v>
      </c>
      <c r="X226" s="70">
        <f t="shared" si="531"/>
        <v>1</v>
      </c>
      <c r="Y226" s="70">
        <f t="shared" si="531"/>
        <v>0</v>
      </c>
      <c r="Z226" s="70">
        <f t="shared" si="531"/>
        <v>0</v>
      </c>
      <c r="AA226" s="70">
        <f t="shared" si="531"/>
        <v>1</v>
      </c>
      <c r="AB226" s="70">
        <f t="shared" si="531"/>
        <v>0</v>
      </c>
      <c r="AC226" s="70">
        <f t="shared" si="531"/>
        <v>0</v>
      </c>
      <c r="AD226" s="70">
        <f t="shared" si="531"/>
        <v>0</v>
      </c>
      <c r="AE226" s="70">
        <f t="shared" si="531"/>
        <v>1</v>
      </c>
      <c r="AF226" s="70">
        <f t="shared" si="531"/>
        <v>1</v>
      </c>
      <c r="AG226" s="70">
        <f t="shared" si="531"/>
        <v>0</v>
      </c>
      <c r="AH226" s="70">
        <f t="shared" si="531"/>
        <v>1</v>
      </c>
      <c r="AI226" s="70">
        <f t="shared" si="531"/>
        <v>1</v>
      </c>
    </row>
    <row r="227" spans="1:51" ht="24.95" customHeight="1" x14ac:dyDescent="0.25">
      <c r="A227" s="132" t="s">
        <v>600</v>
      </c>
    </row>
    <row r="228" spans="1:51" s="132" customFormat="1" ht="24.95" customHeight="1" x14ac:dyDescent="0.25">
      <c r="B228" s="133"/>
      <c r="C228" s="134"/>
    </row>
    <row r="229" spans="1:51" ht="24.95" customHeight="1" x14ac:dyDescent="0.25">
      <c r="B229" s="21"/>
      <c r="C229" s="70">
        <v>1</v>
      </c>
      <c r="D229" s="70">
        <v>2</v>
      </c>
      <c r="E229" s="70">
        <v>3</v>
      </c>
      <c r="F229" s="70">
        <v>4</v>
      </c>
      <c r="G229" s="70">
        <v>5</v>
      </c>
      <c r="H229" s="70">
        <v>6</v>
      </c>
      <c r="I229" s="70">
        <v>7</v>
      </c>
      <c r="J229" s="70">
        <v>8</v>
      </c>
      <c r="K229" s="70">
        <v>9</v>
      </c>
      <c r="L229" s="70">
        <v>10</v>
      </c>
      <c r="M229" s="70">
        <v>11</v>
      </c>
      <c r="N229" s="70">
        <v>12</v>
      </c>
      <c r="O229" s="70">
        <v>13</v>
      </c>
      <c r="P229" s="70">
        <v>14</v>
      </c>
      <c r="Q229" s="70">
        <v>15</v>
      </c>
      <c r="R229" s="70">
        <v>16</v>
      </c>
      <c r="S229" s="70">
        <v>17</v>
      </c>
      <c r="T229" s="70">
        <v>18</v>
      </c>
      <c r="U229" s="70">
        <v>19</v>
      </c>
      <c r="V229" s="70">
        <v>20</v>
      </c>
      <c r="W229" s="70">
        <v>21</v>
      </c>
      <c r="X229" s="70">
        <v>22</v>
      </c>
      <c r="Y229" s="70">
        <v>23</v>
      </c>
      <c r="Z229" s="70">
        <v>24</v>
      </c>
      <c r="AA229" s="70">
        <v>25</v>
      </c>
      <c r="AB229" s="70">
        <v>26</v>
      </c>
      <c r="AC229" s="70">
        <v>27</v>
      </c>
      <c r="AD229" s="70">
        <v>28</v>
      </c>
      <c r="AE229" s="70">
        <v>29</v>
      </c>
      <c r="AF229" s="70">
        <v>30</v>
      </c>
      <c r="AG229" s="70">
        <v>31</v>
      </c>
      <c r="AH229" s="70">
        <v>32</v>
      </c>
    </row>
    <row r="230" spans="1:51" ht="24.95" customHeight="1" x14ac:dyDescent="0.25">
      <c r="A230" s="114" t="s">
        <v>599</v>
      </c>
      <c r="B230" s="114"/>
      <c r="C230" s="70">
        <f>D226</f>
        <v>1</v>
      </c>
      <c r="D230" s="70">
        <f t="shared" ref="D230:AH230" si="532">E226</f>
        <v>1</v>
      </c>
      <c r="E230" s="70">
        <f t="shared" si="532"/>
        <v>0</v>
      </c>
      <c r="F230" s="70">
        <f t="shared" si="532"/>
        <v>1</v>
      </c>
      <c r="G230" s="70">
        <f t="shared" si="532"/>
        <v>0</v>
      </c>
      <c r="H230" s="70">
        <f t="shared" si="532"/>
        <v>0</v>
      </c>
      <c r="I230" s="70">
        <f t="shared" si="532"/>
        <v>1</v>
      </c>
      <c r="J230" s="70">
        <f t="shared" si="532"/>
        <v>1</v>
      </c>
      <c r="K230" s="70">
        <f t="shared" si="532"/>
        <v>1</v>
      </c>
      <c r="L230" s="70">
        <f t="shared" si="532"/>
        <v>0</v>
      </c>
      <c r="M230" s="70">
        <f t="shared" si="532"/>
        <v>0</v>
      </c>
      <c r="N230" s="70">
        <f t="shared" si="532"/>
        <v>0</v>
      </c>
      <c r="O230" s="70">
        <f t="shared" si="532"/>
        <v>1</v>
      </c>
      <c r="P230" s="70">
        <f t="shared" si="532"/>
        <v>1</v>
      </c>
      <c r="Q230" s="70">
        <f t="shared" si="532"/>
        <v>1</v>
      </c>
      <c r="R230" s="70">
        <f t="shared" si="532"/>
        <v>1</v>
      </c>
      <c r="S230" s="70">
        <f t="shared" si="532"/>
        <v>1</v>
      </c>
      <c r="T230" s="70">
        <f t="shared" si="532"/>
        <v>1</v>
      </c>
      <c r="U230" s="70">
        <f t="shared" si="532"/>
        <v>0</v>
      </c>
      <c r="V230" s="70">
        <f t="shared" si="532"/>
        <v>1</v>
      </c>
      <c r="W230" s="70">
        <f t="shared" si="532"/>
        <v>1</v>
      </c>
      <c r="X230" s="70">
        <f t="shared" si="532"/>
        <v>0</v>
      </c>
      <c r="Y230" s="70">
        <f t="shared" si="532"/>
        <v>0</v>
      </c>
      <c r="Z230" s="70">
        <f t="shared" si="532"/>
        <v>1</v>
      </c>
      <c r="AA230" s="70">
        <f t="shared" si="532"/>
        <v>0</v>
      </c>
      <c r="AB230" s="70">
        <f t="shared" si="532"/>
        <v>0</v>
      </c>
      <c r="AC230" s="70">
        <f t="shared" si="532"/>
        <v>0</v>
      </c>
      <c r="AD230" s="70">
        <f t="shared" si="532"/>
        <v>1</v>
      </c>
      <c r="AE230" s="70">
        <f t="shared" si="532"/>
        <v>1</v>
      </c>
      <c r="AF230" s="70">
        <f t="shared" si="532"/>
        <v>0</v>
      </c>
      <c r="AG230" s="70">
        <f t="shared" si="532"/>
        <v>1</v>
      </c>
      <c r="AH230" s="70">
        <f t="shared" si="532"/>
        <v>1</v>
      </c>
      <c r="AI230" s="135"/>
    </row>
    <row r="232" spans="1:51" ht="24.95" customHeight="1" x14ac:dyDescent="0.25">
      <c r="A232" s="132"/>
      <c r="B232" s="133"/>
      <c r="C232" s="134"/>
      <c r="D232" s="132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32"/>
      <c r="AE232" s="132"/>
      <c r="AF232" s="132"/>
      <c r="AG232" s="132"/>
      <c r="AH232" s="132"/>
      <c r="AI232" s="132"/>
      <c r="AJ232" s="132"/>
      <c r="AK232" s="132"/>
      <c r="AL232" s="132"/>
      <c r="AM232" s="132"/>
      <c r="AN232" s="132"/>
      <c r="AO232" s="132"/>
      <c r="AP232" s="132"/>
      <c r="AQ232" s="132"/>
      <c r="AR232" s="132"/>
      <c r="AS232" s="132"/>
      <c r="AT232" s="132"/>
      <c r="AU232" s="132"/>
      <c r="AV232" s="132"/>
      <c r="AW232" s="132"/>
      <c r="AX232" s="132"/>
      <c r="AY232" s="132"/>
    </row>
    <row r="234" spans="1:51" ht="24.95" customHeight="1" x14ac:dyDescent="0.25">
      <c r="A234" s="118" t="s">
        <v>532</v>
      </c>
      <c r="B234" s="118"/>
      <c r="C234" s="75">
        <v>32</v>
      </c>
      <c r="D234" s="74">
        <v>1</v>
      </c>
      <c r="E234" s="74">
        <v>2</v>
      </c>
      <c r="F234" s="74">
        <v>3</v>
      </c>
      <c r="G234" s="74">
        <v>4</v>
      </c>
      <c r="H234" s="73">
        <v>5</v>
      </c>
      <c r="I234" s="122"/>
      <c r="J234" s="118">
        <f>AH230</f>
        <v>1</v>
      </c>
      <c r="K234" s="118">
        <f>C230</f>
        <v>1</v>
      </c>
      <c r="L234" s="118">
        <f>D230</f>
        <v>1</v>
      </c>
      <c r="M234" s="118">
        <f>E230</f>
        <v>0</v>
      </c>
      <c r="N234" s="69">
        <f>F230</f>
        <v>1</v>
      </c>
      <c r="O234" s="119">
        <f>G230</f>
        <v>0</v>
      </c>
      <c r="P234" s="122"/>
    </row>
    <row r="235" spans="1:51" ht="24.95" customHeight="1" x14ac:dyDescent="0.25">
      <c r="C235" s="75">
        <v>4</v>
      </c>
      <c r="D235" s="74">
        <v>5</v>
      </c>
      <c r="E235" s="74">
        <v>6</v>
      </c>
      <c r="F235" s="74">
        <v>7</v>
      </c>
      <c r="G235" s="74">
        <v>8</v>
      </c>
      <c r="H235" s="73">
        <v>9</v>
      </c>
      <c r="I235" s="122"/>
      <c r="J235" s="118">
        <f t="shared" ref="J235" si="533">F230</f>
        <v>1</v>
      </c>
      <c r="K235" s="69">
        <f t="shared" ref="K235" si="534">G230</f>
        <v>0</v>
      </c>
      <c r="L235" s="69">
        <f t="shared" ref="L235" si="535">H230</f>
        <v>0</v>
      </c>
      <c r="M235" s="69">
        <f t="shared" ref="M235" si="536">I230</f>
        <v>1</v>
      </c>
      <c r="N235" s="69">
        <f t="shared" ref="N235" si="537">J230</f>
        <v>1</v>
      </c>
      <c r="O235" s="119">
        <f t="shared" ref="O235" si="538">K230</f>
        <v>1</v>
      </c>
      <c r="P235" s="122"/>
    </row>
    <row r="236" spans="1:51" ht="24.95" customHeight="1" x14ac:dyDescent="0.25">
      <c r="C236" s="75">
        <v>8</v>
      </c>
      <c r="D236" s="74">
        <v>9</v>
      </c>
      <c r="E236" s="74">
        <v>10</v>
      </c>
      <c r="F236" s="74">
        <v>11</v>
      </c>
      <c r="G236" s="74">
        <v>12</v>
      </c>
      <c r="H236" s="73">
        <v>13</v>
      </c>
      <c r="I236" s="123"/>
      <c r="J236" s="120">
        <f t="shared" ref="J236:O236" si="539">J230</f>
        <v>1</v>
      </c>
      <c r="K236" s="69">
        <f t="shared" si="539"/>
        <v>1</v>
      </c>
      <c r="L236" s="69">
        <f t="shared" si="539"/>
        <v>0</v>
      </c>
      <c r="M236" s="69">
        <f t="shared" si="539"/>
        <v>0</v>
      </c>
      <c r="N236" s="69">
        <f t="shared" si="539"/>
        <v>0</v>
      </c>
      <c r="O236" s="119">
        <f t="shared" si="539"/>
        <v>1</v>
      </c>
      <c r="P236" s="123"/>
    </row>
    <row r="237" spans="1:51" ht="24.95" customHeight="1" x14ac:dyDescent="0.25">
      <c r="C237" s="75">
        <v>12</v>
      </c>
      <c r="D237" s="74">
        <v>13</v>
      </c>
      <c r="E237" s="74">
        <v>14</v>
      </c>
      <c r="F237" s="74">
        <v>15</v>
      </c>
      <c r="G237" s="74">
        <v>16</v>
      </c>
      <c r="H237" s="73">
        <v>17</v>
      </c>
      <c r="I237" s="122"/>
      <c r="J237" s="118">
        <f t="shared" ref="J237" si="540">N230</f>
        <v>0</v>
      </c>
      <c r="K237" s="69">
        <f t="shared" ref="K237" si="541">O230</f>
        <v>1</v>
      </c>
      <c r="L237" s="69">
        <f t="shared" ref="L237" si="542">P230</f>
        <v>1</v>
      </c>
      <c r="M237" s="69">
        <f t="shared" ref="M237" si="543">Q230</f>
        <v>1</v>
      </c>
      <c r="N237" s="69">
        <f t="shared" ref="N237" si="544">R230</f>
        <v>1</v>
      </c>
      <c r="O237" s="119">
        <f t="shared" ref="O237" si="545">S230</f>
        <v>1</v>
      </c>
      <c r="P237" s="122"/>
    </row>
    <row r="238" spans="1:51" ht="24.95" customHeight="1" x14ac:dyDescent="0.25">
      <c r="C238" s="75">
        <v>16</v>
      </c>
      <c r="D238" s="74">
        <v>17</v>
      </c>
      <c r="E238" s="74">
        <v>18</v>
      </c>
      <c r="F238" s="74">
        <v>19</v>
      </c>
      <c r="G238" s="74">
        <v>20</v>
      </c>
      <c r="H238" s="73">
        <v>21</v>
      </c>
      <c r="I238" s="122"/>
      <c r="J238" s="118">
        <f t="shared" ref="J238" si="546">R230</f>
        <v>1</v>
      </c>
      <c r="K238" s="69">
        <f t="shared" ref="K238" si="547">S230</f>
        <v>1</v>
      </c>
      <c r="L238" s="69">
        <f t="shared" ref="L238" si="548">T230</f>
        <v>1</v>
      </c>
      <c r="M238" s="69">
        <f t="shared" ref="M238" si="549">U230</f>
        <v>0</v>
      </c>
      <c r="N238" s="69">
        <f t="shared" ref="N238" si="550">V230</f>
        <v>1</v>
      </c>
      <c r="O238" s="119">
        <f t="shared" ref="O238" si="551">W230</f>
        <v>1</v>
      </c>
      <c r="P238" s="122"/>
    </row>
    <row r="239" spans="1:51" ht="24.95" customHeight="1" x14ac:dyDescent="0.25">
      <c r="C239" s="75">
        <v>20</v>
      </c>
      <c r="D239" s="74">
        <v>21</v>
      </c>
      <c r="E239" s="74">
        <v>22</v>
      </c>
      <c r="F239" s="74">
        <v>23</v>
      </c>
      <c r="G239" s="74">
        <v>24</v>
      </c>
      <c r="H239" s="73">
        <v>25</v>
      </c>
      <c r="I239" s="122"/>
      <c r="J239" s="118">
        <f t="shared" ref="J239" si="552">V230</f>
        <v>1</v>
      </c>
      <c r="K239" s="69">
        <f t="shared" ref="K239" si="553">W230</f>
        <v>1</v>
      </c>
      <c r="L239" s="69">
        <f t="shared" ref="L239" si="554">X230</f>
        <v>0</v>
      </c>
      <c r="M239" s="69">
        <f t="shared" ref="M239" si="555">Y230</f>
        <v>0</v>
      </c>
      <c r="N239" s="69">
        <f t="shared" ref="N239" si="556">Z230</f>
        <v>1</v>
      </c>
      <c r="O239" s="119">
        <f t="shared" ref="O239" si="557">AA230</f>
        <v>0</v>
      </c>
      <c r="P239" s="122"/>
    </row>
    <row r="240" spans="1:51" ht="24.95" customHeight="1" x14ac:dyDescent="0.25">
      <c r="C240" s="75">
        <v>24</v>
      </c>
      <c r="D240" s="74">
        <v>25</v>
      </c>
      <c r="E240" s="74">
        <v>26</v>
      </c>
      <c r="F240" s="74">
        <v>27</v>
      </c>
      <c r="G240" s="74">
        <v>28</v>
      </c>
      <c r="H240" s="73">
        <v>29</v>
      </c>
      <c r="I240" s="122"/>
      <c r="J240" s="118">
        <f t="shared" ref="J240" si="558">Z230</f>
        <v>1</v>
      </c>
      <c r="K240" s="69">
        <f t="shared" ref="K240" si="559">AA230</f>
        <v>0</v>
      </c>
      <c r="L240" s="69">
        <f t="shared" ref="L240" si="560">AB230</f>
        <v>0</v>
      </c>
      <c r="M240" s="69">
        <f t="shared" ref="M240" si="561">AC230</f>
        <v>0</v>
      </c>
      <c r="N240" s="69">
        <f t="shared" ref="N240" si="562">AD230</f>
        <v>1</v>
      </c>
      <c r="O240" s="119">
        <f t="shared" ref="O240" si="563">AE230</f>
        <v>1</v>
      </c>
      <c r="P240" s="122"/>
    </row>
    <row r="241" spans="1:55" ht="24.95" customHeight="1" x14ac:dyDescent="0.25">
      <c r="C241" s="75">
        <v>28</v>
      </c>
      <c r="D241" s="74">
        <v>29</v>
      </c>
      <c r="E241" s="74">
        <v>30</v>
      </c>
      <c r="F241" s="74">
        <v>31</v>
      </c>
      <c r="G241" s="74">
        <v>32</v>
      </c>
      <c r="H241" s="73">
        <v>1</v>
      </c>
      <c r="I241" s="122"/>
      <c r="J241" s="70">
        <f>AD230</f>
        <v>1</v>
      </c>
      <c r="K241" s="71">
        <f>AE230</f>
        <v>1</v>
      </c>
      <c r="L241" s="71">
        <f>AF230</f>
        <v>0</v>
      </c>
      <c r="M241" s="71">
        <f>AG230</f>
        <v>1</v>
      </c>
      <c r="N241" s="71">
        <f>AH230</f>
        <v>1</v>
      </c>
      <c r="O241" s="121">
        <f>C230</f>
        <v>1</v>
      </c>
      <c r="P241" s="122"/>
    </row>
    <row r="244" spans="1:55" ht="24.95" customHeight="1" x14ac:dyDescent="0.25">
      <c r="A244" s="124" t="s">
        <v>533</v>
      </c>
      <c r="B244" s="124"/>
      <c r="C244" s="125">
        <v>1</v>
      </c>
      <c r="D244" s="126">
        <v>2</v>
      </c>
      <c r="E244" s="125">
        <v>3</v>
      </c>
      <c r="F244" s="126">
        <v>4</v>
      </c>
      <c r="G244" s="125">
        <v>5</v>
      </c>
      <c r="H244" s="126">
        <v>6</v>
      </c>
      <c r="I244" s="125">
        <v>7</v>
      </c>
      <c r="J244" s="126">
        <v>8</v>
      </c>
      <c r="K244" s="125">
        <v>9</v>
      </c>
      <c r="L244" s="126">
        <v>10</v>
      </c>
      <c r="M244" s="125">
        <v>11</v>
      </c>
      <c r="N244" s="126">
        <v>12</v>
      </c>
      <c r="O244" s="125">
        <v>13</v>
      </c>
      <c r="P244" s="126">
        <v>14</v>
      </c>
      <c r="Q244" s="125">
        <v>15</v>
      </c>
      <c r="R244" s="126">
        <v>16</v>
      </c>
      <c r="S244" s="125">
        <v>17</v>
      </c>
      <c r="T244" s="126">
        <v>18</v>
      </c>
      <c r="U244" s="125">
        <v>19</v>
      </c>
      <c r="V244" s="126">
        <v>20</v>
      </c>
      <c r="W244" s="125">
        <v>21</v>
      </c>
      <c r="X244" s="126">
        <v>22</v>
      </c>
      <c r="Y244" s="125">
        <v>23</v>
      </c>
      <c r="Z244" s="126">
        <v>24</v>
      </c>
      <c r="AA244" s="125">
        <v>25</v>
      </c>
      <c r="AB244" s="126">
        <v>26</v>
      </c>
      <c r="AC244" s="125">
        <v>27</v>
      </c>
      <c r="AD244" s="126">
        <v>28</v>
      </c>
      <c r="AE244" s="125">
        <v>29</v>
      </c>
      <c r="AF244" s="126">
        <v>30</v>
      </c>
      <c r="AG244" s="125">
        <v>31</v>
      </c>
      <c r="AH244" s="126">
        <v>32</v>
      </c>
      <c r="AI244" s="125">
        <v>33</v>
      </c>
      <c r="AJ244" s="126">
        <v>34</v>
      </c>
      <c r="AK244" s="125">
        <v>35</v>
      </c>
      <c r="AL244" s="126">
        <v>36</v>
      </c>
      <c r="AM244" s="125">
        <v>37</v>
      </c>
      <c r="AN244" s="126">
        <v>38</v>
      </c>
      <c r="AO244" s="125">
        <v>39</v>
      </c>
      <c r="AP244" s="126">
        <v>40</v>
      </c>
      <c r="AQ244" s="125">
        <v>41</v>
      </c>
      <c r="AR244" s="126">
        <v>42</v>
      </c>
      <c r="AS244" s="125">
        <v>43</v>
      </c>
      <c r="AT244" s="126">
        <v>44</v>
      </c>
      <c r="AU244" s="125">
        <v>45</v>
      </c>
      <c r="AV244" s="126">
        <v>46</v>
      </c>
      <c r="AW244" s="125">
        <v>47</v>
      </c>
      <c r="AX244" s="126">
        <v>48</v>
      </c>
    </row>
    <row r="245" spans="1:55" ht="24.95" customHeight="1" x14ac:dyDescent="0.25">
      <c r="C245" s="125">
        <f t="shared" ref="C245" si="564">J234</f>
        <v>1</v>
      </c>
      <c r="D245" s="125">
        <f t="shared" ref="D245" si="565">K234</f>
        <v>1</v>
      </c>
      <c r="E245" s="125">
        <f t="shared" ref="E245" si="566">L234</f>
        <v>1</v>
      </c>
      <c r="F245" s="125">
        <f t="shared" ref="F245" si="567">M234</f>
        <v>0</v>
      </c>
      <c r="G245" s="126">
        <f t="shared" ref="G245" si="568">N234</f>
        <v>1</v>
      </c>
      <c r="H245" s="126">
        <f t="shared" ref="H245" si="569">O234</f>
        <v>0</v>
      </c>
      <c r="I245" s="125">
        <f t="shared" ref="I245" si="570">J235</f>
        <v>1</v>
      </c>
      <c r="J245" s="125">
        <f t="shared" ref="J245" si="571">K235</f>
        <v>0</v>
      </c>
      <c r="K245" s="125">
        <f t="shared" ref="K245" si="572">L235</f>
        <v>0</v>
      </c>
      <c r="L245" s="125">
        <f t="shared" ref="L245" si="573">M235</f>
        <v>1</v>
      </c>
      <c r="M245" s="125">
        <f t="shared" ref="M245" si="574">N235</f>
        <v>1</v>
      </c>
      <c r="N245" s="125">
        <f t="shared" ref="N245" si="575">O235</f>
        <v>1</v>
      </c>
      <c r="O245" s="126">
        <f t="shared" ref="O245" si="576">J236</f>
        <v>1</v>
      </c>
      <c r="P245" s="126">
        <f t="shared" ref="P245" si="577">K236</f>
        <v>1</v>
      </c>
      <c r="Q245" s="126">
        <f t="shared" ref="Q245" si="578">L236</f>
        <v>0</v>
      </c>
      <c r="R245" s="126">
        <f t="shared" ref="R245" si="579">M236</f>
        <v>0</v>
      </c>
      <c r="S245" s="126">
        <f t="shared" ref="S245" si="580">N236</f>
        <v>0</v>
      </c>
      <c r="T245" s="126">
        <f t="shared" ref="T245" si="581">O236</f>
        <v>1</v>
      </c>
      <c r="U245" s="125">
        <f t="shared" ref="U245" si="582">J237</f>
        <v>0</v>
      </c>
      <c r="V245" s="126">
        <f t="shared" ref="V245" si="583">K237</f>
        <v>1</v>
      </c>
      <c r="W245" s="125">
        <f t="shared" ref="W245" si="584">L237</f>
        <v>1</v>
      </c>
      <c r="X245" s="126">
        <f t="shared" ref="X245" si="585">M237</f>
        <v>1</v>
      </c>
      <c r="Y245" s="125">
        <f t="shared" ref="Y245" si="586">N237</f>
        <v>1</v>
      </c>
      <c r="Z245" s="126">
        <f t="shared" ref="Z245" si="587">O237</f>
        <v>1</v>
      </c>
      <c r="AA245" s="125">
        <f t="shared" ref="AA245" si="588">J238</f>
        <v>1</v>
      </c>
      <c r="AB245" s="126">
        <f t="shared" ref="AB245" si="589">K238</f>
        <v>1</v>
      </c>
      <c r="AC245" s="125">
        <f t="shared" ref="AC245" si="590">L238</f>
        <v>1</v>
      </c>
      <c r="AD245" s="126">
        <f t="shared" ref="AD245" si="591">M238</f>
        <v>0</v>
      </c>
      <c r="AE245" s="125">
        <f t="shared" ref="AE245" si="592">N238</f>
        <v>1</v>
      </c>
      <c r="AF245" s="126">
        <f t="shared" ref="AF245" si="593">O238</f>
        <v>1</v>
      </c>
      <c r="AG245" s="125">
        <f t="shared" ref="AG245" si="594">J239</f>
        <v>1</v>
      </c>
      <c r="AH245" s="126">
        <f t="shared" ref="AH245" si="595">K239</f>
        <v>1</v>
      </c>
      <c r="AI245" s="125">
        <f t="shared" ref="AI245" si="596">L239</f>
        <v>0</v>
      </c>
      <c r="AJ245" s="126">
        <f t="shared" ref="AJ245" si="597">M239</f>
        <v>0</v>
      </c>
      <c r="AK245" s="125">
        <f t="shared" ref="AK245" si="598">N239</f>
        <v>1</v>
      </c>
      <c r="AL245" s="126">
        <f t="shared" ref="AL245" si="599">O239</f>
        <v>0</v>
      </c>
      <c r="AM245" s="125">
        <f t="shared" ref="AM245" si="600">J240</f>
        <v>1</v>
      </c>
      <c r="AN245" s="126">
        <f t="shared" ref="AN245" si="601">K240</f>
        <v>0</v>
      </c>
      <c r="AO245" s="125">
        <f t="shared" ref="AO245" si="602">L240</f>
        <v>0</v>
      </c>
      <c r="AP245" s="126">
        <f t="shared" ref="AP245" si="603">M240</f>
        <v>0</v>
      </c>
      <c r="AQ245" s="125">
        <f t="shared" ref="AQ245" si="604">N240</f>
        <v>1</v>
      </c>
      <c r="AR245" s="126">
        <f t="shared" ref="AR245" si="605">O240</f>
        <v>1</v>
      </c>
      <c r="AS245" s="125">
        <f t="shared" ref="AS245" si="606">J241</f>
        <v>1</v>
      </c>
      <c r="AT245" s="126">
        <f t="shared" ref="AT245" si="607">K241</f>
        <v>1</v>
      </c>
      <c r="AU245" s="125">
        <f t="shared" ref="AU245" si="608">L241</f>
        <v>0</v>
      </c>
      <c r="AV245" s="126">
        <f t="shared" ref="AV245" si="609">M241</f>
        <v>1</v>
      </c>
      <c r="AW245" s="125">
        <f t="shared" ref="AW245" si="610">N241</f>
        <v>1</v>
      </c>
      <c r="AX245" s="126">
        <f t="shared" ref="AX245" si="611">O241</f>
        <v>1</v>
      </c>
    </row>
    <row r="248" spans="1:55" ht="24.95" customHeight="1" x14ac:dyDescent="0.25">
      <c r="A248" s="127" t="s">
        <v>601</v>
      </c>
      <c r="B248" s="127"/>
      <c r="C248" s="77">
        <f>'Key Generator'!D202</f>
        <v>1</v>
      </c>
      <c r="D248" s="77">
        <f>'Key Generator'!E202</f>
        <v>2</v>
      </c>
      <c r="E248" s="77">
        <f>'Key Generator'!F202</f>
        <v>3</v>
      </c>
      <c r="F248" s="77">
        <f>'Key Generator'!G202</f>
        <v>4</v>
      </c>
      <c r="G248" s="77">
        <f>'Key Generator'!H202</f>
        <v>5</v>
      </c>
      <c r="H248" s="77">
        <f>'Key Generator'!I202</f>
        <v>6</v>
      </c>
      <c r="I248" s="77">
        <f>'Key Generator'!J202</f>
        <v>7</v>
      </c>
      <c r="J248" s="77">
        <f>'Key Generator'!K202</f>
        <v>8</v>
      </c>
      <c r="K248" s="77">
        <f>'Key Generator'!L202</f>
        <v>9</v>
      </c>
      <c r="L248" s="77">
        <f>'Key Generator'!M202</f>
        <v>10</v>
      </c>
      <c r="M248" s="77">
        <f>'Key Generator'!N202</f>
        <v>11</v>
      </c>
      <c r="N248" s="77">
        <f>'Key Generator'!O202</f>
        <v>12</v>
      </c>
      <c r="O248" s="77">
        <f>'Key Generator'!P202</f>
        <v>13</v>
      </c>
      <c r="P248" s="77">
        <f>'Key Generator'!Q202</f>
        <v>14</v>
      </c>
      <c r="Q248" s="77">
        <f>'Key Generator'!R202</f>
        <v>15</v>
      </c>
      <c r="R248" s="77">
        <f>'Key Generator'!S202</f>
        <v>16</v>
      </c>
      <c r="S248" s="77">
        <f>'Key Generator'!T202</f>
        <v>17</v>
      </c>
      <c r="T248" s="77">
        <f>'Key Generator'!U202</f>
        <v>18</v>
      </c>
      <c r="U248" s="77">
        <f>'Key Generator'!V202</f>
        <v>19</v>
      </c>
      <c r="V248" s="77">
        <f>'Key Generator'!W202</f>
        <v>20</v>
      </c>
      <c r="W248" s="77">
        <f>'Key Generator'!X202</f>
        <v>21</v>
      </c>
      <c r="X248" s="77">
        <f>'Key Generator'!Y202</f>
        <v>22</v>
      </c>
      <c r="Y248" s="77">
        <f>'Key Generator'!Z202</f>
        <v>23</v>
      </c>
      <c r="Z248" s="77">
        <f>'Key Generator'!AA202</f>
        <v>24</v>
      </c>
      <c r="AA248" s="77">
        <f>'Key Generator'!AB202</f>
        <v>25</v>
      </c>
      <c r="AB248" s="77">
        <f>'Key Generator'!AC202</f>
        <v>26</v>
      </c>
      <c r="AC248" s="77">
        <f>'Key Generator'!AD202</f>
        <v>27</v>
      </c>
      <c r="AD248" s="77">
        <f>'Key Generator'!AE202</f>
        <v>28</v>
      </c>
      <c r="AE248" s="77">
        <f>'Key Generator'!AF202</f>
        <v>29</v>
      </c>
      <c r="AF248" s="77">
        <f>'Key Generator'!AG202</f>
        <v>30</v>
      </c>
      <c r="AG248" s="77">
        <f>'Key Generator'!AH202</f>
        <v>31</v>
      </c>
      <c r="AH248" s="77">
        <f>'Key Generator'!AI202</f>
        <v>32</v>
      </c>
      <c r="AI248" s="77">
        <f>'Key Generator'!AJ202</f>
        <v>33</v>
      </c>
      <c r="AJ248" s="77">
        <f>'Key Generator'!AK202</f>
        <v>34</v>
      </c>
      <c r="AK248" s="77">
        <f>'Key Generator'!AL202</f>
        <v>35</v>
      </c>
      <c r="AL248" s="77">
        <f>'Key Generator'!AM202</f>
        <v>36</v>
      </c>
      <c r="AM248" s="77">
        <f>'Key Generator'!AN202</f>
        <v>37</v>
      </c>
      <c r="AN248" s="77">
        <f>'Key Generator'!AO202</f>
        <v>38</v>
      </c>
      <c r="AO248" s="77">
        <f>'Key Generator'!AP202</f>
        <v>39</v>
      </c>
      <c r="AP248" s="77">
        <f>'Key Generator'!AQ202</f>
        <v>40</v>
      </c>
      <c r="AQ248" s="77">
        <f>'Key Generator'!AR202</f>
        <v>41</v>
      </c>
      <c r="AR248" s="77">
        <f>'Key Generator'!AS202</f>
        <v>42</v>
      </c>
      <c r="AS248" s="77">
        <f>'Key Generator'!AT202</f>
        <v>43</v>
      </c>
      <c r="AT248" s="77">
        <f>'Key Generator'!AU202</f>
        <v>44</v>
      </c>
      <c r="AU248" s="77">
        <f>'Key Generator'!AV202</f>
        <v>45</v>
      </c>
      <c r="AV248" s="77">
        <f>'Key Generator'!AW202</f>
        <v>46</v>
      </c>
      <c r="AW248" s="77">
        <f>'Key Generator'!AX202</f>
        <v>47</v>
      </c>
      <c r="AX248" s="77">
        <f>'Key Generator'!AY202</f>
        <v>48</v>
      </c>
    </row>
    <row r="249" spans="1:55" ht="24.95" customHeight="1" x14ac:dyDescent="0.25">
      <c r="C249" s="77">
        <f>'Key Generator'!D203</f>
        <v>0</v>
      </c>
      <c r="D249" s="77">
        <f>'Key Generator'!E203</f>
        <v>1</v>
      </c>
      <c r="E249" s="77">
        <f>'Key Generator'!F203</f>
        <v>0</v>
      </c>
      <c r="F249" s="77">
        <f>'Key Generator'!G203</f>
        <v>1</v>
      </c>
      <c r="G249" s="77">
        <f>'Key Generator'!H203</f>
        <v>0</v>
      </c>
      <c r="H249" s="77">
        <f>'Key Generator'!I203</f>
        <v>0</v>
      </c>
      <c r="I249" s="77">
        <f>'Key Generator'!J203</f>
        <v>0</v>
      </c>
      <c r="J249" s="77">
        <f>'Key Generator'!K203</f>
        <v>1</v>
      </c>
      <c r="K249" s="77">
        <f>'Key Generator'!L203</f>
        <v>0</v>
      </c>
      <c r="L249" s="77">
        <f>'Key Generator'!M203</f>
        <v>0</v>
      </c>
      <c r="M249" s="77">
        <f>'Key Generator'!N203</f>
        <v>1</v>
      </c>
      <c r="N249" s="77">
        <f>'Key Generator'!O203</f>
        <v>0</v>
      </c>
      <c r="O249" s="77">
        <f>'Key Generator'!P203</f>
        <v>1</v>
      </c>
      <c r="P249" s="77">
        <f>'Key Generator'!Q203</f>
        <v>1</v>
      </c>
      <c r="Q249" s="77">
        <f>'Key Generator'!R203</f>
        <v>0</v>
      </c>
      <c r="R249" s="77">
        <f>'Key Generator'!S203</f>
        <v>0</v>
      </c>
      <c r="S249" s="77">
        <f>'Key Generator'!T203</f>
        <v>0</v>
      </c>
      <c r="T249" s="77">
        <f>'Key Generator'!U203</f>
        <v>1</v>
      </c>
      <c r="U249" s="77">
        <f>'Key Generator'!V203</f>
        <v>1</v>
      </c>
      <c r="V249" s="77">
        <f>'Key Generator'!W203</f>
        <v>0</v>
      </c>
      <c r="W249" s="77">
        <f>'Key Generator'!X203</f>
        <v>0</v>
      </c>
      <c r="X249" s="77">
        <f>'Key Generator'!Y203</f>
        <v>0</v>
      </c>
      <c r="Y249" s="77">
        <f>'Key Generator'!Z203</f>
        <v>0</v>
      </c>
      <c r="Z249" s="77">
        <f>'Key Generator'!AA203</f>
        <v>0</v>
      </c>
      <c r="AA249" s="77">
        <f>'Key Generator'!AB203</f>
        <v>1</v>
      </c>
      <c r="AB249" s="77">
        <f>'Key Generator'!AC203</f>
        <v>0</v>
      </c>
      <c r="AC249" s="77">
        <f>'Key Generator'!AD203</f>
        <v>1</v>
      </c>
      <c r="AD249" s="77">
        <f>'Key Generator'!AE203</f>
        <v>0</v>
      </c>
      <c r="AE249" s="77">
        <f>'Key Generator'!AF203</f>
        <v>0</v>
      </c>
      <c r="AF249" s="77">
        <f>'Key Generator'!AG203</f>
        <v>0</v>
      </c>
      <c r="AG249" s="77">
        <f>'Key Generator'!AH203</f>
        <v>0</v>
      </c>
      <c r="AH249" s="77">
        <f>'Key Generator'!AI203</f>
        <v>1</v>
      </c>
      <c r="AI249" s="77">
        <f>'Key Generator'!AJ203</f>
        <v>0</v>
      </c>
      <c r="AJ249" s="77">
        <f>'Key Generator'!AK203</f>
        <v>0</v>
      </c>
      <c r="AK249" s="77">
        <f>'Key Generator'!AL203</f>
        <v>0</v>
      </c>
      <c r="AL249" s="77">
        <f>'Key Generator'!AM203</f>
        <v>1</v>
      </c>
      <c r="AM249" s="77">
        <f>'Key Generator'!AN203</f>
        <v>1</v>
      </c>
      <c r="AN249" s="77">
        <f>'Key Generator'!AO203</f>
        <v>1</v>
      </c>
      <c r="AO249" s="77">
        <f>'Key Generator'!AP203</f>
        <v>0</v>
      </c>
      <c r="AP249" s="77">
        <f>'Key Generator'!AQ203</f>
        <v>1</v>
      </c>
      <c r="AQ249" s="77">
        <f>'Key Generator'!AR203</f>
        <v>1</v>
      </c>
      <c r="AR249" s="77">
        <f>'Key Generator'!AS203</f>
        <v>0</v>
      </c>
      <c r="AS249" s="77">
        <f>'Key Generator'!AT203</f>
        <v>1</v>
      </c>
      <c r="AT249" s="77">
        <f>'Key Generator'!AU203</f>
        <v>1</v>
      </c>
      <c r="AU249" s="77">
        <f>'Key Generator'!AV203</f>
        <v>1</v>
      </c>
      <c r="AV249" s="77">
        <f>'Key Generator'!AW203</f>
        <v>0</v>
      </c>
      <c r="AW249" s="77">
        <f>'Key Generator'!AX203</f>
        <v>1</v>
      </c>
      <c r="AX249" s="77">
        <f>'Key Generator'!AY203</f>
        <v>1</v>
      </c>
    </row>
    <row r="252" spans="1:55" ht="24.95" customHeight="1" x14ac:dyDescent="0.25">
      <c r="A252" s="128" t="s">
        <v>535</v>
      </c>
      <c r="B252" s="129"/>
      <c r="C252" s="79">
        <v>1</v>
      </c>
      <c r="D252" s="80">
        <v>2</v>
      </c>
      <c r="E252" s="79">
        <v>3</v>
      </c>
      <c r="F252" s="80">
        <v>4</v>
      </c>
      <c r="G252" s="79">
        <v>5</v>
      </c>
      <c r="H252" s="80">
        <v>6</v>
      </c>
      <c r="I252" s="79">
        <v>7</v>
      </c>
      <c r="J252" s="80">
        <v>8</v>
      </c>
      <c r="K252" s="79">
        <v>9</v>
      </c>
      <c r="L252" s="80">
        <v>10</v>
      </c>
      <c r="M252" s="79">
        <v>11</v>
      </c>
      <c r="N252" s="80">
        <v>12</v>
      </c>
      <c r="O252" s="79">
        <v>13</v>
      </c>
      <c r="P252" s="80">
        <v>14</v>
      </c>
      <c r="Q252" s="79">
        <v>15</v>
      </c>
      <c r="R252" s="80">
        <v>16</v>
      </c>
      <c r="S252" s="79">
        <v>17</v>
      </c>
      <c r="T252" s="80">
        <v>18</v>
      </c>
      <c r="U252" s="79">
        <v>19</v>
      </c>
      <c r="V252" s="80">
        <v>20</v>
      </c>
      <c r="W252" s="79">
        <v>21</v>
      </c>
      <c r="X252" s="80">
        <v>22</v>
      </c>
      <c r="Y252" s="79">
        <v>23</v>
      </c>
      <c r="Z252" s="80">
        <v>24</v>
      </c>
      <c r="AA252" s="79">
        <v>25</v>
      </c>
      <c r="AB252" s="80">
        <v>26</v>
      </c>
      <c r="AC252" s="79">
        <v>27</v>
      </c>
      <c r="AD252" s="80">
        <v>28</v>
      </c>
      <c r="AE252" s="79">
        <v>29</v>
      </c>
      <c r="AF252" s="80">
        <v>30</v>
      </c>
      <c r="AG252" s="79">
        <v>31</v>
      </c>
      <c r="AH252" s="80">
        <v>32</v>
      </c>
      <c r="AI252" s="79">
        <v>33</v>
      </c>
      <c r="AJ252" s="80">
        <v>34</v>
      </c>
      <c r="AK252" s="79">
        <v>35</v>
      </c>
      <c r="AL252" s="80">
        <v>36</v>
      </c>
      <c r="AM252" s="79">
        <v>37</v>
      </c>
      <c r="AN252" s="80">
        <v>38</v>
      </c>
      <c r="AO252" s="79">
        <v>39</v>
      </c>
      <c r="AP252" s="80">
        <v>40</v>
      </c>
      <c r="AQ252" s="79">
        <v>41</v>
      </c>
      <c r="AR252" s="80">
        <v>42</v>
      </c>
      <c r="AS252" s="79">
        <v>43</v>
      </c>
      <c r="AT252" s="80">
        <v>44</v>
      </c>
      <c r="AU252" s="79">
        <v>45</v>
      </c>
      <c r="AV252" s="80">
        <v>46</v>
      </c>
      <c r="AW252" s="79">
        <v>47</v>
      </c>
      <c r="AX252" s="80">
        <v>48</v>
      </c>
    </row>
    <row r="253" spans="1:55" ht="24.95" customHeight="1" x14ac:dyDescent="0.25">
      <c r="C253" s="88">
        <f>--_xlfn.XOR(C245,'Key Generator'!D203)</f>
        <v>1</v>
      </c>
      <c r="D253" s="88">
        <f>--_xlfn.XOR(D245,'Key Generator'!E203)</f>
        <v>0</v>
      </c>
      <c r="E253" s="88">
        <f>--_xlfn.XOR(E245,'Key Generator'!F203)</f>
        <v>1</v>
      </c>
      <c r="F253" s="88">
        <f>--_xlfn.XOR(F245,'Key Generator'!G203)</f>
        <v>1</v>
      </c>
      <c r="G253" s="88">
        <f>--_xlfn.XOR(G245,'Key Generator'!H203)</f>
        <v>1</v>
      </c>
      <c r="H253" s="88">
        <f>--_xlfn.XOR(H245,'Key Generator'!I203)</f>
        <v>0</v>
      </c>
      <c r="I253" s="87">
        <f>--_xlfn.XOR(I245,'Key Generator'!J203)</f>
        <v>1</v>
      </c>
      <c r="J253" s="87">
        <f>--_xlfn.XOR(J245,'Key Generator'!K203)</f>
        <v>1</v>
      </c>
      <c r="K253" s="87">
        <f>--_xlfn.XOR(K245,'Key Generator'!L203)</f>
        <v>0</v>
      </c>
      <c r="L253" s="87">
        <f>--_xlfn.XOR(L245,'Key Generator'!M203)</f>
        <v>1</v>
      </c>
      <c r="M253" s="87">
        <f>--_xlfn.XOR(M245,'Key Generator'!N203)</f>
        <v>0</v>
      </c>
      <c r="N253" s="87">
        <f>--_xlfn.XOR(N245,'Key Generator'!O203)</f>
        <v>1</v>
      </c>
      <c r="O253" s="89">
        <f>--_xlfn.XOR(O245,'Key Generator'!P203)</f>
        <v>0</v>
      </c>
      <c r="P253" s="89">
        <f>--_xlfn.XOR(P245,'Key Generator'!Q203)</f>
        <v>0</v>
      </c>
      <c r="Q253" s="89">
        <f>--_xlfn.XOR(Q245,'Key Generator'!R203)</f>
        <v>0</v>
      </c>
      <c r="R253" s="89">
        <f>--_xlfn.XOR(R245,'Key Generator'!S203)</f>
        <v>0</v>
      </c>
      <c r="S253" s="89">
        <f>--_xlfn.XOR(S245,'Key Generator'!T203)</f>
        <v>0</v>
      </c>
      <c r="T253" s="89">
        <f>--_xlfn.XOR(T245,'Key Generator'!U203)</f>
        <v>0</v>
      </c>
      <c r="U253" s="90">
        <f>--_xlfn.XOR(U245,'Key Generator'!V203)</f>
        <v>1</v>
      </c>
      <c r="V253" s="90">
        <f>--_xlfn.XOR(V245,'Key Generator'!W203)</f>
        <v>1</v>
      </c>
      <c r="W253" s="90">
        <f>--_xlfn.XOR(W245,'Key Generator'!X203)</f>
        <v>1</v>
      </c>
      <c r="X253" s="90">
        <f>--_xlfn.XOR(X245,'Key Generator'!Y203)</f>
        <v>1</v>
      </c>
      <c r="Y253" s="90">
        <f>--_xlfn.XOR(Y245,'Key Generator'!Z203)</f>
        <v>1</v>
      </c>
      <c r="Z253" s="90">
        <f>--_xlfn.XOR(Z245,'Key Generator'!AA203)</f>
        <v>1</v>
      </c>
      <c r="AA253" s="91">
        <f>--_xlfn.XOR(AA245,'Key Generator'!AB203)</f>
        <v>0</v>
      </c>
      <c r="AB253" s="91">
        <f>--_xlfn.XOR(AB245,'Key Generator'!AC203)</f>
        <v>1</v>
      </c>
      <c r="AC253" s="91">
        <f>--_xlfn.XOR(AC245,'Key Generator'!AD203)</f>
        <v>0</v>
      </c>
      <c r="AD253" s="91">
        <f>--_xlfn.XOR(AD245,'Key Generator'!AE203)</f>
        <v>0</v>
      </c>
      <c r="AE253" s="91">
        <f>--_xlfn.XOR(AE245,'Key Generator'!AF203)</f>
        <v>1</v>
      </c>
      <c r="AF253" s="91">
        <f>--_xlfn.XOR(AF245,'Key Generator'!AG203)</f>
        <v>1</v>
      </c>
      <c r="AG253" s="92">
        <f>--_xlfn.XOR(AG245,'Key Generator'!AH203)</f>
        <v>1</v>
      </c>
      <c r="AH253" s="92">
        <f>--_xlfn.XOR(AH245,'Key Generator'!AI203)</f>
        <v>0</v>
      </c>
      <c r="AI253" s="92">
        <f>--_xlfn.XOR(AI245,'Key Generator'!AJ203)</f>
        <v>0</v>
      </c>
      <c r="AJ253" s="92">
        <f>--_xlfn.XOR(AJ245,'Key Generator'!AK203)</f>
        <v>0</v>
      </c>
      <c r="AK253" s="92">
        <f>--_xlfn.XOR(AK245,'Key Generator'!AL203)</f>
        <v>1</v>
      </c>
      <c r="AL253" s="92">
        <f>--_xlfn.XOR(AL245,'Key Generator'!AM203)</f>
        <v>1</v>
      </c>
      <c r="AM253" s="86">
        <f>--_xlfn.XOR(AM245,'Key Generator'!AN203)</f>
        <v>0</v>
      </c>
      <c r="AN253" s="86">
        <f>--_xlfn.XOR(AN245,'Key Generator'!AO203)</f>
        <v>1</v>
      </c>
      <c r="AO253" s="86">
        <f>--_xlfn.XOR(AO245,'Key Generator'!AP203)</f>
        <v>0</v>
      </c>
      <c r="AP253" s="86">
        <f>--_xlfn.XOR(AP245,'Key Generator'!AQ203)</f>
        <v>1</v>
      </c>
      <c r="AQ253" s="86">
        <f>--_xlfn.XOR(AQ245,'Key Generator'!AR203)</f>
        <v>0</v>
      </c>
      <c r="AR253" s="86">
        <f>--_xlfn.XOR(AR245,'Key Generator'!AS203)</f>
        <v>1</v>
      </c>
      <c r="AS253" s="81">
        <f>--_xlfn.XOR(AS245,'Key Generator'!AT203)</f>
        <v>0</v>
      </c>
      <c r="AT253" s="81">
        <f>--_xlfn.XOR(AT245,'Key Generator'!AU203)</f>
        <v>0</v>
      </c>
      <c r="AU253" s="81">
        <f>--_xlfn.XOR(AU245,'Key Generator'!AV203)</f>
        <v>1</v>
      </c>
      <c r="AV253" s="81">
        <f>--_xlfn.XOR(AV245,'Key Generator'!AW203)</f>
        <v>1</v>
      </c>
      <c r="AW253" s="81">
        <f>--_xlfn.XOR(AW245,'Key Generator'!AX203)</f>
        <v>0</v>
      </c>
      <c r="AX253" s="81">
        <f>--_xlfn.XOR(AX245,'Key Generator'!AY203)</f>
        <v>0</v>
      </c>
      <c r="AZ253" s="20"/>
      <c r="BA253" s="20"/>
      <c r="BB253" s="20"/>
      <c r="BC253" s="20"/>
    </row>
    <row r="254" spans="1:55" ht="24.95" customHeight="1" x14ac:dyDescent="0.25">
      <c r="C254" s="93"/>
      <c r="D254" s="94"/>
      <c r="E254" s="94"/>
      <c r="F254" s="94"/>
      <c r="G254" s="94"/>
      <c r="H254" s="94"/>
      <c r="AZ254" s="20"/>
      <c r="BA254" s="20"/>
      <c r="BB254" s="20"/>
      <c r="BC254" s="20"/>
    </row>
    <row r="255" spans="1:55" ht="24.95" customHeight="1" x14ac:dyDescent="0.25">
      <c r="A255" s="96" t="s">
        <v>545</v>
      </c>
      <c r="B255" s="97"/>
      <c r="C255" s="101">
        <f>D253*8+E253*4+F253*2+G253</f>
        <v>7</v>
      </c>
      <c r="D255" s="123" t="s">
        <v>536</v>
      </c>
      <c r="E255" s="97"/>
      <c r="F255" s="97"/>
      <c r="G255" s="97"/>
      <c r="H255" s="97"/>
      <c r="I255" s="101">
        <f>J253*8+K253*4+L253*2+M253</f>
        <v>10</v>
      </c>
      <c r="J255" s="122" t="s">
        <v>537</v>
      </c>
      <c r="K255" s="97"/>
      <c r="L255" s="97"/>
      <c r="M255" s="97"/>
      <c r="N255" s="97"/>
      <c r="O255" s="101">
        <f>P253*8+Q253*4+R253*2+S253</f>
        <v>0</v>
      </c>
      <c r="P255" s="122" t="s">
        <v>538</v>
      </c>
      <c r="Q255" s="97"/>
      <c r="R255" s="97"/>
      <c r="S255" s="97"/>
      <c r="T255" s="97"/>
      <c r="U255" s="101">
        <f>V253*8+W253*4+X253*2+Y253</f>
        <v>15</v>
      </c>
      <c r="V255" s="122" t="s">
        <v>539</v>
      </c>
      <c r="W255" s="97"/>
      <c r="X255" s="97"/>
      <c r="Y255" s="97"/>
      <c r="Z255" s="97"/>
      <c r="AA255" s="101">
        <f>AB253*8+AC253*4+AD253*2+AE253</f>
        <v>9</v>
      </c>
      <c r="AB255" s="122" t="s">
        <v>540</v>
      </c>
      <c r="AC255" s="97"/>
      <c r="AD255" s="97"/>
      <c r="AE255" s="97"/>
      <c r="AF255" s="97"/>
      <c r="AG255" s="101">
        <f>AH253*8+AI253*4+AJ253*2+AK253</f>
        <v>1</v>
      </c>
      <c r="AH255" s="122" t="s">
        <v>541</v>
      </c>
      <c r="AI255" s="97"/>
      <c r="AJ255" s="97"/>
      <c r="AK255" s="97"/>
      <c r="AL255" s="97"/>
      <c r="AM255" s="101">
        <f>AN253*8+AO253*4+AP253*2+AQ253</f>
        <v>10</v>
      </c>
      <c r="AN255" s="122" t="s">
        <v>542</v>
      </c>
      <c r="AO255" s="97"/>
      <c r="AP255" s="97"/>
      <c r="AQ255" s="97"/>
      <c r="AR255" s="97"/>
      <c r="AS255" s="101">
        <f>AT253*8+AU253*4+AV253*2+AW253</f>
        <v>6</v>
      </c>
      <c r="AT255" s="122" t="s">
        <v>543</v>
      </c>
      <c r="AU255" s="97"/>
      <c r="AV255" s="97"/>
      <c r="AW255" s="97"/>
      <c r="AX255" s="97"/>
      <c r="AY255" s="97"/>
      <c r="AZ255" s="20"/>
      <c r="BA255" s="20"/>
      <c r="BB255" s="20"/>
      <c r="BC255" s="20"/>
    </row>
    <row r="256" spans="1:55" ht="24.95" customHeight="1" x14ac:dyDescent="0.25">
      <c r="A256" s="100" t="s">
        <v>546</v>
      </c>
      <c r="B256" s="99"/>
      <c r="C256" s="87">
        <f>C253*2+H253</f>
        <v>2</v>
      </c>
      <c r="D256" s="98"/>
      <c r="E256" s="98"/>
      <c r="F256" s="99"/>
      <c r="G256" s="99"/>
      <c r="H256" s="99"/>
      <c r="I256" s="87">
        <f>I253*2+N253</f>
        <v>3</v>
      </c>
      <c r="J256" s="99"/>
      <c r="K256" s="99"/>
      <c r="L256" s="99"/>
      <c r="M256" s="99"/>
      <c r="N256" s="99"/>
      <c r="O256" s="87">
        <f>O253*2+T253</f>
        <v>0</v>
      </c>
      <c r="P256" s="99"/>
      <c r="Q256" s="99"/>
      <c r="R256" s="99"/>
      <c r="S256" s="99"/>
      <c r="T256" s="99"/>
      <c r="U256" s="87">
        <f>U253*2+Z253</f>
        <v>3</v>
      </c>
      <c r="V256" s="99"/>
      <c r="W256" s="99"/>
      <c r="X256" s="99"/>
      <c r="Y256" s="99"/>
      <c r="Z256" s="99"/>
      <c r="AA256" s="87">
        <f>AA253*2+AF253</f>
        <v>1</v>
      </c>
      <c r="AB256" s="99"/>
      <c r="AC256" s="99"/>
      <c r="AD256" s="99"/>
      <c r="AE256" s="99"/>
      <c r="AF256" s="99"/>
      <c r="AG256" s="87">
        <f>AG253*2+AL253</f>
        <v>3</v>
      </c>
      <c r="AH256" s="99"/>
      <c r="AI256" s="99"/>
      <c r="AJ256" s="99"/>
      <c r="AK256" s="99"/>
      <c r="AL256" s="99"/>
      <c r="AM256" s="87">
        <f>AM253*2+AR253</f>
        <v>1</v>
      </c>
      <c r="AN256" s="99"/>
      <c r="AO256" s="99"/>
      <c r="AP256" s="99"/>
      <c r="AQ256" s="99"/>
      <c r="AR256" s="99"/>
      <c r="AS256" s="87">
        <f>AS253*2+AX253</f>
        <v>0</v>
      </c>
      <c r="AT256" s="99"/>
      <c r="AU256" s="99"/>
      <c r="AV256" s="99"/>
      <c r="AW256" s="99"/>
      <c r="AX256" s="99"/>
      <c r="AY256" s="99"/>
      <c r="AZ256" s="20"/>
      <c r="BA256" s="20"/>
      <c r="BB256" s="20"/>
      <c r="BC256" s="20"/>
    </row>
    <row r="257" spans="1:55" ht="24.95" customHeight="1" x14ac:dyDescent="0.25">
      <c r="AZ257" s="20"/>
      <c r="BA257" s="20"/>
      <c r="BB257" s="20"/>
      <c r="BC257" s="20"/>
    </row>
    <row r="258" spans="1:55" ht="24.95" customHeight="1" x14ac:dyDescent="0.25">
      <c r="A258" s="117" t="s">
        <v>547</v>
      </c>
      <c r="C258" s="72">
        <f>INDEX('S-Box'!D3:S6,'DES-Enc'!C256+1,'DES-Enc'!C255+1)</f>
        <v>11</v>
      </c>
      <c r="I258" s="102">
        <f>INDEX('S-Box'!D9:S12,'DES-Enc'!I256+1,'DES-Enc'!I255+1)</f>
        <v>7</v>
      </c>
      <c r="O258" s="102">
        <f>INDEX('S-Box'!D15:S18,'DES-Enc'!O256+1,'DES-Enc'!O255+1)</f>
        <v>10</v>
      </c>
      <c r="U258" s="102">
        <f>INDEX('S-Box'!D21:S24,'DES-Enc'!U256+1,'DES-Enc'!U255+1)</f>
        <v>14</v>
      </c>
      <c r="AA258" s="102">
        <f>INDEX('S-Box'!D27:S30,'DES-Enc'!AA256+1,'DES-Enc'!AA255+1)</f>
        <v>0</v>
      </c>
      <c r="AG258" s="102">
        <f>INDEX('S-Box'!D33:S36,'DES-Enc'!AG256+1,'DES-Enc'!AG255+1)</f>
        <v>3</v>
      </c>
      <c r="AM258" s="102">
        <f>INDEX('S-Box'!D39:S42,'DES-Enc'!AM256+1,'DES-Enc'!AM255+1)</f>
        <v>5</v>
      </c>
      <c r="AS258" s="102">
        <f>INDEX('S-Box'!D45:S48,'DES-Enc'!AS256+1,'DES-Enc'!AS255+1)</f>
        <v>11</v>
      </c>
      <c r="AZ258" s="20"/>
      <c r="BA258" s="20"/>
      <c r="BB258" s="20"/>
      <c r="BC258" s="20"/>
    </row>
    <row r="259" spans="1:55" ht="24.95" customHeight="1" x14ac:dyDescent="0.25">
      <c r="C259" s="104"/>
      <c r="I259" s="95"/>
      <c r="O259" s="95"/>
      <c r="U259" s="95"/>
      <c r="AA259" s="95"/>
      <c r="AG259" s="95"/>
      <c r="AM259" s="95"/>
      <c r="AS259" s="95"/>
    </row>
    <row r="260" spans="1:55" ht="24.95" customHeight="1" x14ac:dyDescent="0.25">
      <c r="C260" s="105" t="str">
        <f>MID(DEC2BIN(C258,4),1,1)</f>
        <v>1</v>
      </c>
      <c r="D260" s="106" t="str">
        <f>MID(DEC2BIN(C258,4),2,1)</f>
        <v>0</v>
      </c>
      <c r="E260" s="106" t="str">
        <f>MID(DEC2BIN(C258,4),3,1)</f>
        <v>1</v>
      </c>
      <c r="F260" s="107" t="str">
        <f>MID(DEC2BIN(C258,4),4,1)</f>
        <v>1</v>
      </c>
      <c r="I260" s="105" t="str">
        <f>MID(DEC2BIN(I258,4),1,1)</f>
        <v>0</v>
      </c>
      <c r="J260" s="106" t="str">
        <f>MID(DEC2BIN(I258,4),2,1)</f>
        <v>1</v>
      </c>
      <c r="K260" s="106" t="str">
        <f>MID(DEC2BIN(I258,4),3,1)</f>
        <v>1</v>
      </c>
      <c r="L260" s="107" t="str">
        <f>MID(DEC2BIN(I258,4),4,1)</f>
        <v>1</v>
      </c>
      <c r="O260" s="105" t="str">
        <f>MID(DEC2BIN(O258,4),1,1)</f>
        <v>1</v>
      </c>
      <c r="P260" s="106" t="str">
        <f>MID(DEC2BIN(O258,4),2,1)</f>
        <v>0</v>
      </c>
      <c r="Q260" s="106" t="str">
        <f>MID(DEC2BIN(O258,4),3,1)</f>
        <v>1</v>
      </c>
      <c r="R260" s="107" t="str">
        <f>MID(DEC2BIN(O258,4),4,1)</f>
        <v>0</v>
      </c>
      <c r="U260" s="105" t="str">
        <f>MID(DEC2BIN(U258,4),1,1)</f>
        <v>1</v>
      </c>
      <c r="V260" s="106" t="str">
        <f>MID(DEC2BIN(U258,4),2,1)</f>
        <v>1</v>
      </c>
      <c r="W260" s="106" t="str">
        <f>MID(DEC2BIN(U258,4),3,1)</f>
        <v>1</v>
      </c>
      <c r="X260" s="107" t="str">
        <f>MID(DEC2BIN(U258,4),4,1)</f>
        <v>0</v>
      </c>
      <c r="AA260" s="105" t="str">
        <f>MID(DEC2BIN(AA258,4),1,1)</f>
        <v>0</v>
      </c>
      <c r="AB260" s="106" t="str">
        <f>MID(DEC2BIN(AA258,4),2,1)</f>
        <v>0</v>
      </c>
      <c r="AC260" s="106" t="str">
        <f>MID(DEC2BIN(AA258,4),3,1)</f>
        <v>0</v>
      </c>
      <c r="AD260" s="107" t="str">
        <f>MID(DEC2BIN(AA258,4),4,1)</f>
        <v>0</v>
      </c>
      <c r="AG260" s="105" t="str">
        <f>MID(DEC2BIN(AG258,4),1,1)</f>
        <v>0</v>
      </c>
      <c r="AH260" s="106" t="str">
        <f>MID(DEC2BIN(AG258,4),2,1)</f>
        <v>0</v>
      </c>
      <c r="AI260" s="106" t="str">
        <f>MID(DEC2BIN(AG258,4),3,1)</f>
        <v>1</v>
      </c>
      <c r="AJ260" s="107" t="str">
        <f>MID(DEC2BIN(AG258,4),4,1)</f>
        <v>1</v>
      </c>
      <c r="AM260" s="105" t="str">
        <f>MID(DEC2BIN(AM258,4),1,1)</f>
        <v>0</v>
      </c>
      <c r="AN260" s="106" t="str">
        <f>MID(DEC2BIN(AM258,4),2,1)</f>
        <v>1</v>
      </c>
      <c r="AO260" s="106" t="str">
        <f>MID(DEC2BIN(AM258,4),3,1)</f>
        <v>0</v>
      </c>
      <c r="AP260" s="107" t="str">
        <f>MID(DEC2BIN(AM258,4),4,1)</f>
        <v>1</v>
      </c>
      <c r="AS260" s="105" t="str">
        <f>MID(DEC2BIN(AS258,4),1,1)</f>
        <v>1</v>
      </c>
      <c r="AT260" s="106" t="str">
        <f>MID(DEC2BIN(AS258,4),2,1)</f>
        <v>0</v>
      </c>
      <c r="AU260" s="106" t="str">
        <f>MID(DEC2BIN(AS258,4),3,1)</f>
        <v>1</v>
      </c>
      <c r="AV260" s="107" t="str">
        <f>MID(DEC2BIN(AS258,4),4,1)</f>
        <v>1</v>
      </c>
    </row>
    <row r="261" spans="1:55" ht="24.95" customHeight="1" x14ac:dyDescent="0.25">
      <c r="C261" s="21">
        <f>VALUE(C260)</f>
        <v>1</v>
      </c>
      <c r="D261" s="21">
        <f t="shared" ref="D261" si="612">VALUE(D260)</f>
        <v>0</v>
      </c>
      <c r="E261" s="21">
        <f t="shared" ref="E261" si="613">VALUE(E260)</f>
        <v>1</v>
      </c>
      <c r="F261" s="21">
        <f t="shared" ref="F261" si="614">VALUE(F260)</f>
        <v>1</v>
      </c>
      <c r="I261" s="21">
        <f t="shared" ref="I261" si="615">VALUE(I260)</f>
        <v>0</v>
      </c>
      <c r="J261" s="21">
        <f t="shared" ref="J261" si="616">VALUE(J260)</f>
        <v>1</v>
      </c>
      <c r="K261" s="21">
        <f t="shared" ref="K261" si="617">VALUE(K260)</f>
        <v>1</v>
      </c>
      <c r="L261" s="21">
        <f t="shared" ref="L261" si="618">VALUE(L260)</f>
        <v>1</v>
      </c>
      <c r="O261" s="21">
        <f>VALUE(O260)</f>
        <v>1</v>
      </c>
      <c r="P261" s="21">
        <f t="shared" ref="P261" si="619">VALUE(P260)</f>
        <v>0</v>
      </c>
      <c r="Q261" s="21">
        <f t="shared" ref="Q261" si="620">VALUE(Q260)</f>
        <v>1</v>
      </c>
      <c r="R261" s="21">
        <f t="shared" ref="R261" si="621">VALUE(R260)</f>
        <v>0</v>
      </c>
      <c r="U261" s="21">
        <f>VALUE(U260)</f>
        <v>1</v>
      </c>
      <c r="V261" s="21">
        <f t="shared" ref="V261" si="622">VALUE(V260)</f>
        <v>1</v>
      </c>
      <c r="W261" s="21">
        <f t="shared" ref="W261" si="623">VALUE(W260)</f>
        <v>1</v>
      </c>
      <c r="X261" s="21">
        <f t="shared" ref="X261" si="624">VALUE(X260)</f>
        <v>0</v>
      </c>
      <c r="AA261" s="21">
        <f>VALUE(AA260)</f>
        <v>0</v>
      </c>
      <c r="AB261" s="21">
        <f t="shared" ref="AB261" si="625">VALUE(AB260)</f>
        <v>0</v>
      </c>
      <c r="AC261" s="21">
        <f t="shared" ref="AC261" si="626">VALUE(AC260)</f>
        <v>0</v>
      </c>
      <c r="AD261" s="21">
        <f t="shared" ref="AD261" si="627">VALUE(AD260)</f>
        <v>0</v>
      </c>
      <c r="AG261" s="21">
        <f>VALUE(AG260)</f>
        <v>0</v>
      </c>
      <c r="AH261" s="21">
        <f t="shared" ref="AH261" si="628">VALUE(AH260)</f>
        <v>0</v>
      </c>
      <c r="AI261" s="21">
        <f t="shared" ref="AI261" si="629">VALUE(AI260)</f>
        <v>1</v>
      </c>
      <c r="AJ261" s="21">
        <f t="shared" ref="AJ261" si="630">VALUE(AJ260)</f>
        <v>1</v>
      </c>
      <c r="AM261" s="21">
        <f>VALUE(AM260)</f>
        <v>0</v>
      </c>
      <c r="AN261" s="21">
        <f t="shared" ref="AN261" si="631">VALUE(AN260)</f>
        <v>1</v>
      </c>
      <c r="AO261" s="21">
        <f t="shared" ref="AO261" si="632">VALUE(AO260)</f>
        <v>0</v>
      </c>
      <c r="AP261" s="21">
        <f t="shared" ref="AP261" si="633">VALUE(AP260)</f>
        <v>1</v>
      </c>
      <c r="AS261" s="21">
        <f>VALUE(AS260)</f>
        <v>1</v>
      </c>
      <c r="AT261" s="21">
        <f t="shared" ref="AT261" si="634">VALUE(AT260)</f>
        <v>0</v>
      </c>
      <c r="AU261" s="21">
        <f t="shared" ref="AU261" si="635">VALUE(AU260)</f>
        <v>1</v>
      </c>
      <c r="AV261" s="21">
        <f t="shared" ref="AV261" si="636">VALUE(AV260)</f>
        <v>1</v>
      </c>
    </row>
    <row r="262" spans="1:55" ht="24.95" customHeight="1" x14ac:dyDescent="0.25">
      <c r="A262" s="111" t="s">
        <v>588</v>
      </c>
      <c r="B262" s="111"/>
      <c r="C262" s="111">
        <v>1</v>
      </c>
      <c r="D262" s="76">
        <v>2</v>
      </c>
      <c r="E262" s="111">
        <v>3</v>
      </c>
      <c r="F262" s="76">
        <v>4</v>
      </c>
      <c r="G262" s="111">
        <v>5</v>
      </c>
      <c r="H262" s="76">
        <v>6</v>
      </c>
      <c r="I262" s="111">
        <v>7</v>
      </c>
      <c r="J262" s="76">
        <v>8</v>
      </c>
      <c r="K262" s="111">
        <v>9</v>
      </c>
      <c r="L262" s="76">
        <v>10</v>
      </c>
      <c r="M262" s="111">
        <v>11</v>
      </c>
      <c r="N262" s="76">
        <v>12</v>
      </c>
      <c r="O262" s="111">
        <v>13</v>
      </c>
      <c r="P262" s="76">
        <v>14</v>
      </c>
      <c r="Q262" s="111">
        <v>15</v>
      </c>
      <c r="R262" s="76">
        <v>16</v>
      </c>
      <c r="S262" s="111">
        <v>17</v>
      </c>
      <c r="T262" s="76">
        <v>18</v>
      </c>
      <c r="U262" s="111">
        <v>19</v>
      </c>
      <c r="V262" s="76">
        <v>20</v>
      </c>
      <c r="W262" s="111">
        <v>21</v>
      </c>
      <c r="X262" s="76">
        <v>22</v>
      </c>
      <c r="Y262" s="111">
        <v>23</v>
      </c>
      <c r="Z262" s="76">
        <v>24</v>
      </c>
      <c r="AA262" s="111">
        <v>25</v>
      </c>
      <c r="AB262" s="76">
        <v>26</v>
      </c>
      <c r="AC262" s="111">
        <v>27</v>
      </c>
      <c r="AD262" s="76">
        <v>28</v>
      </c>
      <c r="AE262" s="111">
        <v>29</v>
      </c>
      <c r="AF262" s="76">
        <v>30</v>
      </c>
      <c r="AG262" s="111">
        <v>31</v>
      </c>
      <c r="AH262" s="76">
        <v>32</v>
      </c>
    </row>
    <row r="263" spans="1:55" ht="24.95" customHeight="1" x14ac:dyDescent="0.25">
      <c r="C263" s="108">
        <f>C261</f>
        <v>1</v>
      </c>
      <c r="D263" s="108">
        <f t="shared" ref="D263:F263" si="637">D261</f>
        <v>0</v>
      </c>
      <c r="E263" s="108">
        <f t="shared" si="637"/>
        <v>1</v>
      </c>
      <c r="F263" s="108">
        <f t="shared" si="637"/>
        <v>1</v>
      </c>
      <c r="G263" s="23">
        <f>I261</f>
        <v>0</v>
      </c>
      <c r="H263" s="23">
        <f t="shared" ref="H263" si="638">J261</f>
        <v>1</v>
      </c>
      <c r="I263" s="23">
        <f t="shared" ref="I263" si="639">K261</f>
        <v>1</v>
      </c>
      <c r="J263" s="23">
        <f t="shared" ref="J263" si="640">L261</f>
        <v>1</v>
      </c>
      <c r="K263" s="23">
        <f>O261</f>
        <v>1</v>
      </c>
      <c r="L263" s="23">
        <f t="shared" ref="L263" si="641">P261</f>
        <v>0</v>
      </c>
      <c r="M263" s="23">
        <f t="shared" ref="M263" si="642">Q261</f>
        <v>1</v>
      </c>
      <c r="N263" s="23">
        <f t="shared" ref="N263" si="643">R261</f>
        <v>0</v>
      </c>
      <c r="O263" s="23">
        <f>U261</f>
        <v>1</v>
      </c>
      <c r="P263" s="23">
        <f t="shared" ref="P263" si="644">V261</f>
        <v>1</v>
      </c>
      <c r="Q263" s="23">
        <f t="shared" ref="Q263" si="645">W261</f>
        <v>1</v>
      </c>
      <c r="R263" s="23">
        <f t="shared" ref="R263" si="646">X261</f>
        <v>0</v>
      </c>
      <c r="S263" s="23">
        <f>AA261</f>
        <v>0</v>
      </c>
      <c r="T263" s="23">
        <f t="shared" ref="T263" si="647">AB261</f>
        <v>0</v>
      </c>
      <c r="U263" s="23">
        <f t="shared" ref="U263" si="648">AC261</f>
        <v>0</v>
      </c>
      <c r="V263" s="23">
        <f t="shared" ref="V263" si="649">AD261</f>
        <v>0</v>
      </c>
      <c r="W263" s="23">
        <f>AG261</f>
        <v>0</v>
      </c>
      <c r="X263" s="23">
        <f t="shared" ref="X263" si="650">AH261</f>
        <v>0</v>
      </c>
      <c r="Y263" s="23">
        <f t="shared" ref="Y263" si="651">AI261</f>
        <v>1</v>
      </c>
      <c r="Z263" s="23">
        <f t="shared" ref="Z263" si="652">AJ261</f>
        <v>1</v>
      </c>
      <c r="AA263" s="23">
        <f>AM261</f>
        <v>0</v>
      </c>
      <c r="AB263" s="23">
        <f t="shared" ref="AB263" si="653">AN261</f>
        <v>1</v>
      </c>
      <c r="AC263" s="23">
        <f t="shared" ref="AC263" si="654">AO261</f>
        <v>0</v>
      </c>
      <c r="AD263" s="23">
        <f t="shared" ref="AD263" si="655">AP261</f>
        <v>1</v>
      </c>
      <c r="AE263" s="23">
        <f>AS261</f>
        <v>1</v>
      </c>
      <c r="AF263" s="23">
        <f t="shared" ref="AF263" si="656">AT261</f>
        <v>0</v>
      </c>
      <c r="AG263" s="23">
        <f t="shared" ref="AG263" si="657">AU261</f>
        <v>1</v>
      </c>
      <c r="AH263" s="23">
        <f t="shared" ref="AH263" si="658">AV261</f>
        <v>1</v>
      </c>
    </row>
    <row r="265" spans="1:55" ht="24.95" customHeight="1" x14ac:dyDescent="0.25">
      <c r="A265" s="110" t="s">
        <v>548</v>
      </c>
      <c r="B265" s="110"/>
      <c r="C265" s="109">
        <v>16</v>
      </c>
      <c r="D265" s="110">
        <v>7</v>
      </c>
      <c r="E265" s="110">
        <v>20</v>
      </c>
      <c r="F265" s="110">
        <v>21</v>
      </c>
      <c r="G265" s="110">
        <v>29</v>
      </c>
      <c r="H265" s="110">
        <v>12</v>
      </c>
      <c r="I265" s="110">
        <v>28</v>
      </c>
      <c r="J265" s="110">
        <v>17</v>
      </c>
      <c r="K265" s="110">
        <v>1</v>
      </c>
      <c r="L265" s="110">
        <v>15</v>
      </c>
      <c r="M265" s="110">
        <v>23</v>
      </c>
      <c r="N265" s="110">
        <v>26</v>
      </c>
      <c r="O265" s="110">
        <v>5</v>
      </c>
      <c r="P265" s="110">
        <v>18</v>
      </c>
      <c r="Q265" s="110">
        <v>31</v>
      </c>
      <c r="R265" s="110">
        <v>10</v>
      </c>
      <c r="S265" s="110">
        <v>2</v>
      </c>
      <c r="T265" s="110">
        <v>8</v>
      </c>
      <c r="U265" s="110">
        <v>24</v>
      </c>
      <c r="V265" s="110">
        <v>14</v>
      </c>
      <c r="W265" s="110">
        <v>32</v>
      </c>
      <c r="X265" s="110">
        <v>27</v>
      </c>
      <c r="Y265" s="110">
        <v>3</v>
      </c>
      <c r="Z265" s="110">
        <v>9</v>
      </c>
      <c r="AA265" s="110">
        <v>19</v>
      </c>
      <c r="AB265" s="110">
        <v>13</v>
      </c>
      <c r="AC265" s="110">
        <v>30</v>
      </c>
      <c r="AD265" s="110">
        <v>6</v>
      </c>
      <c r="AE265" s="110">
        <v>22</v>
      </c>
      <c r="AF265" s="110">
        <v>11</v>
      </c>
      <c r="AG265" s="110">
        <v>4</v>
      </c>
      <c r="AH265" s="110">
        <v>25</v>
      </c>
    </row>
    <row r="266" spans="1:55" ht="24.95" customHeight="1" x14ac:dyDescent="0.25">
      <c r="C266" s="103">
        <f>K263</f>
        <v>1</v>
      </c>
      <c r="D266" s="103">
        <f>S263</f>
        <v>0</v>
      </c>
      <c r="E266" s="103">
        <f>Y263</f>
        <v>1</v>
      </c>
      <c r="F266" s="112">
        <f>AG263</f>
        <v>1</v>
      </c>
      <c r="G266" s="103">
        <f>O263</f>
        <v>1</v>
      </c>
      <c r="H266" s="103">
        <f>AD263</f>
        <v>1</v>
      </c>
      <c r="I266" s="103">
        <f>D263</f>
        <v>0</v>
      </c>
      <c r="J266" s="103">
        <f>T263</f>
        <v>0</v>
      </c>
      <c r="K266" s="103">
        <f>Z263</f>
        <v>1</v>
      </c>
      <c r="L266" s="103">
        <f>R263</f>
        <v>0</v>
      </c>
      <c r="M266" s="103">
        <f>AF263</f>
        <v>0</v>
      </c>
      <c r="N266" s="103">
        <f>H263</f>
        <v>1</v>
      </c>
      <c r="O266" s="103">
        <f>AB263</f>
        <v>1</v>
      </c>
      <c r="P266" s="103">
        <f>V263</f>
        <v>0</v>
      </c>
      <c r="Q266" s="103">
        <f>L263</f>
        <v>0</v>
      </c>
      <c r="R266" s="103">
        <f>C263</f>
        <v>1</v>
      </c>
      <c r="S266" s="103">
        <f>J263</f>
        <v>1</v>
      </c>
      <c r="T266" s="103">
        <f>P263</f>
        <v>1</v>
      </c>
      <c r="U266" s="103">
        <f>AA263</f>
        <v>0</v>
      </c>
      <c r="V266" s="103">
        <f>E263</f>
        <v>1</v>
      </c>
      <c r="W266" s="103">
        <f>F263</f>
        <v>1</v>
      </c>
      <c r="X266" s="103">
        <f>AE263</f>
        <v>1</v>
      </c>
      <c r="Y266" s="103">
        <f>M263</f>
        <v>1</v>
      </c>
      <c r="Z266" s="103">
        <f>U263</f>
        <v>0</v>
      </c>
      <c r="AA266" s="103">
        <f>AH263</f>
        <v>1</v>
      </c>
      <c r="AB266" s="103">
        <f>N263</f>
        <v>0</v>
      </c>
      <c r="AC266" s="103">
        <f>X263</f>
        <v>0</v>
      </c>
      <c r="AD266" s="103">
        <f>I263</f>
        <v>1</v>
      </c>
      <c r="AE266" s="103">
        <f>G263</f>
        <v>0</v>
      </c>
      <c r="AF266" s="103">
        <f>AC263</f>
        <v>0</v>
      </c>
      <c r="AG266" s="103">
        <f>Q263</f>
        <v>1</v>
      </c>
      <c r="AH266" s="103">
        <f>W263</f>
        <v>0</v>
      </c>
    </row>
    <row r="267" spans="1:55" ht="24.95" customHeight="1" x14ac:dyDescent="0.25">
      <c r="C267" s="130">
        <v>1</v>
      </c>
      <c r="D267" s="131">
        <v>2</v>
      </c>
      <c r="E267" s="130">
        <v>3</v>
      </c>
      <c r="F267" s="131">
        <v>4</v>
      </c>
      <c r="G267" s="130">
        <v>5</v>
      </c>
      <c r="H267" s="131">
        <v>6</v>
      </c>
      <c r="I267" s="130">
        <v>7</v>
      </c>
      <c r="J267" s="131">
        <v>8</v>
      </c>
      <c r="K267" s="130">
        <v>9</v>
      </c>
      <c r="L267" s="131">
        <v>10</v>
      </c>
      <c r="M267" s="130">
        <v>11</v>
      </c>
      <c r="N267" s="131">
        <v>12</v>
      </c>
      <c r="O267" s="130">
        <v>13</v>
      </c>
      <c r="P267" s="131">
        <v>14</v>
      </c>
      <c r="Q267" s="130">
        <v>15</v>
      </c>
      <c r="R267" s="131">
        <v>16</v>
      </c>
      <c r="S267" s="130">
        <v>17</v>
      </c>
      <c r="T267" s="131">
        <v>18</v>
      </c>
      <c r="U267" s="130">
        <v>19</v>
      </c>
      <c r="V267" s="131">
        <v>20</v>
      </c>
      <c r="W267" s="130">
        <v>21</v>
      </c>
      <c r="X267" s="131">
        <v>22</v>
      </c>
      <c r="Y267" s="130">
        <v>23</v>
      </c>
      <c r="Z267" s="131">
        <v>24</v>
      </c>
      <c r="AA267" s="130">
        <v>25</v>
      </c>
      <c r="AB267" s="131">
        <v>26</v>
      </c>
      <c r="AC267" s="130">
        <v>27</v>
      </c>
      <c r="AD267" s="131">
        <v>28</v>
      </c>
      <c r="AE267" s="130">
        <v>29</v>
      </c>
      <c r="AF267" s="131">
        <v>30</v>
      </c>
      <c r="AG267" s="130">
        <v>31</v>
      </c>
      <c r="AH267" s="131">
        <v>32</v>
      </c>
    </row>
    <row r="271" spans="1:55" ht="24.95" customHeight="1" x14ac:dyDescent="0.25">
      <c r="A271" s="114" t="s">
        <v>526</v>
      </c>
      <c r="B271" s="114"/>
      <c r="C271" s="114"/>
      <c r="D271" s="68">
        <v>1</v>
      </c>
      <c r="E271" s="68">
        <v>2</v>
      </c>
      <c r="F271" s="68">
        <v>3</v>
      </c>
      <c r="G271" s="68">
        <v>4</v>
      </c>
      <c r="H271" s="68">
        <v>5</v>
      </c>
      <c r="I271" s="68">
        <v>6</v>
      </c>
      <c r="J271" s="68">
        <v>7</v>
      </c>
      <c r="K271" s="68">
        <v>8</v>
      </c>
      <c r="L271" s="68">
        <v>9</v>
      </c>
      <c r="M271" s="68">
        <v>10</v>
      </c>
      <c r="N271" s="68">
        <v>11</v>
      </c>
      <c r="O271" s="68">
        <v>12</v>
      </c>
      <c r="P271" s="68">
        <v>13</v>
      </c>
      <c r="Q271" s="68">
        <v>14</v>
      </c>
      <c r="R271" s="68">
        <v>15</v>
      </c>
      <c r="S271" s="68">
        <v>16</v>
      </c>
      <c r="T271" s="68">
        <v>17</v>
      </c>
      <c r="U271" s="68">
        <v>18</v>
      </c>
      <c r="V271" s="68">
        <v>19</v>
      </c>
      <c r="W271" s="68">
        <v>20</v>
      </c>
      <c r="X271" s="68">
        <v>21</v>
      </c>
      <c r="Y271" s="68">
        <v>22</v>
      </c>
      <c r="Z271" s="68">
        <v>23</v>
      </c>
      <c r="AA271" s="68">
        <v>24</v>
      </c>
      <c r="AB271" s="68">
        <v>25</v>
      </c>
      <c r="AC271" s="68">
        <v>26</v>
      </c>
      <c r="AD271" s="68">
        <v>27</v>
      </c>
      <c r="AE271" s="68">
        <v>28</v>
      </c>
      <c r="AF271" s="68">
        <v>29</v>
      </c>
      <c r="AG271" s="68">
        <v>30</v>
      </c>
      <c r="AH271" s="68">
        <v>31</v>
      </c>
      <c r="AI271" s="68">
        <v>32</v>
      </c>
    </row>
    <row r="272" spans="1:55" ht="24.95" customHeight="1" x14ac:dyDescent="0.25">
      <c r="A272" s="64" t="s">
        <v>549</v>
      </c>
      <c r="D272" s="68">
        <f>C230</f>
        <v>1</v>
      </c>
      <c r="E272" s="68">
        <f t="shared" ref="E272" si="659">D230</f>
        <v>1</v>
      </c>
      <c r="F272" s="68">
        <f t="shared" ref="F272" si="660">E230</f>
        <v>0</v>
      </c>
      <c r="G272" s="68">
        <f t="shared" ref="G272" si="661">F230</f>
        <v>1</v>
      </c>
      <c r="H272" s="68">
        <f t="shared" ref="H272" si="662">G230</f>
        <v>0</v>
      </c>
      <c r="I272" s="68">
        <f t="shared" ref="I272" si="663">H230</f>
        <v>0</v>
      </c>
      <c r="J272" s="68">
        <f t="shared" ref="J272" si="664">I230</f>
        <v>1</v>
      </c>
      <c r="K272" s="68">
        <f t="shared" ref="K272" si="665">J230</f>
        <v>1</v>
      </c>
      <c r="L272" s="68">
        <f t="shared" ref="L272" si="666">K230</f>
        <v>1</v>
      </c>
      <c r="M272" s="68">
        <f t="shared" ref="M272" si="667">L230</f>
        <v>0</v>
      </c>
      <c r="N272" s="68">
        <f t="shared" ref="N272" si="668">M230</f>
        <v>0</v>
      </c>
      <c r="O272" s="68">
        <f t="shared" ref="O272" si="669">N230</f>
        <v>0</v>
      </c>
      <c r="P272" s="68">
        <f t="shared" ref="P272" si="670">O230</f>
        <v>1</v>
      </c>
      <c r="Q272" s="68">
        <f t="shared" ref="Q272" si="671">P230</f>
        <v>1</v>
      </c>
      <c r="R272" s="68">
        <f t="shared" ref="R272" si="672">Q230</f>
        <v>1</v>
      </c>
      <c r="S272" s="68">
        <f t="shared" ref="S272" si="673">R230</f>
        <v>1</v>
      </c>
      <c r="T272" s="68">
        <f t="shared" ref="T272" si="674">S230</f>
        <v>1</v>
      </c>
      <c r="U272" s="68">
        <f t="shared" ref="U272" si="675">T230</f>
        <v>1</v>
      </c>
      <c r="V272" s="68">
        <f t="shared" ref="V272" si="676">U230</f>
        <v>0</v>
      </c>
      <c r="W272" s="68">
        <f t="shared" ref="W272" si="677">V230</f>
        <v>1</v>
      </c>
      <c r="X272" s="68">
        <f t="shared" ref="X272" si="678">W230</f>
        <v>1</v>
      </c>
      <c r="Y272" s="68">
        <f t="shared" ref="Y272" si="679">X230</f>
        <v>0</v>
      </c>
      <c r="Z272" s="68">
        <f t="shared" ref="Z272" si="680">Y230</f>
        <v>0</v>
      </c>
      <c r="AA272" s="68">
        <f t="shared" ref="AA272" si="681">Z230</f>
        <v>1</v>
      </c>
      <c r="AB272" s="68">
        <f t="shared" ref="AB272" si="682">AA230</f>
        <v>0</v>
      </c>
      <c r="AC272" s="68">
        <f t="shared" ref="AC272" si="683">AB230</f>
        <v>0</v>
      </c>
      <c r="AD272" s="68">
        <f t="shared" ref="AD272" si="684">AC230</f>
        <v>0</v>
      </c>
      <c r="AE272" s="68">
        <f t="shared" ref="AE272" si="685">AD230</f>
        <v>1</v>
      </c>
      <c r="AF272" s="68">
        <f t="shared" ref="AF272" si="686">AE230</f>
        <v>1</v>
      </c>
      <c r="AG272" s="68">
        <f t="shared" ref="AG272" si="687">AF230</f>
        <v>0</v>
      </c>
      <c r="AH272" s="68">
        <f t="shared" ref="AH272" si="688">AG230</f>
        <v>1</v>
      </c>
      <c r="AI272" s="68">
        <f t="shared" ref="AI272" si="689">AH230</f>
        <v>1</v>
      </c>
    </row>
    <row r="274" spans="1:51" ht="24.95" customHeight="1" x14ac:dyDescent="0.25">
      <c r="A274" s="114" t="s">
        <v>527</v>
      </c>
      <c r="B274" s="114"/>
      <c r="C274" s="114"/>
      <c r="D274" s="70">
        <v>1</v>
      </c>
      <c r="E274" s="70">
        <v>2</v>
      </c>
      <c r="F274" s="70">
        <v>3</v>
      </c>
      <c r="G274" s="70">
        <v>4</v>
      </c>
      <c r="H274" s="70">
        <v>5</v>
      </c>
      <c r="I274" s="70">
        <v>6</v>
      </c>
      <c r="J274" s="70">
        <v>7</v>
      </c>
      <c r="K274" s="70">
        <v>8</v>
      </c>
      <c r="L274" s="70">
        <v>9</v>
      </c>
      <c r="M274" s="70">
        <v>10</v>
      </c>
      <c r="N274" s="70">
        <v>11</v>
      </c>
      <c r="O274" s="70">
        <v>12</v>
      </c>
      <c r="P274" s="70">
        <v>13</v>
      </c>
      <c r="Q274" s="70">
        <v>14</v>
      </c>
      <c r="R274" s="70">
        <v>15</v>
      </c>
      <c r="S274" s="70">
        <v>16</v>
      </c>
      <c r="T274" s="70">
        <v>17</v>
      </c>
      <c r="U274" s="70">
        <v>18</v>
      </c>
      <c r="V274" s="70">
        <v>19</v>
      </c>
      <c r="W274" s="70">
        <v>20</v>
      </c>
      <c r="X274" s="70">
        <v>21</v>
      </c>
      <c r="Y274" s="70">
        <v>22</v>
      </c>
      <c r="Z274" s="70">
        <v>23</v>
      </c>
      <c r="AA274" s="70">
        <v>24</v>
      </c>
      <c r="AB274" s="70">
        <v>25</v>
      </c>
      <c r="AC274" s="70">
        <v>26</v>
      </c>
      <c r="AD274" s="70">
        <v>27</v>
      </c>
      <c r="AE274" s="70">
        <v>28</v>
      </c>
      <c r="AF274" s="70">
        <v>29</v>
      </c>
      <c r="AG274" s="70">
        <v>30</v>
      </c>
      <c r="AH274" s="70">
        <v>31</v>
      </c>
      <c r="AI274" s="70">
        <v>32</v>
      </c>
    </row>
    <row r="275" spans="1:51" ht="24.95" customHeight="1" x14ac:dyDescent="0.25">
      <c r="A275" s="64" t="s">
        <v>551</v>
      </c>
      <c r="D275" s="70">
        <f>--_xlfn.XOR(C266,D223)</f>
        <v>0</v>
      </c>
      <c r="E275" s="70">
        <f t="shared" ref="E275:AI275" si="690">--_xlfn.XOR(D266,E223)</f>
        <v>0</v>
      </c>
      <c r="F275" s="70">
        <f t="shared" si="690"/>
        <v>0</v>
      </c>
      <c r="G275" s="70">
        <f t="shared" si="690"/>
        <v>0</v>
      </c>
      <c r="H275" s="70">
        <f t="shared" si="690"/>
        <v>0</v>
      </c>
      <c r="I275" s="70">
        <f t="shared" si="690"/>
        <v>0</v>
      </c>
      <c r="J275" s="70">
        <f t="shared" si="690"/>
        <v>0</v>
      </c>
      <c r="K275" s="70">
        <f t="shared" si="690"/>
        <v>0</v>
      </c>
      <c r="L275" s="70">
        <f t="shared" si="690"/>
        <v>1</v>
      </c>
      <c r="M275" s="70">
        <f t="shared" si="690"/>
        <v>1</v>
      </c>
      <c r="N275" s="70">
        <f t="shared" si="690"/>
        <v>1</v>
      </c>
      <c r="O275" s="70">
        <f t="shared" si="690"/>
        <v>0</v>
      </c>
      <c r="P275" s="70">
        <f t="shared" si="690"/>
        <v>0</v>
      </c>
      <c r="Q275" s="70">
        <f t="shared" si="690"/>
        <v>1</v>
      </c>
      <c r="R275" s="70">
        <f t="shared" si="690"/>
        <v>1</v>
      </c>
      <c r="S275" s="70">
        <f t="shared" si="690"/>
        <v>0</v>
      </c>
      <c r="T275" s="70">
        <f t="shared" si="690"/>
        <v>0</v>
      </c>
      <c r="U275" s="70">
        <f t="shared" si="690"/>
        <v>1</v>
      </c>
      <c r="V275" s="70">
        <f t="shared" si="690"/>
        <v>0</v>
      </c>
      <c r="W275" s="70">
        <f t="shared" si="690"/>
        <v>1</v>
      </c>
      <c r="X275" s="70">
        <f t="shared" si="690"/>
        <v>0</v>
      </c>
      <c r="Y275" s="70">
        <f t="shared" si="690"/>
        <v>1</v>
      </c>
      <c r="Z275" s="70">
        <f t="shared" si="690"/>
        <v>1</v>
      </c>
      <c r="AA275" s="70">
        <f t="shared" si="690"/>
        <v>1</v>
      </c>
      <c r="AB275" s="70">
        <f t="shared" si="690"/>
        <v>0</v>
      </c>
      <c r="AC275" s="70">
        <f t="shared" si="690"/>
        <v>1</v>
      </c>
      <c r="AD275" s="70">
        <f t="shared" si="690"/>
        <v>0</v>
      </c>
      <c r="AE275" s="70">
        <f t="shared" si="690"/>
        <v>0</v>
      </c>
      <c r="AF275" s="70">
        <f t="shared" si="690"/>
        <v>1</v>
      </c>
      <c r="AG275" s="70">
        <f t="shared" si="690"/>
        <v>0</v>
      </c>
      <c r="AH275" s="70">
        <f t="shared" si="690"/>
        <v>1</v>
      </c>
      <c r="AI275" s="70">
        <f t="shared" si="690"/>
        <v>0</v>
      </c>
    </row>
    <row r="276" spans="1:51" ht="24.95" customHeight="1" x14ac:dyDescent="0.25">
      <c r="A276" s="132" t="s">
        <v>602</v>
      </c>
    </row>
    <row r="277" spans="1:51" s="132" customFormat="1" ht="24.95" customHeight="1" x14ac:dyDescent="0.25">
      <c r="B277" s="133"/>
      <c r="C277" s="134"/>
    </row>
    <row r="278" spans="1:51" ht="24.95" customHeight="1" x14ac:dyDescent="0.25">
      <c r="B278" s="21"/>
      <c r="C278" s="70">
        <v>1</v>
      </c>
      <c r="D278" s="70">
        <v>2</v>
      </c>
      <c r="E278" s="70">
        <v>3</v>
      </c>
      <c r="F278" s="70">
        <v>4</v>
      </c>
      <c r="G278" s="70">
        <v>5</v>
      </c>
      <c r="H278" s="70">
        <v>6</v>
      </c>
      <c r="I278" s="70">
        <v>7</v>
      </c>
      <c r="J278" s="70">
        <v>8</v>
      </c>
      <c r="K278" s="70">
        <v>9</v>
      </c>
      <c r="L278" s="70">
        <v>10</v>
      </c>
      <c r="M278" s="70">
        <v>11</v>
      </c>
      <c r="N278" s="70">
        <v>12</v>
      </c>
      <c r="O278" s="70">
        <v>13</v>
      </c>
      <c r="P278" s="70">
        <v>14</v>
      </c>
      <c r="Q278" s="70">
        <v>15</v>
      </c>
      <c r="R278" s="70">
        <v>16</v>
      </c>
      <c r="S278" s="70">
        <v>17</v>
      </c>
      <c r="T278" s="70">
        <v>18</v>
      </c>
      <c r="U278" s="70">
        <v>19</v>
      </c>
      <c r="V278" s="70">
        <v>20</v>
      </c>
      <c r="W278" s="70">
        <v>21</v>
      </c>
      <c r="X278" s="70">
        <v>22</v>
      </c>
      <c r="Y278" s="70">
        <v>23</v>
      </c>
      <c r="Z278" s="70">
        <v>24</v>
      </c>
      <c r="AA278" s="70">
        <v>25</v>
      </c>
      <c r="AB278" s="70">
        <v>26</v>
      </c>
      <c r="AC278" s="70">
        <v>27</v>
      </c>
      <c r="AD278" s="70">
        <v>28</v>
      </c>
      <c r="AE278" s="70">
        <v>29</v>
      </c>
      <c r="AF278" s="70">
        <v>30</v>
      </c>
      <c r="AG278" s="70">
        <v>31</v>
      </c>
      <c r="AH278" s="70">
        <v>32</v>
      </c>
    </row>
    <row r="279" spans="1:51" ht="24.95" customHeight="1" x14ac:dyDescent="0.25">
      <c r="A279" s="114" t="s">
        <v>603</v>
      </c>
      <c r="B279" s="114"/>
      <c r="C279" s="70">
        <f>D275</f>
        <v>0</v>
      </c>
      <c r="D279" s="70">
        <f t="shared" ref="D279:AH279" si="691">E275</f>
        <v>0</v>
      </c>
      <c r="E279" s="70">
        <f t="shared" si="691"/>
        <v>0</v>
      </c>
      <c r="F279" s="70">
        <f t="shared" si="691"/>
        <v>0</v>
      </c>
      <c r="G279" s="70">
        <f t="shared" si="691"/>
        <v>0</v>
      </c>
      <c r="H279" s="70">
        <f t="shared" si="691"/>
        <v>0</v>
      </c>
      <c r="I279" s="70">
        <f t="shared" si="691"/>
        <v>0</v>
      </c>
      <c r="J279" s="70">
        <f t="shared" si="691"/>
        <v>0</v>
      </c>
      <c r="K279" s="70">
        <f t="shared" si="691"/>
        <v>1</v>
      </c>
      <c r="L279" s="70">
        <f t="shared" si="691"/>
        <v>1</v>
      </c>
      <c r="M279" s="70">
        <f t="shared" si="691"/>
        <v>1</v>
      </c>
      <c r="N279" s="70">
        <f t="shared" si="691"/>
        <v>0</v>
      </c>
      <c r="O279" s="70">
        <f t="shared" si="691"/>
        <v>0</v>
      </c>
      <c r="P279" s="70">
        <f t="shared" si="691"/>
        <v>1</v>
      </c>
      <c r="Q279" s="70">
        <f t="shared" si="691"/>
        <v>1</v>
      </c>
      <c r="R279" s="70">
        <f t="shared" si="691"/>
        <v>0</v>
      </c>
      <c r="S279" s="70">
        <f t="shared" si="691"/>
        <v>0</v>
      </c>
      <c r="T279" s="70">
        <f t="shared" si="691"/>
        <v>1</v>
      </c>
      <c r="U279" s="70">
        <f t="shared" si="691"/>
        <v>0</v>
      </c>
      <c r="V279" s="70">
        <f t="shared" si="691"/>
        <v>1</v>
      </c>
      <c r="W279" s="70">
        <f t="shared" si="691"/>
        <v>0</v>
      </c>
      <c r="X279" s="70">
        <f t="shared" si="691"/>
        <v>1</v>
      </c>
      <c r="Y279" s="70">
        <f t="shared" si="691"/>
        <v>1</v>
      </c>
      <c r="Z279" s="70">
        <f t="shared" si="691"/>
        <v>1</v>
      </c>
      <c r="AA279" s="70">
        <f t="shared" si="691"/>
        <v>0</v>
      </c>
      <c r="AB279" s="70">
        <f t="shared" si="691"/>
        <v>1</v>
      </c>
      <c r="AC279" s="70">
        <f t="shared" si="691"/>
        <v>0</v>
      </c>
      <c r="AD279" s="70">
        <f t="shared" si="691"/>
        <v>0</v>
      </c>
      <c r="AE279" s="70">
        <f t="shared" si="691"/>
        <v>1</v>
      </c>
      <c r="AF279" s="70">
        <f t="shared" si="691"/>
        <v>0</v>
      </c>
      <c r="AG279" s="70">
        <f t="shared" si="691"/>
        <v>1</v>
      </c>
      <c r="AH279" s="70">
        <f t="shared" si="691"/>
        <v>0</v>
      </c>
      <c r="AI279" s="135"/>
    </row>
    <row r="281" spans="1:51" ht="24.95" customHeight="1" x14ac:dyDescent="0.25">
      <c r="A281" s="132"/>
      <c r="B281" s="133"/>
      <c r="C281" s="134"/>
      <c r="D281" s="132"/>
      <c r="E281" s="132"/>
      <c r="F281" s="132"/>
      <c r="G281" s="132"/>
      <c r="H281" s="132"/>
      <c r="I281" s="132"/>
      <c r="J281" s="132"/>
      <c r="K281" s="132"/>
      <c r="L281" s="132"/>
      <c r="M281" s="132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  <c r="AC281" s="132"/>
      <c r="AD281" s="132"/>
      <c r="AE281" s="132"/>
      <c r="AF281" s="132"/>
      <c r="AG281" s="132"/>
      <c r="AH281" s="132"/>
      <c r="AI281" s="132"/>
      <c r="AJ281" s="132"/>
      <c r="AK281" s="132"/>
      <c r="AL281" s="132"/>
      <c r="AM281" s="132"/>
      <c r="AN281" s="132"/>
      <c r="AO281" s="132"/>
      <c r="AP281" s="132"/>
      <c r="AQ281" s="132"/>
      <c r="AR281" s="132"/>
      <c r="AS281" s="132"/>
      <c r="AT281" s="132"/>
      <c r="AU281" s="132"/>
      <c r="AV281" s="132"/>
      <c r="AW281" s="132"/>
      <c r="AX281" s="132"/>
      <c r="AY281" s="132"/>
    </row>
    <row r="283" spans="1:51" ht="24.95" customHeight="1" x14ac:dyDescent="0.25">
      <c r="A283" s="118" t="s">
        <v>532</v>
      </c>
      <c r="B283" s="118"/>
      <c r="C283" s="75">
        <v>32</v>
      </c>
      <c r="D283" s="74">
        <v>1</v>
      </c>
      <c r="E283" s="74">
        <v>2</v>
      </c>
      <c r="F283" s="74">
        <v>3</v>
      </c>
      <c r="G283" s="74">
        <v>4</v>
      </c>
      <c r="H283" s="73">
        <v>5</v>
      </c>
      <c r="I283" s="122"/>
      <c r="J283" s="118">
        <f>AH279</f>
        <v>0</v>
      </c>
      <c r="K283" s="118">
        <f>C279</f>
        <v>0</v>
      </c>
      <c r="L283" s="118">
        <f>D279</f>
        <v>0</v>
      </c>
      <c r="M283" s="118">
        <f>E279</f>
        <v>0</v>
      </c>
      <c r="N283" s="69">
        <f>F279</f>
        <v>0</v>
      </c>
      <c r="O283" s="119">
        <f>G279</f>
        <v>0</v>
      </c>
      <c r="P283" s="122"/>
    </row>
    <row r="284" spans="1:51" ht="24.95" customHeight="1" x14ac:dyDescent="0.25">
      <c r="C284" s="75">
        <v>4</v>
      </c>
      <c r="D284" s="74">
        <v>5</v>
      </c>
      <c r="E284" s="74">
        <v>6</v>
      </c>
      <c r="F284" s="74">
        <v>7</v>
      </c>
      <c r="G284" s="74">
        <v>8</v>
      </c>
      <c r="H284" s="73">
        <v>9</v>
      </c>
      <c r="I284" s="122"/>
      <c r="J284" s="118">
        <f t="shared" ref="J284" si="692">F279</f>
        <v>0</v>
      </c>
      <c r="K284" s="69">
        <f t="shared" ref="K284" si="693">G279</f>
        <v>0</v>
      </c>
      <c r="L284" s="69">
        <f t="shared" ref="L284" si="694">H279</f>
        <v>0</v>
      </c>
      <c r="M284" s="69">
        <f t="shared" ref="M284" si="695">I279</f>
        <v>0</v>
      </c>
      <c r="N284" s="69">
        <f t="shared" ref="N284" si="696">J279</f>
        <v>0</v>
      </c>
      <c r="O284" s="119">
        <f t="shared" ref="O284" si="697">K279</f>
        <v>1</v>
      </c>
      <c r="P284" s="122"/>
    </row>
    <row r="285" spans="1:51" ht="24.95" customHeight="1" x14ac:dyDescent="0.25">
      <c r="C285" s="75">
        <v>8</v>
      </c>
      <c r="D285" s="74">
        <v>9</v>
      </c>
      <c r="E285" s="74">
        <v>10</v>
      </c>
      <c r="F285" s="74">
        <v>11</v>
      </c>
      <c r="G285" s="74">
        <v>12</v>
      </c>
      <c r="H285" s="73">
        <v>13</v>
      </c>
      <c r="I285" s="123"/>
      <c r="J285" s="120">
        <f t="shared" ref="J285:O285" si="698">J279</f>
        <v>0</v>
      </c>
      <c r="K285" s="69">
        <f t="shared" si="698"/>
        <v>1</v>
      </c>
      <c r="L285" s="69">
        <f t="shared" si="698"/>
        <v>1</v>
      </c>
      <c r="M285" s="69">
        <f t="shared" si="698"/>
        <v>1</v>
      </c>
      <c r="N285" s="69">
        <f t="shared" si="698"/>
        <v>0</v>
      </c>
      <c r="O285" s="119">
        <f t="shared" si="698"/>
        <v>0</v>
      </c>
      <c r="P285" s="123"/>
    </row>
    <row r="286" spans="1:51" ht="24.95" customHeight="1" x14ac:dyDescent="0.25">
      <c r="C286" s="75">
        <v>12</v>
      </c>
      <c r="D286" s="74">
        <v>13</v>
      </c>
      <c r="E286" s="74">
        <v>14</v>
      </c>
      <c r="F286" s="74">
        <v>15</v>
      </c>
      <c r="G286" s="74">
        <v>16</v>
      </c>
      <c r="H286" s="73">
        <v>17</v>
      </c>
      <c r="I286" s="122"/>
      <c r="J286" s="118">
        <f t="shared" ref="J286" si="699">N279</f>
        <v>0</v>
      </c>
      <c r="K286" s="69">
        <f t="shared" ref="K286" si="700">O279</f>
        <v>0</v>
      </c>
      <c r="L286" s="69">
        <f t="shared" ref="L286" si="701">P279</f>
        <v>1</v>
      </c>
      <c r="M286" s="69">
        <f t="shared" ref="M286" si="702">Q279</f>
        <v>1</v>
      </c>
      <c r="N286" s="69">
        <f t="shared" ref="N286" si="703">R279</f>
        <v>0</v>
      </c>
      <c r="O286" s="119">
        <f t="shared" ref="O286" si="704">S279</f>
        <v>0</v>
      </c>
      <c r="P286" s="122"/>
    </row>
    <row r="287" spans="1:51" ht="24.95" customHeight="1" x14ac:dyDescent="0.25">
      <c r="C287" s="75">
        <v>16</v>
      </c>
      <c r="D287" s="74">
        <v>17</v>
      </c>
      <c r="E287" s="74">
        <v>18</v>
      </c>
      <c r="F287" s="74">
        <v>19</v>
      </c>
      <c r="G287" s="74">
        <v>20</v>
      </c>
      <c r="H287" s="73">
        <v>21</v>
      </c>
      <c r="I287" s="122"/>
      <c r="J287" s="118">
        <f t="shared" ref="J287" si="705">R279</f>
        <v>0</v>
      </c>
      <c r="K287" s="69">
        <f t="shared" ref="K287" si="706">S279</f>
        <v>0</v>
      </c>
      <c r="L287" s="69">
        <f t="shared" ref="L287" si="707">T279</f>
        <v>1</v>
      </c>
      <c r="M287" s="69">
        <f t="shared" ref="M287" si="708">U279</f>
        <v>0</v>
      </c>
      <c r="N287" s="69">
        <f t="shared" ref="N287" si="709">V279</f>
        <v>1</v>
      </c>
      <c r="O287" s="119">
        <f t="shared" ref="O287" si="710">W279</f>
        <v>0</v>
      </c>
      <c r="P287" s="122"/>
    </row>
    <row r="288" spans="1:51" ht="24.95" customHeight="1" x14ac:dyDescent="0.25">
      <c r="C288" s="75">
        <v>20</v>
      </c>
      <c r="D288" s="74">
        <v>21</v>
      </c>
      <c r="E288" s="74">
        <v>22</v>
      </c>
      <c r="F288" s="74">
        <v>23</v>
      </c>
      <c r="G288" s="74">
        <v>24</v>
      </c>
      <c r="H288" s="73">
        <v>25</v>
      </c>
      <c r="I288" s="122"/>
      <c r="J288" s="118">
        <f t="shared" ref="J288" si="711">V279</f>
        <v>1</v>
      </c>
      <c r="K288" s="69">
        <f t="shared" ref="K288" si="712">W279</f>
        <v>0</v>
      </c>
      <c r="L288" s="69">
        <f t="shared" ref="L288" si="713">X279</f>
        <v>1</v>
      </c>
      <c r="M288" s="69">
        <f t="shared" ref="M288" si="714">Y279</f>
        <v>1</v>
      </c>
      <c r="N288" s="69">
        <f t="shared" ref="N288" si="715">Z279</f>
        <v>1</v>
      </c>
      <c r="O288" s="119">
        <f t="shared" ref="O288" si="716">AA279</f>
        <v>0</v>
      </c>
      <c r="P288" s="122"/>
    </row>
    <row r="289" spans="1:55" ht="24.95" customHeight="1" x14ac:dyDescent="0.25">
      <c r="C289" s="75">
        <v>24</v>
      </c>
      <c r="D289" s="74">
        <v>25</v>
      </c>
      <c r="E289" s="74">
        <v>26</v>
      </c>
      <c r="F289" s="74">
        <v>27</v>
      </c>
      <c r="G289" s="74">
        <v>28</v>
      </c>
      <c r="H289" s="73">
        <v>29</v>
      </c>
      <c r="I289" s="122"/>
      <c r="J289" s="118">
        <f t="shared" ref="J289" si="717">Z279</f>
        <v>1</v>
      </c>
      <c r="K289" s="69">
        <f t="shared" ref="K289" si="718">AA279</f>
        <v>0</v>
      </c>
      <c r="L289" s="69">
        <f t="shared" ref="L289" si="719">AB279</f>
        <v>1</v>
      </c>
      <c r="M289" s="69">
        <f t="shared" ref="M289" si="720">AC279</f>
        <v>0</v>
      </c>
      <c r="N289" s="69">
        <f t="shared" ref="N289" si="721">AD279</f>
        <v>0</v>
      </c>
      <c r="O289" s="119">
        <f t="shared" ref="O289" si="722">AE279</f>
        <v>1</v>
      </c>
      <c r="P289" s="122"/>
    </row>
    <row r="290" spans="1:55" ht="24.95" customHeight="1" x14ac:dyDescent="0.25">
      <c r="C290" s="75">
        <v>28</v>
      </c>
      <c r="D290" s="74">
        <v>29</v>
      </c>
      <c r="E290" s="74">
        <v>30</v>
      </c>
      <c r="F290" s="74">
        <v>31</v>
      </c>
      <c r="G290" s="74">
        <v>32</v>
      </c>
      <c r="H290" s="73">
        <v>1</v>
      </c>
      <c r="I290" s="122"/>
      <c r="J290" s="70">
        <f>AD279</f>
        <v>0</v>
      </c>
      <c r="K290" s="71">
        <f>AE279</f>
        <v>1</v>
      </c>
      <c r="L290" s="71">
        <f>AF279</f>
        <v>0</v>
      </c>
      <c r="M290" s="71">
        <f>AG279</f>
        <v>1</v>
      </c>
      <c r="N290" s="71">
        <f>AH279</f>
        <v>0</v>
      </c>
      <c r="O290" s="121">
        <f>C279</f>
        <v>0</v>
      </c>
      <c r="P290" s="122"/>
    </row>
    <row r="293" spans="1:55" ht="24.95" customHeight="1" x14ac:dyDescent="0.25">
      <c r="A293" s="124" t="s">
        <v>533</v>
      </c>
      <c r="B293" s="124"/>
      <c r="C293" s="125">
        <v>1</v>
      </c>
      <c r="D293" s="126">
        <v>2</v>
      </c>
      <c r="E293" s="125">
        <v>3</v>
      </c>
      <c r="F293" s="126">
        <v>4</v>
      </c>
      <c r="G293" s="125">
        <v>5</v>
      </c>
      <c r="H293" s="126">
        <v>6</v>
      </c>
      <c r="I293" s="125">
        <v>7</v>
      </c>
      <c r="J293" s="126">
        <v>8</v>
      </c>
      <c r="K293" s="125">
        <v>9</v>
      </c>
      <c r="L293" s="126">
        <v>10</v>
      </c>
      <c r="M293" s="125">
        <v>11</v>
      </c>
      <c r="N293" s="126">
        <v>12</v>
      </c>
      <c r="O293" s="125">
        <v>13</v>
      </c>
      <c r="P293" s="126">
        <v>14</v>
      </c>
      <c r="Q293" s="125">
        <v>15</v>
      </c>
      <c r="R293" s="126">
        <v>16</v>
      </c>
      <c r="S293" s="125">
        <v>17</v>
      </c>
      <c r="T293" s="126">
        <v>18</v>
      </c>
      <c r="U293" s="125">
        <v>19</v>
      </c>
      <c r="V293" s="126">
        <v>20</v>
      </c>
      <c r="W293" s="125">
        <v>21</v>
      </c>
      <c r="X293" s="126">
        <v>22</v>
      </c>
      <c r="Y293" s="125">
        <v>23</v>
      </c>
      <c r="Z293" s="126">
        <v>24</v>
      </c>
      <c r="AA293" s="125">
        <v>25</v>
      </c>
      <c r="AB293" s="126">
        <v>26</v>
      </c>
      <c r="AC293" s="125">
        <v>27</v>
      </c>
      <c r="AD293" s="126">
        <v>28</v>
      </c>
      <c r="AE293" s="125">
        <v>29</v>
      </c>
      <c r="AF293" s="126">
        <v>30</v>
      </c>
      <c r="AG293" s="125">
        <v>31</v>
      </c>
      <c r="AH293" s="126">
        <v>32</v>
      </c>
      <c r="AI293" s="125">
        <v>33</v>
      </c>
      <c r="AJ293" s="126">
        <v>34</v>
      </c>
      <c r="AK293" s="125">
        <v>35</v>
      </c>
      <c r="AL293" s="126">
        <v>36</v>
      </c>
      <c r="AM293" s="125">
        <v>37</v>
      </c>
      <c r="AN293" s="126">
        <v>38</v>
      </c>
      <c r="AO293" s="125">
        <v>39</v>
      </c>
      <c r="AP293" s="126">
        <v>40</v>
      </c>
      <c r="AQ293" s="125">
        <v>41</v>
      </c>
      <c r="AR293" s="126">
        <v>42</v>
      </c>
      <c r="AS293" s="125">
        <v>43</v>
      </c>
      <c r="AT293" s="126">
        <v>44</v>
      </c>
      <c r="AU293" s="125">
        <v>45</v>
      </c>
      <c r="AV293" s="126">
        <v>46</v>
      </c>
      <c r="AW293" s="125">
        <v>47</v>
      </c>
      <c r="AX293" s="126">
        <v>48</v>
      </c>
    </row>
    <row r="294" spans="1:55" ht="24.95" customHeight="1" x14ac:dyDescent="0.25">
      <c r="C294" s="125">
        <f t="shared" ref="C294" si="723">J283</f>
        <v>0</v>
      </c>
      <c r="D294" s="125">
        <f t="shared" ref="D294" si="724">K283</f>
        <v>0</v>
      </c>
      <c r="E294" s="125">
        <f t="shared" ref="E294" si="725">L283</f>
        <v>0</v>
      </c>
      <c r="F294" s="125">
        <f t="shared" ref="F294" si="726">M283</f>
        <v>0</v>
      </c>
      <c r="G294" s="126">
        <f t="shared" ref="G294" si="727">N283</f>
        <v>0</v>
      </c>
      <c r="H294" s="126">
        <f t="shared" ref="H294" si="728">O283</f>
        <v>0</v>
      </c>
      <c r="I294" s="125">
        <f t="shared" ref="I294" si="729">J284</f>
        <v>0</v>
      </c>
      <c r="J294" s="125">
        <f t="shared" ref="J294" si="730">K284</f>
        <v>0</v>
      </c>
      <c r="K294" s="125">
        <f t="shared" ref="K294" si="731">L284</f>
        <v>0</v>
      </c>
      <c r="L294" s="125">
        <f t="shared" ref="L294" si="732">M284</f>
        <v>0</v>
      </c>
      <c r="M294" s="125">
        <f t="shared" ref="M294" si="733">N284</f>
        <v>0</v>
      </c>
      <c r="N294" s="125">
        <f t="shared" ref="N294" si="734">O284</f>
        <v>1</v>
      </c>
      <c r="O294" s="126">
        <f t="shared" ref="O294" si="735">J285</f>
        <v>0</v>
      </c>
      <c r="P294" s="126">
        <f t="shared" ref="P294" si="736">K285</f>
        <v>1</v>
      </c>
      <c r="Q294" s="126">
        <f t="shared" ref="Q294" si="737">L285</f>
        <v>1</v>
      </c>
      <c r="R294" s="126">
        <f t="shared" ref="R294" si="738">M285</f>
        <v>1</v>
      </c>
      <c r="S294" s="126">
        <f t="shared" ref="S294" si="739">N285</f>
        <v>0</v>
      </c>
      <c r="T294" s="126">
        <f t="shared" ref="T294" si="740">O285</f>
        <v>0</v>
      </c>
      <c r="U294" s="125">
        <f t="shared" ref="U294" si="741">J286</f>
        <v>0</v>
      </c>
      <c r="V294" s="126">
        <f t="shared" ref="V294" si="742">K286</f>
        <v>0</v>
      </c>
      <c r="W294" s="125">
        <f t="shared" ref="W294" si="743">L286</f>
        <v>1</v>
      </c>
      <c r="X294" s="126">
        <f t="shared" ref="X294" si="744">M286</f>
        <v>1</v>
      </c>
      <c r="Y294" s="125">
        <f t="shared" ref="Y294" si="745">N286</f>
        <v>0</v>
      </c>
      <c r="Z294" s="126">
        <f t="shared" ref="Z294" si="746">O286</f>
        <v>0</v>
      </c>
      <c r="AA294" s="125">
        <f t="shared" ref="AA294" si="747">J287</f>
        <v>0</v>
      </c>
      <c r="AB294" s="126">
        <f t="shared" ref="AB294" si="748">K287</f>
        <v>0</v>
      </c>
      <c r="AC294" s="125">
        <f t="shared" ref="AC294" si="749">L287</f>
        <v>1</v>
      </c>
      <c r="AD294" s="126">
        <f t="shared" ref="AD294" si="750">M287</f>
        <v>0</v>
      </c>
      <c r="AE294" s="125">
        <f t="shared" ref="AE294" si="751">N287</f>
        <v>1</v>
      </c>
      <c r="AF294" s="126">
        <f t="shared" ref="AF294" si="752">O287</f>
        <v>0</v>
      </c>
      <c r="AG294" s="125">
        <f t="shared" ref="AG294" si="753">J288</f>
        <v>1</v>
      </c>
      <c r="AH294" s="126">
        <f t="shared" ref="AH294" si="754">K288</f>
        <v>0</v>
      </c>
      <c r="AI294" s="125">
        <f t="shared" ref="AI294" si="755">L288</f>
        <v>1</v>
      </c>
      <c r="AJ294" s="126">
        <f t="shared" ref="AJ294" si="756">M288</f>
        <v>1</v>
      </c>
      <c r="AK294" s="125">
        <f t="shared" ref="AK294" si="757">N288</f>
        <v>1</v>
      </c>
      <c r="AL294" s="126">
        <f t="shared" ref="AL294" si="758">O288</f>
        <v>0</v>
      </c>
      <c r="AM294" s="125">
        <f t="shared" ref="AM294" si="759">J289</f>
        <v>1</v>
      </c>
      <c r="AN294" s="126">
        <f t="shared" ref="AN294" si="760">K289</f>
        <v>0</v>
      </c>
      <c r="AO294" s="125">
        <f t="shared" ref="AO294" si="761">L289</f>
        <v>1</v>
      </c>
      <c r="AP294" s="126">
        <f t="shared" ref="AP294" si="762">M289</f>
        <v>0</v>
      </c>
      <c r="AQ294" s="125">
        <f t="shared" ref="AQ294" si="763">N289</f>
        <v>0</v>
      </c>
      <c r="AR294" s="126">
        <f t="shared" ref="AR294" si="764">O289</f>
        <v>1</v>
      </c>
      <c r="AS294" s="125">
        <f t="shared" ref="AS294" si="765">J290</f>
        <v>0</v>
      </c>
      <c r="AT294" s="126">
        <f t="shared" ref="AT294" si="766">K290</f>
        <v>1</v>
      </c>
      <c r="AU294" s="125">
        <f t="shared" ref="AU294" si="767">L290</f>
        <v>0</v>
      </c>
      <c r="AV294" s="126">
        <f t="shared" ref="AV294" si="768">M290</f>
        <v>1</v>
      </c>
      <c r="AW294" s="125">
        <f t="shared" ref="AW294" si="769">N290</f>
        <v>0</v>
      </c>
      <c r="AX294" s="126">
        <f t="shared" ref="AX294" si="770">O290</f>
        <v>0</v>
      </c>
    </row>
    <row r="297" spans="1:55" ht="24.95" customHeight="1" x14ac:dyDescent="0.25">
      <c r="A297" s="127" t="s">
        <v>604</v>
      </c>
      <c r="B297" s="127"/>
      <c r="C297" s="77">
        <f>'Key Generator'!D235</f>
        <v>1</v>
      </c>
      <c r="D297" s="77">
        <f>'Key Generator'!E235</f>
        <v>2</v>
      </c>
      <c r="E297" s="77">
        <f>'Key Generator'!F235</f>
        <v>3</v>
      </c>
      <c r="F297" s="77">
        <f>'Key Generator'!G235</f>
        <v>4</v>
      </c>
      <c r="G297" s="77">
        <f>'Key Generator'!H235</f>
        <v>5</v>
      </c>
      <c r="H297" s="77">
        <f>'Key Generator'!I235</f>
        <v>6</v>
      </c>
      <c r="I297" s="77">
        <f>'Key Generator'!J235</f>
        <v>7</v>
      </c>
      <c r="J297" s="77">
        <f>'Key Generator'!K235</f>
        <v>8</v>
      </c>
      <c r="K297" s="77">
        <f>'Key Generator'!L235</f>
        <v>9</v>
      </c>
      <c r="L297" s="77">
        <f>'Key Generator'!M235</f>
        <v>10</v>
      </c>
      <c r="M297" s="77">
        <f>'Key Generator'!N235</f>
        <v>11</v>
      </c>
      <c r="N297" s="77">
        <f>'Key Generator'!O235</f>
        <v>12</v>
      </c>
      <c r="O297" s="77">
        <f>'Key Generator'!P235</f>
        <v>13</v>
      </c>
      <c r="P297" s="77">
        <f>'Key Generator'!Q235</f>
        <v>14</v>
      </c>
      <c r="Q297" s="77">
        <f>'Key Generator'!R235</f>
        <v>15</v>
      </c>
      <c r="R297" s="77">
        <f>'Key Generator'!S235</f>
        <v>16</v>
      </c>
      <c r="S297" s="77">
        <f>'Key Generator'!T235</f>
        <v>17</v>
      </c>
      <c r="T297" s="77">
        <f>'Key Generator'!U235</f>
        <v>18</v>
      </c>
      <c r="U297" s="77">
        <f>'Key Generator'!V235</f>
        <v>19</v>
      </c>
      <c r="V297" s="77">
        <f>'Key Generator'!W235</f>
        <v>20</v>
      </c>
      <c r="W297" s="77">
        <f>'Key Generator'!X235</f>
        <v>21</v>
      </c>
      <c r="X297" s="77">
        <f>'Key Generator'!Y235</f>
        <v>22</v>
      </c>
      <c r="Y297" s="77">
        <f>'Key Generator'!Z235</f>
        <v>23</v>
      </c>
      <c r="Z297" s="77">
        <f>'Key Generator'!AA235</f>
        <v>24</v>
      </c>
      <c r="AA297" s="77">
        <f>'Key Generator'!AB235</f>
        <v>25</v>
      </c>
      <c r="AB297" s="77">
        <f>'Key Generator'!AC235</f>
        <v>26</v>
      </c>
      <c r="AC297" s="77">
        <f>'Key Generator'!AD235</f>
        <v>27</v>
      </c>
      <c r="AD297" s="77">
        <f>'Key Generator'!AE235</f>
        <v>28</v>
      </c>
      <c r="AE297" s="77">
        <f>'Key Generator'!AF235</f>
        <v>29</v>
      </c>
      <c r="AF297" s="77">
        <f>'Key Generator'!AG235</f>
        <v>30</v>
      </c>
      <c r="AG297" s="77">
        <f>'Key Generator'!AH235</f>
        <v>31</v>
      </c>
      <c r="AH297" s="77">
        <f>'Key Generator'!AI235</f>
        <v>32</v>
      </c>
      <c r="AI297" s="77">
        <f>'Key Generator'!AJ235</f>
        <v>33</v>
      </c>
      <c r="AJ297" s="77">
        <f>'Key Generator'!AK235</f>
        <v>34</v>
      </c>
      <c r="AK297" s="77">
        <f>'Key Generator'!AL235</f>
        <v>35</v>
      </c>
      <c r="AL297" s="77">
        <f>'Key Generator'!AM235</f>
        <v>36</v>
      </c>
      <c r="AM297" s="77">
        <f>'Key Generator'!AN235</f>
        <v>37</v>
      </c>
      <c r="AN297" s="77">
        <f>'Key Generator'!AO235</f>
        <v>38</v>
      </c>
      <c r="AO297" s="77">
        <f>'Key Generator'!AP235</f>
        <v>39</v>
      </c>
      <c r="AP297" s="77">
        <f>'Key Generator'!AQ235</f>
        <v>40</v>
      </c>
      <c r="AQ297" s="77">
        <f>'Key Generator'!AR235</f>
        <v>41</v>
      </c>
      <c r="AR297" s="77">
        <f>'Key Generator'!AS235</f>
        <v>42</v>
      </c>
      <c r="AS297" s="77">
        <f>'Key Generator'!AT235</f>
        <v>43</v>
      </c>
      <c r="AT297" s="77">
        <f>'Key Generator'!AU235</f>
        <v>44</v>
      </c>
      <c r="AU297" s="77">
        <f>'Key Generator'!AV235</f>
        <v>45</v>
      </c>
      <c r="AV297" s="77">
        <f>'Key Generator'!AW235</f>
        <v>46</v>
      </c>
      <c r="AW297" s="77">
        <f>'Key Generator'!AX235</f>
        <v>47</v>
      </c>
      <c r="AX297" s="77">
        <f>'Key Generator'!AY235</f>
        <v>48</v>
      </c>
    </row>
    <row r="298" spans="1:55" ht="24.95" customHeight="1" x14ac:dyDescent="0.25">
      <c r="C298" s="77">
        <f>'Key Generator'!D236</f>
        <v>1</v>
      </c>
      <c r="D298" s="77">
        <f>'Key Generator'!E236</f>
        <v>1</v>
      </c>
      <c r="E298" s="77">
        <f>'Key Generator'!F236</f>
        <v>0</v>
      </c>
      <c r="F298" s="77">
        <f>'Key Generator'!G236</f>
        <v>1</v>
      </c>
      <c r="G298" s="77">
        <f>'Key Generator'!H236</f>
        <v>0</v>
      </c>
      <c r="H298" s="77">
        <f>'Key Generator'!I236</f>
        <v>0</v>
      </c>
      <c r="I298" s="77">
        <f>'Key Generator'!J236</f>
        <v>0</v>
      </c>
      <c r="J298" s="77">
        <f>'Key Generator'!K236</f>
        <v>0</v>
      </c>
      <c r="K298" s="77">
        <f>'Key Generator'!L236</f>
        <v>0</v>
      </c>
      <c r="L298" s="77">
        <f>'Key Generator'!M236</f>
        <v>1</v>
      </c>
      <c r="M298" s="77">
        <f>'Key Generator'!N236</f>
        <v>1</v>
      </c>
      <c r="N298" s="77">
        <f>'Key Generator'!O236</f>
        <v>0</v>
      </c>
      <c r="O298" s="77">
        <f>'Key Generator'!P236</f>
        <v>1</v>
      </c>
      <c r="P298" s="77">
        <f>'Key Generator'!Q236</f>
        <v>1</v>
      </c>
      <c r="Q298" s="77">
        <f>'Key Generator'!R236</f>
        <v>0</v>
      </c>
      <c r="R298" s="77">
        <f>'Key Generator'!S236</f>
        <v>0</v>
      </c>
      <c r="S298" s="77">
        <f>'Key Generator'!T236</f>
        <v>1</v>
      </c>
      <c r="T298" s="77">
        <f>'Key Generator'!U236</f>
        <v>0</v>
      </c>
      <c r="U298" s="77">
        <f>'Key Generator'!V236</f>
        <v>0</v>
      </c>
      <c r="V298" s="77">
        <f>'Key Generator'!W236</f>
        <v>0</v>
      </c>
      <c r="W298" s="77">
        <f>'Key Generator'!X236</f>
        <v>0</v>
      </c>
      <c r="X298" s="77">
        <f>'Key Generator'!Y236</f>
        <v>1</v>
      </c>
      <c r="Y298" s="77">
        <f>'Key Generator'!Z236</f>
        <v>0</v>
      </c>
      <c r="Z298" s="77">
        <f>'Key Generator'!AA236</f>
        <v>0</v>
      </c>
      <c r="AA298" s="77">
        <f>'Key Generator'!AB236</f>
        <v>1</v>
      </c>
      <c r="AB298" s="77">
        <f>'Key Generator'!AC236</f>
        <v>1</v>
      </c>
      <c r="AC298" s="77">
        <f>'Key Generator'!AD236</f>
        <v>1</v>
      </c>
      <c r="AD298" s="77">
        <f>'Key Generator'!AE236</f>
        <v>0</v>
      </c>
      <c r="AE298" s="77">
        <f>'Key Generator'!AF236</f>
        <v>0</v>
      </c>
      <c r="AF298" s="77">
        <f>'Key Generator'!AG236</f>
        <v>0</v>
      </c>
      <c r="AG298" s="77">
        <f>'Key Generator'!AH236</f>
        <v>1</v>
      </c>
      <c r="AH298" s="77">
        <f>'Key Generator'!AI236</f>
        <v>1</v>
      </c>
      <c r="AI298" s="77">
        <f>'Key Generator'!AJ236</f>
        <v>1</v>
      </c>
      <c r="AJ298" s="77">
        <f>'Key Generator'!AK236</f>
        <v>0</v>
      </c>
      <c r="AK298" s="77">
        <f>'Key Generator'!AL236</f>
        <v>0</v>
      </c>
      <c r="AL298" s="77">
        <f>'Key Generator'!AM236</f>
        <v>1</v>
      </c>
      <c r="AM298" s="77">
        <f>'Key Generator'!AN236</f>
        <v>1</v>
      </c>
      <c r="AN298" s="77">
        <f>'Key Generator'!AO236</f>
        <v>0</v>
      </c>
      <c r="AO298" s="77">
        <f>'Key Generator'!AP236</f>
        <v>0</v>
      </c>
      <c r="AP298" s="77">
        <f>'Key Generator'!AQ236</f>
        <v>0</v>
      </c>
      <c r="AQ298" s="77">
        <f>'Key Generator'!AR236</f>
        <v>0</v>
      </c>
      <c r="AR298" s="77">
        <f>'Key Generator'!AS236</f>
        <v>0</v>
      </c>
      <c r="AS298" s="77">
        <f>'Key Generator'!AT236</f>
        <v>1</v>
      </c>
      <c r="AT298" s="77">
        <f>'Key Generator'!AU236</f>
        <v>1</v>
      </c>
      <c r="AU298" s="77">
        <f>'Key Generator'!AV236</f>
        <v>0</v>
      </c>
      <c r="AV298" s="77">
        <f>'Key Generator'!AW236</f>
        <v>1</v>
      </c>
      <c r="AW298" s="77">
        <f>'Key Generator'!AX236</f>
        <v>1</v>
      </c>
      <c r="AX298" s="77">
        <f>'Key Generator'!AY236</f>
        <v>0</v>
      </c>
    </row>
    <row r="301" spans="1:55" ht="24.95" customHeight="1" x14ac:dyDescent="0.25">
      <c r="A301" s="128" t="s">
        <v>535</v>
      </c>
      <c r="B301" s="129"/>
      <c r="C301" s="79">
        <v>1</v>
      </c>
      <c r="D301" s="80">
        <v>2</v>
      </c>
      <c r="E301" s="79">
        <v>3</v>
      </c>
      <c r="F301" s="80">
        <v>4</v>
      </c>
      <c r="G301" s="79">
        <v>5</v>
      </c>
      <c r="H301" s="80">
        <v>6</v>
      </c>
      <c r="I301" s="79">
        <v>7</v>
      </c>
      <c r="J301" s="80">
        <v>8</v>
      </c>
      <c r="K301" s="79">
        <v>9</v>
      </c>
      <c r="L301" s="80">
        <v>10</v>
      </c>
      <c r="M301" s="79">
        <v>11</v>
      </c>
      <c r="N301" s="80">
        <v>12</v>
      </c>
      <c r="O301" s="79">
        <v>13</v>
      </c>
      <c r="P301" s="80">
        <v>14</v>
      </c>
      <c r="Q301" s="79">
        <v>15</v>
      </c>
      <c r="R301" s="80">
        <v>16</v>
      </c>
      <c r="S301" s="79">
        <v>17</v>
      </c>
      <c r="T301" s="80">
        <v>18</v>
      </c>
      <c r="U301" s="79">
        <v>19</v>
      </c>
      <c r="V301" s="80">
        <v>20</v>
      </c>
      <c r="W301" s="79">
        <v>21</v>
      </c>
      <c r="X301" s="80">
        <v>22</v>
      </c>
      <c r="Y301" s="79">
        <v>23</v>
      </c>
      <c r="Z301" s="80">
        <v>24</v>
      </c>
      <c r="AA301" s="79">
        <v>25</v>
      </c>
      <c r="AB301" s="80">
        <v>26</v>
      </c>
      <c r="AC301" s="79">
        <v>27</v>
      </c>
      <c r="AD301" s="80">
        <v>28</v>
      </c>
      <c r="AE301" s="79">
        <v>29</v>
      </c>
      <c r="AF301" s="80">
        <v>30</v>
      </c>
      <c r="AG301" s="79">
        <v>31</v>
      </c>
      <c r="AH301" s="80">
        <v>32</v>
      </c>
      <c r="AI301" s="79">
        <v>33</v>
      </c>
      <c r="AJ301" s="80">
        <v>34</v>
      </c>
      <c r="AK301" s="79">
        <v>35</v>
      </c>
      <c r="AL301" s="80">
        <v>36</v>
      </c>
      <c r="AM301" s="79">
        <v>37</v>
      </c>
      <c r="AN301" s="80">
        <v>38</v>
      </c>
      <c r="AO301" s="79">
        <v>39</v>
      </c>
      <c r="AP301" s="80">
        <v>40</v>
      </c>
      <c r="AQ301" s="79">
        <v>41</v>
      </c>
      <c r="AR301" s="80">
        <v>42</v>
      </c>
      <c r="AS301" s="79">
        <v>43</v>
      </c>
      <c r="AT301" s="80">
        <v>44</v>
      </c>
      <c r="AU301" s="79">
        <v>45</v>
      </c>
      <c r="AV301" s="80">
        <v>46</v>
      </c>
      <c r="AW301" s="79">
        <v>47</v>
      </c>
      <c r="AX301" s="80">
        <v>48</v>
      </c>
    </row>
    <row r="302" spans="1:55" ht="24.95" customHeight="1" x14ac:dyDescent="0.25">
      <c r="C302" s="88">
        <f>--_xlfn.XOR(C294,'Key Generator'!D236)</f>
        <v>1</v>
      </c>
      <c r="D302" s="88">
        <f>--_xlfn.XOR(D294,'Key Generator'!E236)</f>
        <v>1</v>
      </c>
      <c r="E302" s="88">
        <f>--_xlfn.XOR(E294,'Key Generator'!F236)</f>
        <v>0</v>
      </c>
      <c r="F302" s="88">
        <f>--_xlfn.XOR(F294,'Key Generator'!G236)</f>
        <v>1</v>
      </c>
      <c r="G302" s="88">
        <f>--_xlfn.XOR(G294,'Key Generator'!H236)</f>
        <v>0</v>
      </c>
      <c r="H302" s="88">
        <f>--_xlfn.XOR(H294,'Key Generator'!I236)</f>
        <v>0</v>
      </c>
      <c r="I302" s="87">
        <f>--_xlfn.XOR(I294,'Key Generator'!J236)</f>
        <v>0</v>
      </c>
      <c r="J302" s="87">
        <f>--_xlfn.XOR(J294,'Key Generator'!K236)</f>
        <v>0</v>
      </c>
      <c r="K302" s="87">
        <f>--_xlfn.XOR(K294,'Key Generator'!L236)</f>
        <v>0</v>
      </c>
      <c r="L302" s="87">
        <f>--_xlfn.XOR(L294,'Key Generator'!M236)</f>
        <v>1</v>
      </c>
      <c r="M302" s="87">
        <f>--_xlfn.XOR(M294,'Key Generator'!N236)</f>
        <v>1</v>
      </c>
      <c r="N302" s="87">
        <f>--_xlfn.XOR(N294,'Key Generator'!O236)</f>
        <v>1</v>
      </c>
      <c r="O302" s="89">
        <f>--_xlfn.XOR(O294,'Key Generator'!P236)</f>
        <v>1</v>
      </c>
      <c r="P302" s="89">
        <f>--_xlfn.XOR(P294,'Key Generator'!Q236)</f>
        <v>0</v>
      </c>
      <c r="Q302" s="89">
        <f>--_xlfn.XOR(Q294,'Key Generator'!R236)</f>
        <v>1</v>
      </c>
      <c r="R302" s="89">
        <f>--_xlfn.XOR(R294,'Key Generator'!S236)</f>
        <v>1</v>
      </c>
      <c r="S302" s="89">
        <f>--_xlfn.XOR(S294,'Key Generator'!T236)</f>
        <v>1</v>
      </c>
      <c r="T302" s="89">
        <f>--_xlfn.XOR(T294,'Key Generator'!U236)</f>
        <v>0</v>
      </c>
      <c r="U302" s="90">
        <f>--_xlfn.XOR(U294,'Key Generator'!V236)</f>
        <v>0</v>
      </c>
      <c r="V302" s="90">
        <f>--_xlfn.XOR(V294,'Key Generator'!W236)</f>
        <v>0</v>
      </c>
      <c r="W302" s="90">
        <f>--_xlfn.XOR(W294,'Key Generator'!X236)</f>
        <v>1</v>
      </c>
      <c r="X302" s="90">
        <f>--_xlfn.XOR(X294,'Key Generator'!Y236)</f>
        <v>0</v>
      </c>
      <c r="Y302" s="90">
        <f>--_xlfn.XOR(Y294,'Key Generator'!Z236)</f>
        <v>0</v>
      </c>
      <c r="Z302" s="90">
        <f>--_xlfn.XOR(Z294,'Key Generator'!AA236)</f>
        <v>0</v>
      </c>
      <c r="AA302" s="91">
        <f>--_xlfn.XOR(AA294,'Key Generator'!AB236)</f>
        <v>1</v>
      </c>
      <c r="AB302" s="91">
        <f>--_xlfn.XOR(AB294,'Key Generator'!AC236)</f>
        <v>1</v>
      </c>
      <c r="AC302" s="91">
        <f>--_xlfn.XOR(AC294,'Key Generator'!AD236)</f>
        <v>0</v>
      </c>
      <c r="AD302" s="91">
        <f>--_xlfn.XOR(AD294,'Key Generator'!AE236)</f>
        <v>0</v>
      </c>
      <c r="AE302" s="91">
        <f>--_xlfn.XOR(AE294,'Key Generator'!AF236)</f>
        <v>1</v>
      </c>
      <c r="AF302" s="91">
        <f>--_xlfn.XOR(AF294,'Key Generator'!AG236)</f>
        <v>0</v>
      </c>
      <c r="AG302" s="92">
        <f>--_xlfn.XOR(AG294,'Key Generator'!AH236)</f>
        <v>0</v>
      </c>
      <c r="AH302" s="92">
        <f>--_xlfn.XOR(AH294,'Key Generator'!AI236)</f>
        <v>1</v>
      </c>
      <c r="AI302" s="92">
        <f>--_xlfn.XOR(AI294,'Key Generator'!AJ236)</f>
        <v>0</v>
      </c>
      <c r="AJ302" s="92">
        <f>--_xlfn.XOR(AJ294,'Key Generator'!AK236)</f>
        <v>1</v>
      </c>
      <c r="AK302" s="92">
        <f>--_xlfn.XOR(AK294,'Key Generator'!AL236)</f>
        <v>1</v>
      </c>
      <c r="AL302" s="92">
        <f>--_xlfn.XOR(AL294,'Key Generator'!AM236)</f>
        <v>1</v>
      </c>
      <c r="AM302" s="86">
        <f>--_xlfn.XOR(AM294,'Key Generator'!AN236)</f>
        <v>0</v>
      </c>
      <c r="AN302" s="86">
        <f>--_xlfn.XOR(AN294,'Key Generator'!AO236)</f>
        <v>0</v>
      </c>
      <c r="AO302" s="86">
        <f>--_xlfn.XOR(AO294,'Key Generator'!AP236)</f>
        <v>1</v>
      </c>
      <c r="AP302" s="86">
        <f>--_xlfn.XOR(AP294,'Key Generator'!AQ236)</f>
        <v>0</v>
      </c>
      <c r="AQ302" s="86">
        <f>--_xlfn.XOR(AQ294,'Key Generator'!AR236)</f>
        <v>0</v>
      </c>
      <c r="AR302" s="86">
        <f>--_xlfn.XOR(AR294,'Key Generator'!AS236)</f>
        <v>1</v>
      </c>
      <c r="AS302" s="81">
        <f>--_xlfn.XOR(AS294,'Key Generator'!AT236)</f>
        <v>1</v>
      </c>
      <c r="AT302" s="81">
        <f>--_xlfn.XOR(AT294,'Key Generator'!AU236)</f>
        <v>0</v>
      </c>
      <c r="AU302" s="81">
        <f>--_xlfn.XOR(AU294,'Key Generator'!AV236)</f>
        <v>0</v>
      </c>
      <c r="AV302" s="81">
        <f>--_xlfn.XOR(AV294,'Key Generator'!AW236)</f>
        <v>0</v>
      </c>
      <c r="AW302" s="81">
        <f>--_xlfn.XOR(AW294,'Key Generator'!AX236)</f>
        <v>1</v>
      </c>
      <c r="AX302" s="81">
        <f>--_xlfn.XOR(AX294,'Key Generator'!AY236)</f>
        <v>0</v>
      </c>
      <c r="AZ302" s="20"/>
      <c r="BA302" s="20"/>
      <c r="BB302" s="20"/>
      <c r="BC302" s="20"/>
    </row>
    <row r="303" spans="1:55" ht="24.95" customHeight="1" x14ac:dyDescent="0.25">
      <c r="C303" s="93"/>
      <c r="D303" s="94"/>
      <c r="E303" s="94"/>
      <c r="F303" s="94"/>
      <c r="G303" s="94"/>
      <c r="H303" s="94"/>
      <c r="AZ303" s="20"/>
      <c r="BA303" s="20"/>
      <c r="BB303" s="20"/>
      <c r="BC303" s="20"/>
    </row>
    <row r="304" spans="1:55" ht="24.95" customHeight="1" x14ac:dyDescent="0.25">
      <c r="A304" s="96" t="s">
        <v>545</v>
      </c>
      <c r="B304" s="97"/>
      <c r="C304" s="101">
        <f>D302*8+E302*4+F302*2+G302</f>
        <v>10</v>
      </c>
      <c r="D304" s="123" t="s">
        <v>536</v>
      </c>
      <c r="E304" s="97"/>
      <c r="F304" s="97"/>
      <c r="G304" s="97"/>
      <c r="H304" s="97"/>
      <c r="I304" s="101">
        <f>J302*8+K302*4+L302*2+M302</f>
        <v>3</v>
      </c>
      <c r="J304" s="122" t="s">
        <v>537</v>
      </c>
      <c r="K304" s="97"/>
      <c r="L304" s="97"/>
      <c r="M304" s="97"/>
      <c r="N304" s="97"/>
      <c r="O304" s="101">
        <f>P302*8+Q302*4+R302*2+S302</f>
        <v>7</v>
      </c>
      <c r="P304" s="122" t="s">
        <v>538</v>
      </c>
      <c r="Q304" s="97"/>
      <c r="R304" s="97"/>
      <c r="S304" s="97"/>
      <c r="T304" s="97"/>
      <c r="U304" s="101">
        <f>V302*8+W302*4+X302*2+Y302</f>
        <v>4</v>
      </c>
      <c r="V304" s="122" t="s">
        <v>539</v>
      </c>
      <c r="W304" s="97"/>
      <c r="X304" s="97"/>
      <c r="Y304" s="97"/>
      <c r="Z304" s="97"/>
      <c r="AA304" s="101">
        <f>AB302*8+AC302*4+AD302*2+AE302</f>
        <v>9</v>
      </c>
      <c r="AB304" s="122" t="s">
        <v>540</v>
      </c>
      <c r="AC304" s="97"/>
      <c r="AD304" s="97"/>
      <c r="AE304" s="97"/>
      <c r="AF304" s="97"/>
      <c r="AG304" s="101">
        <f>AH302*8+AI302*4+AJ302*2+AK302</f>
        <v>11</v>
      </c>
      <c r="AH304" s="122" t="s">
        <v>541</v>
      </c>
      <c r="AI304" s="97"/>
      <c r="AJ304" s="97"/>
      <c r="AK304" s="97"/>
      <c r="AL304" s="97"/>
      <c r="AM304" s="101">
        <f>AN302*8+AO302*4+AP302*2+AQ302</f>
        <v>4</v>
      </c>
      <c r="AN304" s="122" t="s">
        <v>542</v>
      </c>
      <c r="AO304" s="97"/>
      <c r="AP304" s="97"/>
      <c r="AQ304" s="97"/>
      <c r="AR304" s="97"/>
      <c r="AS304" s="101">
        <f>AT302*8+AU302*4+AV302*2+AW302</f>
        <v>1</v>
      </c>
      <c r="AT304" s="122" t="s">
        <v>543</v>
      </c>
      <c r="AU304" s="97"/>
      <c r="AV304" s="97"/>
      <c r="AW304" s="97"/>
      <c r="AX304" s="97"/>
      <c r="AY304" s="97"/>
      <c r="AZ304" s="20"/>
      <c r="BA304" s="20"/>
      <c r="BB304" s="20"/>
      <c r="BC304" s="20"/>
    </row>
    <row r="305" spans="1:55" ht="24.95" customHeight="1" x14ac:dyDescent="0.25">
      <c r="A305" s="100" t="s">
        <v>546</v>
      </c>
      <c r="B305" s="99"/>
      <c r="C305" s="87">
        <f>C302*2+H302</f>
        <v>2</v>
      </c>
      <c r="D305" s="98"/>
      <c r="E305" s="98"/>
      <c r="F305" s="99"/>
      <c r="G305" s="99"/>
      <c r="H305" s="99"/>
      <c r="I305" s="87">
        <f>I302*2+N302</f>
        <v>1</v>
      </c>
      <c r="J305" s="99"/>
      <c r="K305" s="99"/>
      <c r="L305" s="99"/>
      <c r="M305" s="99"/>
      <c r="N305" s="99"/>
      <c r="O305" s="87">
        <f>O302*2+T302</f>
        <v>2</v>
      </c>
      <c r="P305" s="99"/>
      <c r="Q305" s="99"/>
      <c r="R305" s="99"/>
      <c r="S305" s="99"/>
      <c r="T305" s="99"/>
      <c r="U305" s="87">
        <f>U302*2+Z302</f>
        <v>0</v>
      </c>
      <c r="V305" s="99"/>
      <c r="W305" s="99"/>
      <c r="X305" s="99"/>
      <c r="Y305" s="99"/>
      <c r="Z305" s="99"/>
      <c r="AA305" s="87">
        <f>AA302*2+AF302</f>
        <v>2</v>
      </c>
      <c r="AB305" s="99"/>
      <c r="AC305" s="99"/>
      <c r="AD305" s="99"/>
      <c r="AE305" s="99"/>
      <c r="AF305" s="99"/>
      <c r="AG305" s="87">
        <f>AG302*2+AL302</f>
        <v>1</v>
      </c>
      <c r="AH305" s="99"/>
      <c r="AI305" s="99"/>
      <c r="AJ305" s="99"/>
      <c r="AK305" s="99"/>
      <c r="AL305" s="99"/>
      <c r="AM305" s="87">
        <f>AM302*2+AR302</f>
        <v>1</v>
      </c>
      <c r="AN305" s="99"/>
      <c r="AO305" s="99"/>
      <c r="AP305" s="99"/>
      <c r="AQ305" s="99"/>
      <c r="AR305" s="99"/>
      <c r="AS305" s="87">
        <f>AS302*2+AX302</f>
        <v>2</v>
      </c>
      <c r="AT305" s="99"/>
      <c r="AU305" s="99"/>
      <c r="AV305" s="99"/>
      <c r="AW305" s="99"/>
      <c r="AX305" s="99"/>
      <c r="AY305" s="99"/>
      <c r="AZ305" s="20"/>
      <c r="BA305" s="20"/>
      <c r="BB305" s="20"/>
      <c r="BC305" s="20"/>
    </row>
    <row r="306" spans="1:55" ht="24.95" customHeight="1" x14ac:dyDescent="0.25">
      <c r="AZ306" s="20"/>
      <c r="BA306" s="20"/>
      <c r="BB306" s="20"/>
      <c r="BC306" s="20"/>
    </row>
    <row r="307" spans="1:55" ht="24.95" customHeight="1" x14ac:dyDescent="0.25">
      <c r="A307" s="117" t="s">
        <v>547</v>
      </c>
      <c r="C307" s="72">
        <f>INDEX('S-Box'!D3:S6,'DES-Enc'!C305+1,'DES-Enc'!C304+1)</f>
        <v>9</v>
      </c>
      <c r="I307" s="102">
        <f>INDEX('S-Box'!D9:S12,'DES-Enc'!I305+1,'DES-Enc'!I304+1)</f>
        <v>7</v>
      </c>
      <c r="O307" s="102">
        <f>INDEX('S-Box'!D15:S18,'DES-Enc'!O305+1,'DES-Enc'!O304+1)</f>
        <v>0</v>
      </c>
      <c r="U307" s="102">
        <f>INDEX('S-Box'!D21:S24,'DES-Enc'!U305+1,'DES-Enc'!U304+1)</f>
        <v>0</v>
      </c>
      <c r="AA307" s="102">
        <f>INDEX('S-Box'!D27:S30,'DES-Enc'!AA305+1,'DES-Enc'!AA304+1)</f>
        <v>9</v>
      </c>
      <c r="AG307" s="102">
        <f>INDEX('S-Box'!D33:S36,'DES-Enc'!AG305+1,'DES-Enc'!AG304+1)</f>
        <v>14</v>
      </c>
      <c r="AM307" s="102">
        <f>INDEX('S-Box'!D39:S42,'DES-Enc'!AM305+1,'DES-Enc'!AM304+1)</f>
        <v>4</v>
      </c>
      <c r="AS307" s="102">
        <f>INDEX('S-Box'!D45:S48,'DES-Enc'!AS305+1,'DES-Enc'!AS304+1)</f>
        <v>11</v>
      </c>
      <c r="AZ307" s="20"/>
      <c r="BA307" s="20"/>
      <c r="BB307" s="20"/>
      <c r="BC307" s="20"/>
    </row>
    <row r="308" spans="1:55" ht="24.95" customHeight="1" x14ac:dyDescent="0.25">
      <c r="C308" s="104"/>
      <c r="I308" s="95"/>
      <c r="O308" s="95"/>
      <c r="U308" s="95"/>
      <c r="AA308" s="95"/>
      <c r="AG308" s="95"/>
      <c r="AM308" s="95"/>
      <c r="AS308" s="95"/>
    </row>
    <row r="309" spans="1:55" ht="24.95" customHeight="1" x14ac:dyDescent="0.25">
      <c r="C309" s="105" t="str">
        <f>MID(DEC2BIN(C307,4),1,1)</f>
        <v>1</v>
      </c>
      <c r="D309" s="106" t="str">
        <f>MID(DEC2BIN(C307,4),2,1)</f>
        <v>0</v>
      </c>
      <c r="E309" s="106" t="str">
        <f>MID(DEC2BIN(C307,4),3,1)</f>
        <v>0</v>
      </c>
      <c r="F309" s="107" t="str">
        <f>MID(DEC2BIN(C307,4),4,1)</f>
        <v>1</v>
      </c>
      <c r="I309" s="105" t="str">
        <f>MID(DEC2BIN(I307,4),1,1)</f>
        <v>0</v>
      </c>
      <c r="J309" s="106" t="str">
        <f>MID(DEC2BIN(I307,4),2,1)</f>
        <v>1</v>
      </c>
      <c r="K309" s="106" t="str">
        <f>MID(DEC2BIN(I307,4),3,1)</f>
        <v>1</v>
      </c>
      <c r="L309" s="107" t="str">
        <f>MID(DEC2BIN(I307,4),4,1)</f>
        <v>1</v>
      </c>
      <c r="O309" s="105" t="str">
        <f>MID(DEC2BIN(O307,4),1,1)</f>
        <v>0</v>
      </c>
      <c r="P309" s="106" t="str">
        <f>MID(DEC2BIN(O307,4),2,1)</f>
        <v>0</v>
      </c>
      <c r="Q309" s="106" t="str">
        <f>MID(DEC2BIN(O307,4),3,1)</f>
        <v>0</v>
      </c>
      <c r="R309" s="107" t="str">
        <f>MID(DEC2BIN(O307,4),4,1)</f>
        <v>0</v>
      </c>
      <c r="U309" s="105" t="str">
        <f>MID(DEC2BIN(U307,4),1,1)</f>
        <v>0</v>
      </c>
      <c r="V309" s="106" t="str">
        <f>MID(DEC2BIN(U307,4),2,1)</f>
        <v>0</v>
      </c>
      <c r="W309" s="106" t="str">
        <f>MID(DEC2BIN(U307,4),3,1)</f>
        <v>0</v>
      </c>
      <c r="X309" s="107" t="str">
        <f>MID(DEC2BIN(U307,4),4,1)</f>
        <v>0</v>
      </c>
      <c r="AA309" s="105" t="str">
        <f>MID(DEC2BIN(AA307,4),1,1)</f>
        <v>1</v>
      </c>
      <c r="AB309" s="106" t="str">
        <f>MID(DEC2BIN(AA307,4),2,1)</f>
        <v>0</v>
      </c>
      <c r="AC309" s="106" t="str">
        <f>MID(DEC2BIN(AA307,4),3,1)</f>
        <v>0</v>
      </c>
      <c r="AD309" s="107" t="str">
        <f>MID(DEC2BIN(AA307,4),4,1)</f>
        <v>1</v>
      </c>
      <c r="AG309" s="105" t="str">
        <f>MID(DEC2BIN(AG307,4),1,1)</f>
        <v>1</v>
      </c>
      <c r="AH309" s="106" t="str">
        <f>MID(DEC2BIN(AG307,4),2,1)</f>
        <v>1</v>
      </c>
      <c r="AI309" s="106" t="str">
        <f>MID(DEC2BIN(AG307,4),3,1)</f>
        <v>1</v>
      </c>
      <c r="AJ309" s="107" t="str">
        <f>MID(DEC2BIN(AG307,4),4,1)</f>
        <v>0</v>
      </c>
      <c r="AM309" s="105" t="str">
        <f>MID(DEC2BIN(AM307,4),1,1)</f>
        <v>0</v>
      </c>
      <c r="AN309" s="106" t="str">
        <f>MID(DEC2BIN(AM307,4),2,1)</f>
        <v>1</v>
      </c>
      <c r="AO309" s="106" t="str">
        <f>MID(DEC2BIN(AM307,4),3,1)</f>
        <v>0</v>
      </c>
      <c r="AP309" s="107" t="str">
        <f>MID(DEC2BIN(AM307,4),4,1)</f>
        <v>0</v>
      </c>
      <c r="AS309" s="105" t="str">
        <f>MID(DEC2BIN(AS307,4),1,1)</f>
        <v>1</v>
      </c>
      <c r="AT309" s="106" t="str">
        <f>MID(DEC2BIN(AS307,4),2,1)</f>
        <v>0</v>
      </c>
      <c r="AU309" s="106" t="str">
        <f>MID(DEC2BIN(AS307,4),3,1)</f>
        <v>1</v>
      </c>
      <c r="AV309" s="107" t="str">
        <f>MID(DEC2BIN(AS307,4),4,1)</f>
        <v>1</v>
      </c>
    </row>
    <row r="310" spans="1:55" ht="24.95" customHeight="1" x14ac:dyDescent="0.25">
      <c r="C310" s="21">
        <f>VALUE(C309)</f>
        <v>1</v>
      </c>
      <c r="D310" s="21">
        <f t="shared" ref="D310" si="771">VALUE(D309)</f>
        <v>0</v>
      </c>
      <c r="E310" s="21">
        <f t="shared" ref="E310" si="772">VALUE(E309)</f>
        <v>0</v>
      </c>
      <c r="F310" s="21">
        <f t="shared" ref="F310" si="773">VALUE(F309)</f>
        <v>1</v>
      </c>
      <c r="I310" s="21">
        <f t="shared" ref="I310" si="774">VALUE(I309)</f>
        <v>0</v>
      </c>
      <c r="J310" s="21">
        <f t="shared" ref="J310" si="775">VALUE(J309)</f>
        <v>1</v>
      </c>
      <c r="K310" s="21">
        <f t="shared" ref="K310" si="776">VALUE(K309)</f>
        <v>1</v>
      </c>
      <c r="L310" s="21">
        <f t="shared" ref="L310" si="777">VALUE(L309)</f>
        <v>1</v>
      </c>
      <c r="O310" s="21">
        <f>VALUE(O309)</f>
        <v>0</v>
      </c>
      <c r="P310" s="21">
        <f t="shared" ref="P310" si="778">VALUE(P309)</f>
        <v>0</v>
      </c>
      <c r="Q310" s="21">
        <f t="shared" ref="Q310" si="779">VALUE(Q309)</f>
        <v>0</v>
      </c>
      <c r="R310" s="21">
        <f t="shared" ref="R310" si="780">VALUE(R309)</f>
        <v>0</v>
      </c>
      <c r="U310" s="21">
        <f>VALUE(U309)</f>
        <v>0</v>
      </c>
      <c r="V310" s="21">
        <f t="shared" ref="V310" si="781">VALUE(V309)</f>
        <v>0</v>
      </c>
      <c r="W310" s="21">
        <f t="shared" ref="W310" si="782">VALUE(W309)</f>
        <v>0</v>
      </c>
      <c r="X310" s="21">
        <f t="shared" ref="X310" si="783">VALUE(X309)</f>
        <v>0</v>
      </c>
      <c r="AA310" s="21">
        <f>VALUE(AA309)</f>
        <v>1</v>
      </c>
      <c r="AB310" s="21">
        <f t="shared" ref="AB310" si="784">VALUE(AB309)</f>
        <v>0</v>
      </c>
      <c r="AC310" s="21">
        <f t="shared" ref="AC310" si="785">VALUE(AC309)</f>
        <v>0</v>
      </c>
      <c r="AD310" s="21">
        <f t="shared" ref="AD310" si="786">VALUE(AD309)</f>
        <v>1</v>
      </c>
      <c r="AG310" s="21">
        <f>VALUE(AG309)</f>
        <v>1</v>
      </c>
      <c r="AH310" s="21">
        <f t="shared" ref="AH310" si="787">VALUE(AH309)</f>
        <v>1</v>
      </c>
      <c r="AI310" s="21">
        <f t="shared" ref="AI310" si="788">VALUE(AI309)</f>
        <v>1</v>
      </c>
      <c r="AJ310" s="21">
        <f t="shared" ref="AJ310" si="789">VALUE(AJ309)</f>
        <v>0</v>
      </c>
      <c r="AM310" s="21">
        <f>VALUE(AM309)</f>
        <v>0</v>
      </c>
      <c r="AN310" s="21">
        <f t="shared" ref="AN310" si="790">VALUE(AN309)</f>
        <v>1</v>
      </c>
      <c r="AO310" s="21">
        <f t="shared" ref="AO310" si="791">VALUE(AO309)</f>
        <v>0</v>
      </c>
      <c r="AP310" s="21">
        <f t="shared" ref="AP310" si="792">VALUE(AP309)</f>
        <v>0</v>
      </c>
      <c r="AS310" s="21">
        <f>VALUE(AS309)</f>
        <v>1</v>
      </c>
      <c r="AT310" s="21">
        <f t="shared" ref="AT310" si="793">VALUE(AT309)</f>
        <v>0</v>
      </c>
      <c r="AU310" s="21">
        <f t="shared" ref="AU310" si="794">VALUE(AU309)</f>
        <v>1</v>
      </c>
      <c r="AV310" s="21">
        <f t="shared" ref="AV310" si="795">VALUE(AV309)</f>
        <v>1</v>
      </c>
    </row>
    <row r="311" spans="1:55" ht="24.95" customHeight="1" x14ac:dyDescent="0.25">
      <c r="A311" s="111" t="s">
        <v>588</v>
      </c>
      <c r="B311" s="111"/>
      <c r="C311" s="111">
        <v>1</v>
      </c>
      <c r="D311" s="76">
        <v>2</v>
      </c>
      <c r="E311" s="111">
        <v>3</v>
      </c>
      <c r="F311" s="76">
        <v>4</v>
      </c>
      <c r="G311" s="111">
        <v>5</v>
      </c>
      <c r="H311" s="76">
        <v>6</v>
      </c>
      <c r="I311" s="111">
        <v>7</v>
      </c>
      <c r="J311" s="76">
        <v>8</v>
      </c>
      <c r="K311" s="111">
        <v>9</v>
      </c>
      <c r="L311" s="76">
        <v>10</v>
      </c>
      <c r="M311" s="111">
        <v>11</v>
      </c>
      <c r="N311" s="76">
        <v>12</v>
      </c>
      <c r="O311" s="111">
        <v>13</v>
      </c>
      <c r="P311" s="76">
        <v>14</v>
      </c>
      <c r="Q311" s="111">
        <v>15</v>
      </c>
      <c r="R311" s="76">
        <v>16</v>
      </c>
      <c r="S311" s="111">
        <v>17</v>
      </c>
      <c r="T311" s="76">
        <v>18</v>
      </c>
      <c r="U311" s="111">
        <v>19</v>
      </c>
      <c r="V311" s="76">
        <v>20</v>
      </c>
      <c r="W311" s="111">
        <v>21</v>
      </c>
      <c r="X311" s="76">
        <v>22</v>
      </c>
      <c r="Y311" s="111">
        <v>23</v>
      </c>
      <c r="Z311" s="76">
        <v>24</v>
      </c>
      <c r="AA311" s="111">
        <v>25</v>
      </c>
      <c r="AB311" s="76">
        <v>26</v>
      </c>
      <c r="AC311" s="111">
        <v>27</v>
      </c>
      <c r="AD311" s="76">
        <v>28</v>
      </c>
      <c r="AE311" s="111">
        <v>29</v>
      </c>
      <c r="AF311" s="76">
        <v>30</v>
      </c>
      <c r="AG311" s="111">
        <v>31</v>
      </c>
      <c r="AH311" s="76">
        <v>32</v>
      </c>
    </row>
    <row r="312" spans="1:55" ht="24.95" customHeight="1" x14ac:dyDescent="0.25">
      <c r="C312" s="108">
        <f>C310</f>
        <v>1</v>
      </c>
      <c r="D312" s="108">
        <f t="shared" ref="D312:F312" si="796">D310</f>
        <v>0</v>
      </c>
      <c r="E312" s="108">
        <f t="shared" si="796"/>
        <v>0</v>
      </c>
      <c r="F312" s="108">
        <f t="shared" si="796"/>
        <v>1</v>
      </c>
      <c r="G312" s="23">
        <f>I310</f>
        <v>0</v>
      </c>
      <c r="H312" s="23">
        <f t="shared" ref="H312" si="797">J310</f>
        <v>1</v>
      </c>
      <c r="I312" s="23">
        <f t="shared" ref="I312" si="798">K310</f>
        <v>1</v>
      </c>
      <c r="J312" s="23">
        <f t="shared" ref="J312" si="799">L310</f>
        <v>1</v>
      </c>
      <c r="K312" s="23">
        <f>O310</f>
        <v>0</v>
      </c>
      <c r="L312" s="23">
        <f t="shared" ref="L312" si="800">P310</f>
        <v>0</v>
      </c>
      <c r="M312" s="23">
        <f t="shared" ref="M312" si="801">Q310</f>
        <v>0</v>
      </c>
      <c r="N312" s="23">
        <f t="shared" ref="N312" si="802">R310</f>
        <v>0</v>
      </c>
      <c r="O312" s="23">
        <f>U310</f>
        <v>0</v>
      </c>
      <c r="P312" s="23">
        <f t="shared" ref="P312" si="803">V310</f>
        <v>0</v>
      </c>
      <c r="Q312" s="23">
        <f t="shared" ref="Q312" si="804">W310</f>
        <v>0</v>
      </c>
      <c r="R312" s="23">
        <f t="shared" ref="R312" si="805">X310</f>
        <v>0</v>
      </c>
      <c r="S312" s="23">
        <f>AA310</f>
        <v>1</v>
      </c>
      <c r="T312" s="23">
        <f t="shared" ref="T312" si="806">AB310</f>
        <v>0</v>
      </c>
      <c r="U312" s="23">
        <f t="shared" ref="U312" si="807">AC310</f>
        <v>0</v>
      </c>
      <c r="V312" s="23">
        <f t="shared" ref="V312" si="808">AD310</f>
        <v>1</v>
      </c>
      <c r="W312" s="23">
        <f>AG310</f>
        <v>1</v>
      </c>
      <c r="X312" s="23">
        <f t="shared" ref="X312" si="809">AH310</f>
        <v>1</v>
      </c>
      <c r="Y312" s="23">
        <f t="shared" ref="Y312" si="810">AI310</f>
        <v>1</v>
      </c>
      <c r="Z312" s="23">
        <f t="shared" ref="Z312" si="811">AJ310</f>
        <v>0</v>
      </c>
      <c r="AA312" s="23">
        <f>AM310</f>
        <v>0</v>
      </c>
      <c r="AB312" s="23">
        <f t="shared" ref="AB312" si="812">AN310</f>
        <v>1</v>
      </c>
      <c r="AC312" s="23">
        <f t="shared" ref="AC312" si="813">AO310</f>
        <v>0</v>
      </c>
      <c r="AD312" s="23">
        <f t="shared" ref="AD312" si="814">AP310</f>
        <v>0</v>
      </c>
      <c r="AE312" s="23">
        <f>AS310</f>
        <v>1</v>
      </c>
      <c r="AF312" s="23">
        <f t="shared" ref="AF312" si="815">AT310</f>
        <v>0</v>
      </c>
      <c r="AG312" s="23">
        <f t="shared" ref="AG312" si="816">AU310</f>
        <v>1</v>
      </c>
      <c r="AH312" s="23">
        <f t="shared" ref="AH312" si="817">AV310</f>
        <v>1</v>
      </c>
    </row>
    <row r="314" spans="1:55" ht="24.95" customHeight="1" x14ac:dyDescent="0.25">
      <c r="A314" s="110" t="s">
        <v>548</v>
      </c>
      <c r="B314" s="110"/>
      <c r="C314" s="109">
        <v>16</v>
      </c>
      <c r="D314" s="110">
        <v>7</v>
      </c>
      <c r="E314" s="110">
        <v>20</v>
      </c>
      <c r="F314" s="110">
        <v>21</v>
      </c>
      <c r="G314" s="110">
        <v>29</v>
      </c>
      <c r="H314" s="110">
        <v>12</v>
      </c>
      <c r="I314" s="110">
        <v>28</v>
      </c>
      <c r="J314" s="110">
        <v>17</v>
      </c>
      <c r="K314" s="110">
        <v>1</v>
      </c>
      <c r="L314" s="110">
        <v>15</v>
      </c>
      <c r="M314" s="110">
        <v>23</v>
      </c>
      <c r="N314" s="110">
        <v>26</v>
      </c>
      <c r="O314" s="110">
        <v>5</v>
      </c>
      <c r="P314" s="110">
        <v>18</v>
      </c>
      <c r="Q314" s="110">
        <v>31</v>
      </c>
      <c r="R314" s="110">
        <v>10</v>
      </c>
      <c r="S314" s="110">
        <v>2</v>
      </c>
      <c r="T314" s="110">
        <v>8</v>
      </c>
      <c r="U314" s="110">
        <v>24</v>
      </c>
      <c r="V314" s="110">
        <v>14</v>
      </c>
      <c r="W314" s="110">
        <v>32</v>
      </c>
      <c r="X314" s="110">
        <v>27</v>
      </c>
      <c r="Y314" s="110">
        <v>3</v>
      </c>
      <c r="Z314" s="110">
        <v>9</v>
      </c>
      <c r="AA314" s="110">
        <v>19</v>
      </c>
      <c r="AB314" s="110">
        <v>13</v>
      </c>
      <c r="AC314" s="110">
        <v>30</v>
      </c>
      <c r="AD314" s="110">
        <v>6</v>
      </c>
      <c r="AE314" s="110">
        <v>22</v>
      </c>
      <c r="AF314" s="110">
        <v>11</v>
      </c>
      <c r="AG314" s="110">
        <v>4</v>
      </c>
      <c r="AH314" s="110">
        <v>25</v>
      </c>
    </row>
    <row r="315" spans="1:55" ht="24.95" customHeight="1" x14ac:dyDescent="0.25">
      <c r="C315" s="103">
        <f>K312</f>
        <v>0</v>
      </c>
      <c r="D315" s="103">
        <f>S312</f>
        <v>1</v>
      </c>
      <c r="E315" s="103">
        <f>Y312</f>
        <v>1</v>
      </c>
      <c r="F315" s="112">
        <f>AG312</f>
        <v>1</v>
      </c>
      <c r="G315" s="103">
        <f>O312</f>
        <v>0</v>
      </c>
      <c r="H315" s="103">
        <f>AD312</f>
        <v>0</v>
      </c>
      <c r="I315" s="103">
        <f>D312</f>
        <v>0</v>
      </c>
      <c r="J315" s="103">
        <f>T312</f>
        <v>0</v>
      </c>
      <c r="K315" s="103">
        <f>Z312</f>
        <v>0</v>
      </c>
      <c r="L315" s="103">
        <f>R312</f>
        <v>0</v>
      </c>
      <c r="M315" s="103">
        <f>AF312</f>
        <v>0</v>
      </c>
      <c r="N315" s="103">
        <f>H312</f>
        <v>1</v>
      </c>
      <c r="O315" s="103">
        <f>AB312</f>
        <v>1</v>
      </c>
      <c r="P315" s="103">
        <f>V312</f>
        <v>1</v>
      </c>
      <c r="Q315" s="103">
        <f>L312</f>
        <v>0</v>
      </c>
      <c r="R315" s="103">
        <f>C312</f>
        <v>1</v>
      </c>
      <c r="S315" s="103">
        <f>J312</f>
        <v>1</v>
      </c>
      <c r="T315" s="103">
        <f>P312</f>
        <v>0</v>
      </c>
      <c r="U315" s="103">
        <f>AA312</f>
        <v>0</v>
      </c>
      <c r="V315" s="103">
        <f>E312</f>
        <v>0</v>
      </c>
      <c r="W315" s="103">
        <f>F312</f>
        <v>1</v>
      </c>
      <c r="X315" s="103">
        <f>AE312</f>
        <v>1</v>
      </c>
      <c r="Y315" s="103">
        <f>M312</f>
        <v>0</v>
      </c>
      <c r="Z315" s="103">
        <f>U312</f>
        <v>0</v>
      </c>
      <c r="AA315" s="103">
        <f>AH312</f>
        <v>1</v>
      </c>
      <c r="AB315" s="103">
        <f>N312</f>
        <v>0</v>
      </c>
      <c r="AC315" s="103">
        <f>X312</f>
        <v>1</v>
      </c>
      <c r="AD315" s="103">
        <f>I312</f>
        <v>1</v>
      </c>
      <c r="AE315" s="103">
        <f>G312</f>
        <v>0</v>
      </c>
      <c r="AF315" s="103">
        <f>AC312</f>
        <v>0</v>
      </c>
      <c r="AG315" s="103">
        <f>Q312</f>
        <v>0</v>
      </c>
      <c r="AH315" s="103">
        <f>W312</f>
        <v>1</v>
      </c>
    </row>
    <row r="316" spans="1:55" ht="24.95" customHeight="1" x14ac:dyDescent="0.25">
      <c r="C316" s="130">
        <v>1</v>
      </c>
      <c r="D316" s="131">
        <v>2</v>
      </c>
      <c r="E316" s="130">
        <v>3</v>
      </c>
      <c r="F316" s="131">
        <v>4</v>
      </c>
      <c r="G316" s="130">
        <v>5</v>
      </c>
      <c r="H316" s="131">
        <v>6</v>
      </c>
      <c r="I316" s="130">
        <v>7</v>
      </c>
      <c r="J316" s="131">
        <v>8</v>
      </c>
      <c r="K316" s="130">
        <v>9</v>
      </c>
      <c r="L316" s="131">
        <v>10</v>
      </c>
      <c r="M316" s="130">
        <v>11</v>
      </c>
      <c r="N316" s="131">
        <v>12</v>
      </c>
      <c r="O316" s="130">
        <v>13</v>
      </c>
      <c r="P316" s="131">
        <v>14</v>
      </c>
      <c r="Q316" s="130">
        <v>15</v>
      </c>
      <c r="R316" s="131">
        <v>16</v>
      </c>
      <c r="S316" s="130">
        <v>17</v>
      </c>
      <c r="T316" s="131">
        <v>18</v>
      </c>
      <c r="U316" s="130">
        <v>19</v>
      </c>
      <c r="V316" s="131">
        <v>20</v>
      </c>
      <c r="W316" s="130">
        <v>21</v>
      </c>
      <c r="X316" s="131">
        <v>22</v>
      </c>
      <c r="Y316" s="130">
        <v>23</v>
      </c>
      <c r="Z316" s="131">
        <v>24</v>
      </c>
      <c r="AA316" s="130">
        <v>25</v>
      </c>
      <c r="AB316" s="131">
        <v>26</v>
      </c>
      <c r="AC316" s="130">
        <v>27</v>
      </c>
      <c r="AD316" s="131">
        <v>28</v>
      </c>
      <c r="AE316" s="130">
        <v>29</v>
      </c>
      <c r="AF316" s="131">
        <v>30</v>
      </c>
      <c r="AG316" s="130">
        <v>31</v>
      </c>
      <c r="AH316" s="131">
        <v>32</v>
      </c>
    </row>
    <row r="320" spans="1:55" ht="24.95" customHeight="1" x14ac:dyDescent="0.25">
      <c r="A320" s="114" t="s">
        <v>554</v>
      </c>
      <c r="B320" s="114"/>
      <c r="C320" s="114"/>
      <c r="D320" s="68">
        <v>1</v>
      </c>
      <c r="E320" s="68">
        <v>2</v>
      </c>
      <c r="F320" s="68">
        <v>3</v>
      </c>
      <c r="G320" s="68">
        <v>4</v>
      </c>
      <c r="H320" s="68">
        <v>5</v>
      </c>
      <c r="I320" s="68">
        <v>6</v>
      </c>
      <c r="J320" s="68">
        <v>7</v>
      </c>
      <c r="K320" s="68">
        <v>8</v>
      </c>
      <c r="L320" s="68">
        <v>9</v>
      </c>
      <c r="M320" s="68">
        <v>10</v>
      </c>
      <c r="N320" s="68">
        <v>11</v>
      </c>
      <c r="O320" s="68">
        <v>12</v>
      </c>
      <c r="P320" s="68">
        <v>13</v>
      </c>
      <c r="Q320" s="68">
        <v>14</v>
      </c>
      <c r="R320" s="68">
        <v>15</v>
      </c>
      <c r="S320" s="68">
        <v>16</v>
      </c>
      <c r="T320" s="68">
        <v>17</v>
      </c>
      <c r="U320" s="68">
        <v>18</v>
      </c>
      <c r="V320" s="68">
        <v>19</v>
      </c>
      <c r="W320" s="68">
        <v>20</v>
      </c>
      <c r="X320" s="68">
        <v>21</v>
      </c>
      <c r="Y320" s="68">
        <v>22</v>
      </c>
      <c r="Z320" s="68">
        <v>23</v>
      </c>
      <c r="AA320" s="68">
        <v>24</v>
      </c>
      <c r="AB320" s="68">
        <v>25</v>
      </c>
      <c r="AC320" s="68">
        <v>26</v>
      </c>
      <c r="AD320" s="68">
        <v>27</v>
      </c>
      <c r="AE320" s="68">
        <v>28</v>
      </c>
      <c r="AF320" s="68">
        <v>29</v>
      </c>
      <c r="AG320" s="68">
        <v>30</v>
      </c>
      <c r="AH320" s="68">
        <v>31</v>
      </c>
      <c r="AI320" s="68">
        <v>32</v>
      </c>
    </row>
    <row r="321" spans="1:51" ht="24.95" customHeight="1" x14ac:dyDescent="0.25">
      <c r="A321" s="64" t="s">
        <v>549</v>
      </c>
      <c r="D321" s="67">
        <f>C279</f>
        <v>0</v>
      </c>
      <c r="E321" s="68">
        <f t="shared" ref="E321" si="818">D279</f>
        <v>0</v>
      </c>
      <c r="F321" s="68">
        <f t="shared" ref="F321" si="819">E279</f>
        <v>0</v>
      </c>
      <c r="G321" s="68">
        <f t="shared" ref="G321" si="820">F279</f>
        <v>0</v>
      </c>
      <c r="H321" s="68">
        <f t="shared" ref="H321" si="821">G279</f>
        <v>0</v>
      </c>
      <c r="I321" s="68">
        <f t="shared" ref="I321" si="822">H279</f>
        <v>0</v>
      </c>
      <c r="J321" s="68">
        <f t="shared" ref="J321" si="823">I279</f>
        <v>0</v>
      </c>
      <c r="K321" s="68">
        <f t="shared" ref="K321" si="824">J279</f>
        <v>0</v>
      </c>
      <c r="L321" s="68">
        <f t="shared" ref="L321" si="825">K279</f>
        <v>1</v>
      </c>
      <c r="M321" s="68">
        <f t="shared" ref="M321" si="826">L279</f>
        <v>1</v>
      </c>
      <c r="N321" s="68">
        <f t="shared" ref="N321" si="827">M279</f>
        <v>1</v>
      </c>
      <c r="O321" s="68">
        <f t="shared" ref="O321" si="828">N279</f>
        <v>0</v>
      </c>
      <c r="P321" s="68">
        <f t="shared" ref="P321" si="829">O279</f>
        <v>0</v>
      </c>
      <c r="Q321" s="68">
        <f t="shared" ref="Q321" si="830">P279</f>
        <v>1</v>
      </c>
      <c r="R321" s="68">
        <f t="shared" ref="R321" si="831">Q279</f>
        <v>1</v>
      </c>
      <c r="S321" s="68">
        <f t="shared" ref="S321" si="832">R279</f>
        <v>0</v>
      </c>
      <c r="T321" s="68">
        <f t="shared" ref="T321" si="833">S279</f>
        <v>0</v>
      </c>
      <c r="U321" s="68">
        <f t="shared" ref="U321" si="834">T279</f>
        <v>1</v>
      </c>
      <c r="V321" s="68">
        <f t="shared" ref="V321" si="835">U279</f>
        <v>0</v>
      </c>
      <c r="W321" s="68">
        <f t="shared" ref="W321" si="836">V279</f>
        <v>1</v>
      </c>
      <c r="X321" s="68">
        <f t="shared" ref="X321" si="837">W279</f>
        <v>0</v>
      </c>
      <c r="Y321" s="68">
        <f t="shared" ref="Y321" si="838">X279</f>
        <v>1</v>
      </c>
      <c r="Z321" s="68">
        <f t="shared" ref="Z321" si="839">Y279</f>
        <v>1</v>
      </c>
      <c r="AA321" s="68">
        <f t="shared" ref="AA321" si="840">Z279</f>
        <v>1</v>
      </c>
      <c r="AB321" s="68">
        <f t="shared" ref="AB321" si="841">AA279</f>
        <v>0</v>
      </c>
      <c r="AC321" s="68">
        <f t="shared" ref="AC321" si="842">AB279</f>
        <v>1</v>
      </c>
      <c r="AD321" s="68">
        <f t="shared" ref="AD321" si="843">AC279</f>
        <v>0</v>
      </c>
      <c r="AE321" s="68">
        <f t="shared" ref="AE321" si="844">AD279</f>
        <v>0</v>
      </c>
      <c r="AF321" s="68">
        <f t="shared" ref="AF321" si="845">AE279</f>
        <v>1</v>
      </c>
      <c r="AG321" s="68">
        <f t="shared" ref="AG321" si="846">AF279</f>
        <v>0</v>
      </c>
      <c r="AH321" s="68">
        <f t="shared" ref="AH321" si="847">AG279</f>
        <v>1</v>
      </c>
      <c r="AI321" s="68">
        <f t="shared" ref="AI321" si="848">AH279</f>
        <v>0</v>
      </c>
    </row>
    <row r="323" spans="1:51" ht="24.95" customHeight="1" x14ac:dyDescent="0.25">
      <c r="A323" s="114" t="s">
        <v>553</v>
      </c>
      <c r="B323" s="114"/>
      <c r="C323" s="114"/>
      <c r="D323" s="70">
        <v>1</v>
      </c>
      <c r="E323" s="70">
        <v>2</v>
      </c>
      <c r="F323" s="70">
        <v>3</v>
      </c>
      <c r="G323" s="70">
        <v>4</v>
      </c>
      <c r="H323" s="70">
        <v>5</v>
      </c>
      <c r="I323" s="70">
        <v>6</v>
      </c>
      <c r="J323" s="70">
        <v>7</v>
      </c>
      <c r="K323" s="70">
        <v>8</v>
      </c>
      <c r="L323" s="70">
        <v>9</v>
      </c>
      <c r="M323" s="70">
        <v>10</v>
      </c>
      <c r="N323" s="70">
        <v>11</v>
      </c>
      <c r="O323" s="70">
        <v>12</v>
      </c>
      <c r="P323" s="70">
        <v>13</v>
      </c>
      <c r="Q323" s="70">
        <v>14</v>
      </c>
      <c r="R323" s="70">
        <v>15</v>
      </c>
      <c r="S323" s="70">
        <v>16</v>
      </c>
      <c r="T323" s="70">
        <v>17</v>
      </c>
      <c r="U323" s="70">
        <v>18</v>
      </c>
      <c r="V323" s="70">
        <v>19</v>
      </c>
      <c r="W323" s="70">
        <v>20</v>
      </c>
      <c r="X323" s="70">
        <v>21</v>
      </c>
      <c r="Y323" s="70">
        <v>22</v>
      </c>
      <c r="Z323" s="70">
        <v>23</v>
      </c>
      <c r="AA323" s="70">
        <v>24</v>
      </c>
      <c r="AB323" s="70">
        <v>25</v>
      </c>
      <c r="AC323" s="70">
        <v>26</v>
      </c>
      <c r="AD323" s="70">
        <v>27</v>
      </c>
      <c r="AE323" s="70">
        <v>28</v>
      </c>
      <c r="AF323" s="70">
        <v>29</v>
      </c>
      <c r="AG323" s="70">
        <v>30</v>
      </c>
      <c r="AH323" s="70">
        <v>31</v>
      </c>
      <c r="AI323" s="70">
        <v>32</v>
      </c>
    </row>
    <row r="324" spans="1:51" ht="24.95" customHeight="1" x14ac:dyDescent="0.25">
      <c r="A324" s="64" t="s">
        <v>551</v>
      </c>
      <c r="D324" s="70">
        <f>--_xlfn.XOR(C315,D272)</f>
        <v>1</v>
      </c>
      <c r="E324" s="70">
        <f t="shared" ref="E324:AI324" si="849">--_xlfn.XOR(D315,E272)</f>
        <v>0</v>
      </c>
      <c r="F324" s="70">
        <f t="shared" si="849"/>
        <v>1</v>
      </c>
      <c r="G324" s="70">
        <f t="shared" si="849"/>
        <v>0</v>
      </c>
      <c r="H324" s="70">
        <f t="shared" si="849"/>
        <v>0</v>
      </c>
      <c r="I324" s="70">
        <f t="shared" si="849"/>
        <v>0</v>
      </c>
      <c r="J324" s="70">
        <f t="shared" si="849"/>
        <v>1</v>
      </c>
      <c r="K324" s="70">
        <f t="shared" si="849"/>
        <v>1</v>
      </c>
      <c r="L324" s="70">
        <f t="shared" si="849"/>
        <v>1</v>
      </c>
      <c r="M324" s="70">
        <f t="shared" si="849"/>
        <v>0</v>
      </c>
      <c r="N324" s="70">
        <f t="shared" si="849"/>
        <v>0</v>
      </c>
      <c r="O324" s="70">
        <f t="shared" si="849"/>
        <v>1</v>
      </c>
      <c r="P324" s="70">
        <f t="shared" si="849"/>
        <v>0</v>
      </c>
      <c r="Q324" s="70">
        <f t="shared" si="849"/>
        <v>0</v>
      </c>
      <c r="R324" s="70">
        <f t="shared" si="849"/>
        <v>1</v>
      </c>
      <c r="S324" s="70">
        <f t="shared" si="849"/>
        <v>0</v>
      </c>
      <c r="T324" s="70">
        <f t="shared" si="849"/>
        <v>0</v>
      </c>
      <c r="U324" s="70">
        <f t="shared" si="849"/>
        <v>1</v>
      </c>
      <c r="V324" s="70">
        <f t="shared" si="849"/>
        <v>0</v>
      </c>
      <c r="W324" s="70">
        <f t="shared" si="849"/>
        <v>1</v>
      </c>
      <c r="X324" s="70">
        <f t="shared" si="849"/>
        <v>0</v>
      </c>
      <c r="Y324" s="70">
        <f t="shared" si="849"/>
        <v>1</v>
      </c>
      <c r="Z324" s="70">
        <f t="shared" si="849"/>
        <v>0</v>
      </c>
      <c r="AA324" s="70">
        <f t="shared" si="849"/>
        <v>1</v>
      </c>
      <c r="AB324" s="70">
        <f t="shared" si="849"/>
        <v>1</v>
      </c>
      <c r="AC324" s="70">
        <f t="shared" si="849"/>
        <v>0</v>
      </c>
      <c r="AD324" s="70">
        <f t="shared" si="849"/>
        <v>1</v>
      </c>
      <c r="AE324" s="70">
        <f t="shared" si="849"/>
        <v>0</v>
      </c>
      <c r="AF324" s="70">
        <f t="shared" si="849"/>
        <v>1</v>
      </c>
      <c r="AG324" s="70">
        <f t="shared" si="849"/>
        <v>0</v>
      </c>
      <c r="AH324" s="70">
        <f t="shared" si="849"/>
        <v>1</v>
      </c>
      <c r="AI324" s="70">
        <f t="shared" si="849"/>
        <v>0</v>
      </c>
    </row>
    <row r="325" spans="1:51" ht="24.95" customHeight="1" x14ac:dyDescent="0.25">
      <c r="A325" s="132" t="s">
        <v>605</v>
      </c>
    </row>
    <row r="326" spans="1:51" s="132" customFormat="1" ht="24.95" customHeight="1" x14ac:dyDescent="0.25">
      <c r="B326" s="133"/>
      <c r="C326" s="134"/>
    </row>
    <row r="327" spans="1:51" ht="24.95" customHeight="1" x14ac:dyDescent="0.25">
      <c r="B327" s="21"/>
      <c r="C327" s="70">
        <v>1</v>
      </c>
      <c r="D327" s="70">
        <v>2</v>
      </c>
      <c r="E327" s="70">
        <v>3</v>
      </c>
      <c r="F327" s="70">
        <v>4</v>
      </c>
      <c r="G327" s="70">
        <v>5</v>
      </c>
      <c r="H327" s="70">
        <v>6</v>
      </c>
      <c r="I327" s="70">
        <v>7</v>
      </c>
      <c r="J327" s="70">
        <v>8</v>
      </c>
      <c r="K327" s="70">
        <v>9</v>
      </c>
      <c r="L327" s="70">
        <v>10</v>
      </c>
      <c r="M327" s="70">
        <v>11</v>
      </c>
      <c r="N327" s="70">
        <v>12</v>
      </c>
      <c r="O327" s="70">
        <v>13</v>
      </c>
      <c r="P327" s="70">
        <v>14</v>
      </c>
      <c r="Q327" s="70">
        <v>15</v>
      </c>
      <c r="R327" s="70">
        <v>16</v>
      </c>
      <c r="S327" s="70">
        <v>17</v>
      </c>
      <c r="T327" s="70">
        <v>18</v>
      </c>
      <c r="U327" s="70">
        <v>19</v>
      </c>
      <c r="V327" s="70">
        <v>20</v>
      </c>
      <c r="W327" s="70">
        <v>21</v>
      </c>
      <c r="X327" s="70">
        <v>22</v>
      </c>
      <c r="Y327" s="70">
        <v>23</v>
      </c>
      <c r="Z327" s="70">
        <v>24</v>
      </c>
      <c r="AA327" s="70">
        <v>25</v>
      </c>
      <c r="AB327" s="70">
        <v>26</v>
      </c>
      <c r="AC327" s="70">
        <v>27</v>
      </c>
      <c r="AD327" s="70">
        <v>28</v>
      </c>
      <c r="AE327" s="70">
        <v>29</v>
      </c>
      <c r="AF327" s="70">
        <v>30</v>
      </c>
      <c r="AG327" s="70">
        <v>31</v>
      </c>
      <c r="AH327" s="70">
        <v>32</v>
      </c>
    </row>
    <row r="328" spans="1:51" ht="24.95" customHeight="1" x14ac:dyDescent="0.25">
      <c r="A328" s="114" t="s">
        <v>553</v>
      </c>
      <c r="B328" s="114"/>
      <c r="C328" s="70">
        <f>D324</f>
        <v>1</v>
      </c>
      <c r="D328" s="70">
        <f t="shared" ref="D328:AH328" si="850">E324</f>
        <v>0</v>
      </c>
      <c r="E328" s="70">
        <f t="shared" si="850"/>
        <v>1</v>
      </c>
      <c r="F328" s="70">
        <f t="shared" si="850"/>
        <v>0</v>
      </c>
      <c r="G328" s="70">
        <f t="shared" si="850"/>
        <v>0</v>
      </c>
      <c r="H328" s="70">
        <f t="shared" si="850"/>
        <v>0</v>
      </c>
      <c r="I328" s="70">
        <f t="shared" si="850"/>
        <v>1</v>
      </c>
      <c r="J328" s="70">
        <f t="shared" si="850"/>
        <v>1</v>
      </c>
      <c r="K328" s="70">
        <f t="shared" si="850"/>
        <v>1</v>
      </c>
      <c r="L328" s="70">
        <f t="shared" si="850"/>
        <v>0</v>
      </c>
      <c r="M328" s="70">
        <f t="shared" si="850"/>
        <v>0</v>
      </c>
      <c r="N328" s="70">
        <f t="shared" si="850"/>
        <v>1</v>
      </c>
      <c r="O328" s="70">
        <f t="shared" si="850"/>
        <v>0</v>
      </c>
      <c r="P328" s="70">
        <f t="shared" si="850"/>
        <v>0</v>
      </c>
      <c r="Q328" s="70">
        <f t="shared" si="850"/>
        <v>1</v>
      </c>
      <c r="R328" s="70">
        <f t="shared" si="850"/>
        <v>0</v>
      </c>
      <c r="S328" s="70">
        <f t="shared" si="850"/>
        <v>0</v>
      </c>
      <c r="T328" s="70">
        <f t="shared" si="850"/>
        <v>1</v>
      </c>
      <c r="U328" s="70">
        <f t="shared" si="850"/>
        <v>0</v>
      </c>
      <c r="V328" s="70">
        <f t="shared" si="850"/>
        <v>1</v>
      </c>
      <c r="W328" s="70">
        <f t="shared" si="850"/>
        <v>0</v>
      </c>
      <c r="X328" s="70">
        <f t="shared" si="850"/>
        <v>1</v>
      </c>
      <c r="Y328" s="70">
        <f t="shared" si="850"/>
        <v>0</v>
      </c>
      <c r="Z328" s="70">
        <f t="shared" si="850"/>
        <v>1</v>
      </c>
      <c r="AA328" s="70">
        <f t="shared" si="850"/>
        <v>1</v>
      </c>
      <c r="AB328" s="70">
        <f t="shared" si="850"/>
        <v>0</v>
      </c>
      <c r="AC328" s="70">
        <f t="shared" si="850"/>
        <v>1</v>
      </c>
      <c r="AD328" s="70">
        <f t="shared" si="850"/>
        <v>0</v>
      </c>
      <c r="AE328" s="70">
        <f t="shared" si="850"/>
        <v>1</v>
      </c>
      <c r="AF328" s="70">
        <f t="shared" si="850"/>
        <v>0</v>
      </c>
      <c r="AG328" s="70">
        <f t="shared" si="850"/>
        <v>1</v>
      </c>
      <c r="AH328" s="70">
        <f t="shared" si="850"/>
        <v>0</v>
      </c>
      <c r="AI328" s="135"/>
    </row>
    <row r="330" spans="1:51" ht="24.95" customHeight="1" x14ac:dyDescent="0.25">
      <c r="A330" s="132"/>
      <c r="B330" s="133"/>
      <c r="C330" s="134"/>
      <c r="D330" s="132"/>
      <c r="E330" s="132"/>
      <c r="F330" s="132"/>
      <c r="G330" s="132"/>
      <c r="H330" s="132"/>
      <c r="I330" s="132"/>
      <c r="J330" s="132"/>
      <c r="K330" s="132"/>
      <c r="L330" s="132"/>
      <c r="M330" s="132"/>
      <c r="N330" s="132"/>
      <c r="O330" s="132"/>
      <c r="P330" s="132"/>
      <c r="Q330" s="132"/>
      <c r="R330" s="132"/>
      <c r="S330" s="132"/>
      <c r="T330" s="132"/>
      <c r="U330" s="132"/>
      <c r="V330" s="132"/>
      <c r="W330" s="132"/>
      <c r="X330" s="132"/>
      <c r="Y330" s="132"/>
      <c r="Z330" s="132"/>
      <c r="AA330" s="132"/>
      <c r="AB330" s="132"/>
      <c r="AC330" s="132"/>
      <c r="AD330" s="132"/>
      <c r="AE330" s="132"/>
      <c r="AF330" s="132"/>
      <c r="AG330" s="132"/>
      <c r="AH330" s="132"/>
      <c r="AI330" s="132"/>
      <c r="AJ330" s="132"/>
      <c r="AK330" s="132"/>
      <c r="AL330" s="132"/>
      <c r="AM330" s="132"/>
      <c r="AN330" s="132"/>
      <c r="AO330" s="132"/>
      <c r="AP330" s="132"/>
      <c r="AQ330" s="132"/>
      <c r="AR330" s="132"/>
      <c r="AS330" s="132"/>
      <c r="AT330" s="132"/>
      <c r="AU330" s="132"/>
      <c r="AV330" s="132"/>
      <c r="AW330" s="132"/>
      <c r="AX330" s="132"/>
      <c r="AY330" s="132"/>
    </row>
    <row r="332" spans="1:51" ht="24.95" customHeight="1" x14ac:dyDescent="0.25">
      <c r="A332" s="118" t="s">
        <v>532</v>
      </c>
      <c r="B332" s="118"/>
      <c r="C332" s="75">
        <v>32</v>
      </c>
      <c r="D332" s="74">
        <v>1</v>
      </c>
      <c r="E332" s="74">
        <v>2</v>
      </c>
      <c r="F332" s="74">
        <v>3</v>
      </c>
      <c r="G332" s="74">
        <v>4</v>
      </c>
      <c r="H332" s="73">
        <v>5</v>
      </c>
      <c r="I332" s="122"/>
      <c r="J332" s="118">
        <f>AH328</f>
        <v>0</v>
      </c>
      <c r="K332" s="118">
        <f>C328</f>
        <v>1</v>
      </c>
      <c r="L332" s="118">
        <f>D328</f>
        <v>0</v>
      </c>
      <c r="M332" s="118">
        <f>E328</f>
        <v>1</v>
      </c>
      <c r="N332" s="69">
        <f>F328</f>
        <v>0</v>
      </c>
      <c r="O332" s="119">
        <f>G328</f>
        <v>0</v>
      </c>
      <c r="P332" s="122"/>
    </row>
    <row r="333" spans="1:51" ht="24.95" customHeight="1" x14ac:dyDescent="0.25">
      <c r="C333" s="75">
        <v>4</v>
      </c>
      <c r="D333" s="74">
        <v>5</v>
      </c>
      <c r="E333" s="74">
        <v>6</v>
      </c>
      <c r="F333" s="74">
        <v>7</v>
      </c>
      <c r="G333" s="74">
        <v>8</v>
      </c>
      <c r="H333" s="73">
        <v>9</v>
      </c>
      <c r="I333" s="122"/>
      <c r="J333" s="118">
        <f t="shared" ref="J333" si="851">F328</f>
        <v>0</v>
      </c>
      <c r="K333" s="69">
        <f t="shared" ref="K333" si="852">G328</f>
        <v>0</v>
      </c>
      <c r="L333" s="69">
        <f t="shared" ref="L333" si="853">H328</f>
        <v>0</v>
      </c>
      <c r="M333" s="69">
        <f t="shared" ref="M333" si="854">I328</f>
        <v>1</v>
      </c>
      <c r="N333" s="69">
        <f t="shared" ref="N333" si="855">J328</f>
        <v>1</v>
      </c>
      <c r="O333" s="119">
        <f t="shared" ref="O333" si="856">K328</f>
        <v>1</v>
      </c>
      <c r="P333" s="122"/>
    </row>
    <row r="334" spans="1:51" ht="24.95" customHeight="1" x14ac:dyDescent="0.25">
      <c r="C334" s="75">
        <v>8</v>
      </c>
      <c r="D334" s="74">
        <v>9</v>
      </c>
      <c r="E334" s="74">
        <v>10</v>
      </c>
      <c r="F334" s="74">
        <v>11</v>
      </c>
      <c r="G334" s="74">
        <v>12</v>
      </c>
      <c r="H334" s="73">
        <v>13</v>
      </c>
      <c r="I334" s="123"/>
      <c r="J334" s="120">
        <f t="shared" ref="J334:O334" si="857">J328</f>
        <v>1</v>
      </c>
      <c r="K334" s="69">
        <f t="shared" si="857"/>
        <v>1</v>
      </c>
      <c r="L334" s="69">
        <f t="shared" si="857"/>
        <v>0</v>
      </c>
      <c r="M334" s="69">
        <f t="shared" si="857"/>
        <v>0</v>
      </c>
      <c r="N334" s="69">
        <f t="shared" si="857"/>
        <v>1</v>
      </c>
      <c r="O334" s="119">
        <f t="shared" si="857"/>
        <v>0</v>
      </c>
      <c r="P334" s="123"/>
    </row>
    <row r="335" spans="1:51" ht="24.95" customHeight="1" x14ac:dyDescent="0.25">
      <c r="C335" s="75">
        <v>12</v>
      </c>
      <c r="D335" s="74">
        <v>13</v>
      </c>
      <c r="E335" s="74">
        <v>14</v>
      </c>
      <c r="F335" s="74">
        <v>15</v>
      </c>
      <c r="G335" s="74">
        <v>16</v>
      </c>
      <c r="H335" s="73">
        <v>17</v>
      </c>
      <c r="I335" s="122"/>
      <c r="J335" s="118">
        <f t="shared" ref="J335" si="858">N328</f>
        <v>1</v>
      </c>
      <c r="K335" s="69">
        <f t="shared" ref="K335" si="859">O328</f>
        <v>0</v>
      </c>
      <c r="L335" s="69">
        <f t="shared" ref="L335" si="860">P328</f>
        <v>0</v>
      </c>
      <c r="M335" s="69">
        <f t="shared" ref="M335" si="861">Q328</f>
        <v>1</v>
      </c>
      <c r="N335" s="69">
        <f t="shared" ref="N335" si="862">R328</f>
        <v>0</v>
      </c>
      <c r="O335" s="119">
        <f t="shared" ref="O335" si="863">S328</f>
        <v>0</v>
      </c>
      <c r="P335" s="122"/>
    </row>
    <row r="336" spans="1:51" ht="24.95" customHeight="1" x14ac:dyDescent="0.25">
      <c r="C336" s="75">
        <v>16</v>
      </c>
      <c r="D336" s="74">
        <v>17</v>
      </c>
      <c r="E336" s="74">
        <v>18</v>
      </c>
      <c r="F336" s="74">
        <v>19</v>
      </c>
      <c r="G336" s="74">
        <v>20</v>
      </c>
      <c r="H336" s="73">
        <v>21</v>
      </c>
      <c r="I336" s="122"/>
      <c r="J336" s="118">
        <f t="shared" ref="J336" si="864">R328</f>
        <v>0</v>
      </c>
      <c r="K336" s="69">
        <f t="shared" ref="K336" si="865">S328</f>
        <v>0</v>
      </c>
      <c r="L336" s="69">
        <f t="shared" ref="L336" si="866">T328</f>
        <v>1</v>
      </c>
      <c r="M336" s="69">
        <f t="shared" ref="M336" si="867">U328</f>
        <v>0</v>
      </c>
      <c r="N336" s="69">
        <f t="shared" ref="N336" si="868">V328</f>
        <v>1</v>
      </c>
      <c r="O336" s="119">
        <f t="shared" ref="O336" si="869">W328</f>
        <v>0</v>
      </c>
      <c r="P336" s="122"/>
    </row>
    <row r="337" spans="1:55" ht="24.95" customHeight="1" x14ac:dyDescent="0.25">
      <c r="C337" s="75">
        <v>20</v>
      </c>
      <c r="D337" s="74">
        <v>21</v>
      </c>
      <c r="E337" s="74">
        <v>22</v>
      </c>
      <c r="F337" s="74">
        <v>23</v>
      </c>
      <c r="G337" s="74">
        <v>24</v>
      </c>
      <c r="H337" s="73">
        <v>25</v>
      </c>
      <c r="I337" s="122"/>
      <c r="J337" s="118">
        <f t="shared" ref="J337" si="870">V328</f>
        <v>1</v>
      </c>
      <c r="K337" s="69">
        <f t="shared" ref="K337" si="871">W328</f>
        <v>0</v>
      </c>
      <c r="L337" s="69">
        <f t="shared" ref="L337" si="872">X328</f>
        <v>1</v>
      </c>
      <c r="M337" s="69">
        <f t="shared" ref="M337" si="873">Y328</f>
        <v>0</v>
      </c>
      <c r="N337" s="69">
        <f t="shared" ref="N337" si="874">Z328</f>
        <v>1</v>
      </c>
      <c r="O337" s="119">
        <f t="shared" ref="O337" si="875">AA328</f>
        <v>1</v>
      </c>
      <c r="P337" s="122"/>
    </row>
    <row r="338" spans="1:55" ht="24.95" customHeight="1" x14ac:dyDescent="0.25">
      <c r="C338" s="75">
        <v>24</v>
      </c>
      <c r="D338" s="74">
        <v>25</v>
      </c>
      <c r="E338" s="74">
        <v>26</v>
      </c>
      <c r="F338" s="74">
        <v>27</v>
      </c>
      <c r="G338" s="74">
        <v>28</v>
      </c>
      <c r="H338" s="73">
        <v>29</v>
      </c>
      <c r="I338" s="122"/>
      <c r="J338" s="118">
        <f t="shared" ref="J338" si="876">Z328</f>
        <v>1</v>
      </c>
      <c r="K338" s="69">
        <f t="shared" ref="K338" si="877">AA328</f>
        <v>1</v>
      </c>
      <c r="L338" s="69">
        <f t="shared" ref="L338" si="878">AB328</f>
        <v>0</v>
      </c>
      <c r="M338" s="69">
        <f t="shared" ref="M338" si="879">AC328</f>
        <v>1</v>
      </c>
      <c r="N338" s="69">
        <f t="shared" ref="N338" si="880">AD328</f>
        <v>0</v>
      </c>
      <c r="O338" s="119">
        <f t="shared" ref="O338" si="881">AE328</f>
        <v>1</v>
      </c>
      <c r="P338" s="122"/>
    </row>
    <row r="339" spans="1:55" ht="24.95" customHeight="1" x14ac:dyDescent="0.25">
      <c r="C339" s="75">
        <v>28</v>
      </c>
      <c r="D339" s="74">
        <v>29</v>
      </c>
      <c r="E339" s="74">
        <v>30</v>
      </c>
      <c r="F339" s="74">
        <v>31</v>
      </c>
      <c r="G339" s="74">
        <v>32</v>
      </c>
      <c r="H339" s="73">
        <v>1</v>
      </c>
      <c r="I339" s="122"/>
      <c r="J339" s="70">
        <f>AD328</f>
        <v>0</v>
      </c>
      <c r="K339" s="71">
        <f>AE328</f>
        <v>1</v>
      </c>
      <c r="L339" s="71">
        <f>AF328</f>
        <v>0</v>
      </c>
      <c r="M339" s="71">
        <f>AG328</f>
        <v>1</v>
      </c>
      <c r="N339" s="71">
        <f>AH328</f>
        <v>0</v>
      </c>
      <c r="O339" s="121">
        <f>C328</f>
        <v>1</v>
      </c>
      <c r="P339" s="122"/>
    </row>
    <row r="342" spans="1:55" ht="24.95" customHeight="1" x14ac:dyDescent="0.25">
      <c r="A342" s="124" t="s">
        <v>533</v>
      </c>
      <c r="B342" s="124"/>
      <c r="C342" s="125">
        <v>1</v>
      </c>
      <c r="D342" s="126">
        <v>2</v>
      </c>
      <c r="E342" s="125">
        <v>3</v>
      </c>
      <c r="F342" s="126">
        <v>4</v>
      </c>
      <c r="G342" s="125">
        <v>5</v>
      </c>
      <c r="H342" s="126">
        <v>6</v>
      </c>
      <c r="I342" s="125">
        <v>7</v>
      </c>
      <c r="J342" s="126">
        <v>8</v>
      </c>
      <c r="K342" s="125">
        <v>9</v>
      </c>
      <c r="L342" s="126">
        <v>10</v>
      </c>
      <c r="M342" s="125">
        <v>11</v>
      </c>
      <c r="N342" s="126">
        <v>12</v>
      </c>
      <c r="O342" s="125">
        <v>13</v>
      </c>
      <c r="P342" s="126">
        <v>14</v>
      </c>
      <c r="Q342" s="125">
        <v>15</v>
      </c>
      <c r="R342" s="126">
        <v>16</v>
      </c>
      <c r="S342" s="125">
        <v>17</v>
      </c>
      <c r="T342" s="126">
        <v>18</v>
      </c>
      <c r="U342" s="125">
        <v>19</v>
      </c>
      <c r="V342" s="126">
        <v>20</v>
      </c>
      <c r="W342" s="125">
        <v>21</v>
      </c>
      <c r="X342" s="126">
        <v>22</v>
      </c>
      <c r="Y342" s="125">
        <v>23</v>
      </c>
      <c r="Z342" s="126">
        <v>24</v>
      </c>
      <c r="AA342" s="125">
        <v>25</v>
      </c>
      <c r="AB342" s="126">
        <v>26</v>
      </c>
      <c r="AC342" s="125">
        <v>27</v>
      </c>
      <c r="AD342" s="126">
        <v>28</v>
      </c>
      <c r="AE342" s="125">
        <v>29</v>
      </c>
      <c r="AF342" s="126">
        <v>30</v>
      </c>
      <c r="AG342" s="125">
        <v>31</v>
      </c>
      <c r="AH342" s="126">
        <v>32</v>
      </c>
      <c r="AI342" s="125">
        <v>33</v>
      </c>
      <c r="AJ342" s="126">
        <v>34</v>
      </c>
      <c r="AK342" s="125">
        <v>35</v>
      </c>
      <c r="AL342" s="126">
        <v>36</v>
      </c>
      <c r="AM342" s="125">
        <v>37</v>
      </c>
      <c r="AN342" s="126">
        <v>38</v>
      </c>
      <c r="AO342" s="125">
        <v>39</v>
      </c>
      <c r="AP342" s="126">
        <v>40</v>
      </c>
      <c r="AQ342" s="125">
        <v>41</v>
      </c>
      <c r="AR342" s="126">
        <v>42</v>
      </c>
      <c r="AS342" s="125">
        <v>43</v>
      </c>
      <c r="AT342" s="126">
        <v>44</v>
      </c>
      <c r="AU342" s="125">
        <v>45</v>
      </c>
      <c r="AV342" s="126">
        <v>46</v>
      </c>
      <c r="AW342" s="125">
        <v>47</v>
      </c>
      <c r="AX342" s="126">
        <v>48</v>
      </c>
    </row>
    <row r="343" spans="1:55" ht="24.95" customHeight="1" x14ac:dyDescent="0.25">
      <c r="C343" s="125">
        <f t="shared" ref="C343" si="882">J332</f>
        <v>0</v>
      </c>
      <c r="D343" s="125">
        <f t="shared" ref="D343" si="883">K332</f>
        <v>1</v>
      </c>
      <c r="E343" s="125">
        <f t="shared" ref="E343" si="884">L332</f>
        <v>0</v>
      </c>
      <c r="F343" s="125">
        <f t="shared" ref="F343" si="885">M332</f>
        <v>1</v>
      </c>
      <c r="G343" s="126">
        <f t="shared" ref="G343" si="886">N332</f>
        <v>0</v>
      </c>
      <c r="H343" s="126">
        <f t="shared" ref="H343" si="887">O332</f>
        <v>0</v>
      </c>
      <c r="I343" s="125">
        <f t="shared" ref="I343" si="888">J333</f>
        <v>0</v>
      </c>
      <c r="J343" s="125">
        <f t="shared" ref="J343" si="889">K333</f>
        <v>0</v>
      </c>
      <c r="K343" s="125">
        <f t="shared" ref="K343" si="890">L333</f>
        <v>0</v>
      </c>
      <c r="L343" s="125">
        <f t="shared" ref="L343" si="891">M333</f>
        <v>1</v>
      </c>
      <c r="M343" s="125">
        <f t="shared" ref="M343" si="892">N333</f>
        <v>1</v>
      </c>
      <c r="N343" s="125">
        <f t="shared" ref="N343" si="893">O333</f>
        <v>1</v>
      </c>
      <c r="O343" s="126">
        <f t="shared" ref="O343" si="894">J334</f>
        <v>1</v>
      </c>
      <c r="P343" s="126">
        <f t="shared" ref="P343" si="895">K334</f>
        <v>1</v>
      </c>
      <c r="Q343" s="126">
        <f t="shared" ref="Q343" si="896">L334</f>
        <v>0</v>
      </c>
      <c r="R343" s="126">
        <f t="shared" ref="R343" si="897">M334</f>
        <v>0</v>
      </c>
      <c r="S343" s="126">
        <f t="shared" ref="S343" si="898">N334</f>
        <v>1</v>
      </c>
      <c r="T343" s="126">
        <f t="shared" ref="T343" si="899">O334</f>
        <v>0</v>
      </c>
      <c r="U343" s="125">
        <f t="shared" ref="U343" si="900">J335</f>
        <v>1</v>
      </c>
      <c r="V343" s="126">
        <f t="shared" ref="V343" si="901">K335</f>
        <v>0</v>
      </c>
      <c r="W343" s="125">
        <f t="shared" ref="W343" si="902">L335</f>
        <v>0</v>
      </c>
      <c r="X343" s="126">
        <f t="shared" ref="X343" si="903">M335</f>
        <v>1</v>
      </c>
      <c r="Y343" s="125">
        <f t="shared" ref="Y343" si="904">N335</f>
        <v>0</v>
      </c>
      <c r="Z343" s="126">
        <f t="shared" ref="Z343" si="905">O335</f>
        <v>0</v>
      </c>
      <c r="AA343" s="125">
        <f t="shared" ref="AA343" si="906">J336</f>
        <v>0</v>
      </c>
      <c r="AB343" s="126">
        <f t="shared" ref="AB343" si="907">K336</f>
        <v>0</v>
      </c>
      <c r="AC343" s="125">
        <f t="shared" ref="AC343" si="908">L336</f>
        <v>1</v>
      </c>
      <c r="AD343" s="126">
        <f t="shared" ref="AD343" si="909">M336</f>
        <v>0</v>
      </c>
      <c r="AE343" s="125">
        <f t="shared" ref="AE343" si="910">N336</f>
        <v>1</v>
      </c>
      <c r="AF343" s="126">
        <f t="shared" ref="AF343" si="911">O336</f>
        <v>0</v>
      </c>
      <c r="AG343" s="125">
        <f t="shared" ref="AG343" si="912">J337</f>
        <v>1</v>
      </c>
      <c r="AH343" s="126">
        <f t="shared" ref="AH343" si="913">K337</f>
        <v>0</v>
      </c>
      <c r="AI343" s="125">
        <f t="shared" ref="AI343" si="914">L337</f>
        <v>1</v>
      </c>
      <c r="AJ343" s="126">
        <f t="shared" ref="AJ343" si="915">M337</f>
        <v>0</v>
      </c>
      <c r="AK343" s="125">
        <f t="shared" ref="AK343" si="916">N337</f>
        <v>1</v>
      </c>
      <c r="AL343" s="126">
        <f t="shared" ref="AL343" si="917">O337</f>
        <v>1</v>
      </c>
      <c r="AM343" s="125">
        <f t="shared" ref="AM343" si="918">J338</f>
        <v>1</v>
      </c>
      <c r="AN343" s="126">
        <f t="shared" ref="AN343" si="919">K338</f>
        <v>1</v>
      </c>
      <c r="AO343" s="125">
        <f t="shared" ref="AO343" si="920">L338</f>
        <v>0</v>
      </c>
      <c r="AP343" s="126">
        <f t="shared" ref="AP343" si="921">M338</f>
        <v>1</v>
      </c>
      <c r="AQ343" s="125">
        <f t="shared" ref="AQ343" si="922">N338</f>
        <v>0</v>
      </c>
      <c r="AR343" s="126">
        <f t="shared" ref="AR343" si="923">O338</f>
        <v>1</v>
      </c>
      <c r="AS343" s="125">
        <f t="shared" ref="AS343" si="924">J339</f>
        <v>0</v>
      </c>
      <c r="AT343" s="126">
        <f t="shared" ref="AT343" si="925">K339</f>
        <v>1</v>
      </c>
      <c r="AU343" s="125">
        <f t="shared" ref="AU343" si="926">L339</f>
        <v>0</v>
      </c>
      <c r="AV343" s="126">
        <f t="shared" ref="AV343" si="927">M339</f>
        <v>1</v>
      </c>
      <c r="AW343" s="125">
        <f t="shared" ref="AW343" si="928">N339</f>
        <v>0</v>
      </c>
      <c r="AX343" s="126">
        <f t="shared" ref="AX343" si="929">O339</f>
        <v>1</v>
      </c>
    </row>
    <row r="346" spans="1:55" ht="24.95" customHeight="1" x14ac:dyDescent="0.25">
      <c r="A346" s="127" t="s">
        <v>606</v>
      </c>
      <c r="B346" s="127"/>
      <c r="C346" s="77">
        <f>'Key Generator'!D268</f>
        <v>1</v>
      </c>
      <c r="D346" s="77">
        <f>'Key Generator'!E268</f>
        <v>2</v>
      </c>
      <c r="E346" s="77">
        <f>'Key Generator'!F268</f>
        <v>3</v>
      </c>
      <c r="F346" s="77">
        <f>'Key Generator'!G268</f>
        <v>4</v>
      </c>
      <c r="G346" s="77">
        <f>'Key Generator'!H268</f>
        <v>5</v>
      </c>
      <c r="H346" s="77">
        <f>'Key Generator'!I268</f>
        <v>6</v>
      </c>
      <c r="I346" s="77">
        <f>'Key Generator'!J268</f>
        <v>7</v>
      </c>
      <c r="J346" s="77">
        <f>'Key Generator'!K268</f>
        <v>8</v>
      </c>
      <c r="K346" s="77">
        <f>'Key Generator'!L268</f>
        <v>9</v>
      </c>
      <c r="L346" s="77">
        <f>'Key Generator'!M268</f>
        <v>10</v>
      </c>
      <c r="M346" s="77">
        <f>'Key Generator'!N268</f>
        <v>11</v>
      </c>
      <c r="N346" s="77">
        <f>'Key Generator'!O268</f>
        <v>12</v>
      </c>
      <c r="O346" s="77">
        <f>'Key Generator'!P268</f>
        <v>13</v>
      </c>
      <c r="P346" s="77">
        <f>'Key Generator'!Q268</f>
        <v>14</v>
      </c>
      <c r="Q346" s="77">
        <f>'Key Generator'!R268</f>
        <v>15</v>
      </c>
      <c r="R346" s="77">
        <f>'Key Generator'!S268</f>
        <v>16</v>
      </c>
      <c r="S346" s="77">
        <f>'Key Generator'!T268</f>
        <v>17</v>
      </c>
      <c r="T346" s="77">
        <f>'Key Generator'!U268</f>
        <v>18</v>
      </c>
      <c r="U346" s="77">
        <f>'Key Generator'!V268</f>
        <v>19</v>
      </c>
      <c r="V346" s="77">
        <f>'Key Generator'!W268</f>
        <v>20</v>
      </c>
      <c r="W346" s="77">
        <f>'Key Generator'!X268</f>
        <v>21</v>
      </c>
      <c r="X346" s="77">
        <f>'Key Generator'!Y268</f>
        <v>22</v>
      </c>
      <c r="Y346" s="77">
        <f>'Key Generator'!Z268</f>
        <v>23</v>
      </c>
      <c r="Z346" s="77">
        <f>'Key Generator'!AA268</f>
        <v>24</v>
      </c>
      <c r="AA346" s="77">
        <f>'Key Generator'!AB268</f>
        <v>25</v>
      </c>
      <c r="AB346" s="77">
        <f>'Key Generator'!AC268</f>
        <v>26</v>
      </c>
      <c r="AC346" s="77">
        <f>'Key Generator'!AD268</f>
        <v>27</v>
      </c>
      <c r="AD346" s="77">
        <f>'Key Generator'!AE268</f>
        <v>28</v>
      </c>
      <c r="AE346" s="77">
        <f>'Key Generator'!AF268</f>
        <v>29</v>
      </c>
      <c r="AF346" s="77">
        <f>'Key Generator'!AG268</f>
        <v>30</v>
      </c>
      <c r="AG346" s="77">
        <f>'Key Generator'!AH268</f>
        <v>31</v>
      </c>
      <c r="AH346" s="77">
        <f>'Key Generator'!AI268</f>
        <v>32</v>
      </c>
      <c r="AI346" s="77">
        <f>'Key Generator'!AJ268</f>
        <v>33</v>
      </c>
      <c r="AJ346" s="77">
        <f>'Key Generator'!AK268</f>
        <v>34</v>
      </c>
      <c r="AK346" s="77">
        <f>'Key Generator'!AL268</f>
        <v>35</v>
      </c>
      <c r="AL346" s="77">
        <f>'Key Generator'!AM268</f>
        <v>36</v>
      </c>
      <c r="AM346" s="77">
        <f>'Key Generator'!AN268</f>
        <v>37</v>
      </c>
      <c r="AN346" s="77">
        <f>'Key Generator'!AO268</f>
        <v>38</v>
      </c>
      <c r="AO346" s="77">
        <f>'Key Generator'!AP268</f>
        <v>39</v>
      </c>
      <c r="AP346" s="77">
        <f>'Key Generator'!AQ268</f>
        <v>40</v>
      </c>
      <c r="AQ346" s="77">
        <f>'Key Generator'!AR268</f>
        <v>41</v>
      </c>
      <c r="AR346" s="77">
        <f>'Key Generator'!AS268</f>
        <v>42</v>
      </c>
      <c r="AS346" s="77">
        <f>'Key Generator'!AT268</f>
        <v>43</v>
      </c>
      <c r="AT346" s="77">
        <f>'Key Generator'!AU268</f>
        <v>44</v>
      </c>
      <c r="AU346" s="77">
        <f>'Key Generator'!AV268</f>
        <v>45</v>
      </c>
      <c r="AV346" s="77">
        <f>'Key Generator'!AW268</f>
        <v>46</v>
      </c>
      <c r="AW346" s="77">
        <f>'Key Generator'!AX268</f>
        <v>47</v>
      </c>
      <c r="AX346" s="77">
        <f>'Key Generator'!AY268</f>
        <v>48</v>
      </c>
    </row>
    <row r="347" spans="1:55" ht="24.95" customHeight="1" x14ac:dyDescent="0.25">
      <c r="C347" s="77">
        <f>'Key Generator'!D269</f>
        <v>0</v>
      </c>
      <c r="D347" s="77">
        <f>'Key Generator'!E269</f>
        <v>1</v>
      </c>
      <c r="E347" s="77">
        <f>'Key Generator'!F269</f>
        <v>0</v>
      </c>
      <c r="F347" s="77">
        <f>'Key Generator'!G269</f>
        <v>1</v>
      </c>
      <c r="G347" s="77">
        <f>'Key Generator'!H269</f>
        <v>0</v>
      </c>
      <c r="H347" s="77">
        <f>'Key Generator'!I269</f>
        <v>0</v>
      </c>
      <c r="I347" s="77">
        <f>'Key Generator'!J269</f>
        <v>0</v>
      </c>
      <c r="J347" s="77">
        <f>'Key Generator'!K269</f>
        <v>1</v>
      </c>
      <c r="K347" s="77">
        <f>'Key Generator'!L269</f>
        <v>0</v>
      </c>
      <c r="L347" s="77">
        <f>'Key Generator'!M269</f>
        <v>0</v>
      </c>
      <c r="M347" s="77">
        <f>'Key Generator'!N269</f>
        <v>1</v>
      </c>
      <c r="N347" s="77">
        <f>'Key Generator'!O269</f>
        <v>0</v>
      </c>
      <c r="O347" s="77">
        <f>'Key Generator'!P269</f>
        <v>1</v>
      </c>
      <c r="P347" s="77">
        <f>'Key Generator'!Q269</f>
        <v>1</v>
      </c>
      <c r="Q347" s="77">
        <f>'Key Generator'!R269</f>
        <v>0</v>
      </c>
      <c r="R347" s="77">
        <f>'Key Generator'!S269</f>
        <v>0</v>
      </c>
      <c r="S347" s="77">
        <f>'Key Generator'!T269</f>
        <v>0</v>
      </c>
      <c r="T347" s="77">
        <f>'Key Generator'!U269</f>
        <v>1</v>
      </c>
      <c r="U347" s="77">
        <f>'Key Generator'!V269</f>
        <v>1</v>
      </c>
      <c r="V347" s="77">
        <f>'Key Generator'!W269</f>
        <v>0</v>
      </c>
      <c r="W347" s="77">
        <f>'Key Generator'!X269</f>
        <v>0</v>
      </c>
      <c r="X347" s="77">
        <f>'Key Generator'!Y269</f>
        <v>0</v>
      </c>
      <c r="Y347" s="77">
        <f>'Key Generator'!Z269</f>
        <v>0</v>
      </c>
      <c r="Z347" s="77">
        <f>'Key Generator'!AA269</f>
        <v>0</v>
      </c>
      <c r="AA347" s="77">
        <f>'Key Generator'!AB269</f>
        <v>1</v>
      </c>
      <c r="AB347" s="77">
        <f>'Key Generator'!AC269</f>
        <v>0</v>
      </c>
      <c r="AC347" s="77">
        <f>'Key Generator'!AD269</f>
        <v>1</v>
      </c>
      <c r="AD347" s="77">
        <f>'Key Generator'!AE269</f>
        <v>0</v>
      </c>
      <c r="AE347" s="77">
        <f>'Key Generator'!AF269</f>
        <v>0</v>
      </c>
      <c r="AF347" s="77">
        <f>'Key Generator'!AG269</f>
        <v>0</v>
      </c>
      <c r="AG347" s="77">
        <f>'Key Generator'!AH269</f>
        <v>0</v>
      </c>
      <c r="AH347" s="77">
        <f>'Key Generator'!AI269</f>
        <v>1</v>
      </c>
      <c r="AI347" s="77">
        <f>'Key Generator'!AJ269</f>
        <v>0</v>
      </c>
      <c r="AJ347" s="77">
        <f>'Key Generator'!AK269</f>
        <v>0</v>
      </c>
      <c r="AK347" s="77">
        <f>'Key Generator'!AL269</f>
        <v>0</v>
      </c>
      <c r="AL347" s="77">
        <f>'Key Generator'!AM269</f>
        <v>1</v>
      </c>
      <c r="AM347" s="77">
        <f>'Key Generator'!AN269</f>
        <v>1</v>
      </c>
      <c r="AN347" s="77">
        <f>'Key Generator'!AO269</f>
        <v>1</v>
      </c>
      <c r="AO347" s="77">
        <f>'Key Generator'!AP269</f>
        <v>0</v>
      </c>
      <c r="AP347" s="77">
        <f>'Key Generator'!AQ269</f>
        <v>1</v>
      </c>
      <c r="AQ347" s="77">
        <f>'Key Generator'!AR269</f>
        <v>1</v>
      </c>
      <c r="AR347" s="77">
        <f>'Key Generator'!AS269</f>
        <v>0</v>
      </c>
      <c r="AS347" s="77">
        <f>'Key Generator'!AT269</f>
        <v>1</v>
      </c>
      <c r="AT347" s="77">
        <f>'Key Generator'!AU269</f>
        <v>1</v>
      </c>
      <c r="AU347" s="77">
        <f>'Key Generator'!AV269</f>
        <v>1</v>
      </c>
      <c r="AV347" s="77">
        <f>'Key Generator'!AW269</f>
        <v>0</v>
      </c>
      <c r="AW347" s="77">
        <f>'Key Generator'!AX269</f>
        <v>1</v>
      </c>
      <c r="AX347" s="77">
        <f>'Key Generator'!AY269</f>
        <v>1</v>
      </c>
    </row>
    <row r="350" spans="1:55" ht="24.95" customHeight="1" x14ac:dyDescent="0.25">
      <c r="A350" s="128" t="s">
        <v>535</v>
      </c>
      <c r="B350" s="129"/>
      <c r="C350" s="79">
        <v>1</v>
      </c>
      <c r="D350" s="80">
        <v>2</v>
      </c>
      <c r="E350" s="79">
        <v>3</v>
      </c>
      <c r="F350" s="80">
        <v>4</v>
      </c>
      <c r="G350" s="79">
        <v>5</v>
      </c>
      <c r="H350" s="80">
        <v>6</v>
      </c>
      <c r="I350" s="79">
        <v>7</v>
      </c>
      <c r="J350" s="80">
        <v>8</v>
      </c>
      <c r="K350" s="79">
        <v>9</v>
      </c>
      <c r="L350" s="80">
        <v>10</v>
      </c>
      <c r="M350" s="79">
        <v>11</v>
      </c>
      <c r="N350" s="80">
        <v>12</v>
      </c>
      <c r="O350" s="79">
        <v>13</v>
      </c>
      <c r="P350" s="80">
        <v>14</v>
      </c>
      <c r="Q350" s="79">
        <v>15</v>
      </c>
      <c r="R350" s="80">
        <v>16</v>
      </c>
      <c r="S350" s="79">
        <v>17</v>
      </c>
      <c r="T350" s="80">
        <v>18</v>
      </c>
      <c r="U350" s="79">
        <v>19</v>
      </c>
      <c r="V350" s="80">
        <v>20</v>
      </c>
      <c r="W350" s="79">
        <v>21</v>
      </c>
      <c r="X350" s="80">
        <v>22</v>
      </c>
      <c r="Y350" s="79">
        <v>23</v>
      </c>
      <c r="Z350" s="80">
        <v>24</v>
      </c>
      <c r="AA350" s="79">
        <v>25</v>
      </c>
      <c r="AB350" s="80">
        <v>26</v>
      </c>
      <c r="AC350" s="79">
        <v>27</v>
      </c>
      <c r="AD350" s="80">
        <v>28</v>
      </c>
      <c r="AE350" s="79">
        <v>29</v>
      </c>
      <c r="AF350" s="80">
        <v>30</v>
      </c>
      <c r="AG350" s="79">
        <v>31</v>
      </c>
      <c r="AH350" s="80">
        <v>32</v>
      </c>
      <c r="AI350" s="79">
        <v>33</v>
      </c>
      <c r="AJ350" s="80">
        <v>34</v>
      </c>
      <c r="AK350" s="79">
        <v>35</v>
      </c>
      <c r="AL350" s="80">
        <v>36</v>
      </c>
      <c r="AM350" s="79">
        <v>37</v>
      </c>
      <c r="AN350" s="80">
        <v>38</v>
      </c>
      <c r="AO350" s="79">
        <v>39</v>
      </c>
      <c r="AP350" s="80">
        <v>40</v>
      </c>
      <c r="AQ350" s="79">
        <v>41</v>
      </c>
      <c r="AR350" s="80">
        <v>42</v>
      </c>
      <c r="AS350" s="79">
        <v>43</v>
      </c>
      <c r="AT350" s="80">
        <v>44</v>
      </c>
      <c r="AU350" s="79">
        <v>45</v>
      </c>
      <c r="AV350" s="80">
        <v>46</v>
      </c>
      <c r="AW350" s="79">
        <v>47</v>
      </c>
      <c r="AX350" s="80">
        <v>48</v>
      </c>
    </row>
    <row r="351" spans="1:55" ht="24.95" customHeight="1" x14ac:dyDescent="0.25">
      <c r="C351" s="88">
        <f>--_xlfn.XOR(C343,'Key Generator'!D269)</f>
        <v>0</v>
      </c>
      <c r="D351" s="88">
        <f>--_xlfn.XOR(D343,'Key Generator'!E269)</f>
        <v>0</v>
      </c>
      <c r="E351" s="88">
        <f>--_xlfn.XOR(E343,'Key Generator'!F269)</f>
        <v>0</v>
      </c>
      <c r="F351" s="88">
        <f>--_xlfn.XOR(F343,'Key Generator'!G269)</f>
        <v>0</v>
      </c>
      <c r="G351" s="88">
        <f>--_xlfn.XOR(G343,'Key Generator'!H269)</f>
        <v>0</v>
      </c>
      <c r="H351" s="88">
        <f>--_xlfn.XOR(H343,'Key Generator'!I269)</f>
        <v>0</v>
      </c>
      <c r="I351" s="87">
        <f>--_xlfn.XOR(I343,'Key Generator'!J269)</f>
        <v>0</v>
      </c>
      <c r="J351" s="87">
        <f>--_xlfn.XOR(J343,'Key Generator'!K269)</f>
        <v>1</v>
      </c>
      <c r="K351" s="87">
        <f>--_xlfn.XOR(K343,'Key Generator'!L269)</f>
        <v>0</v>
      </c>
      <c r="L351" s="87">
        <f>--_xlfn.XOR(L343,'Key Generator'!M269)</f>
        <v>1</v>
      </c>
      <c r="M351" s="87">
        <f>--_xlfn.XOR(M343,'Key Generator'!N269)</f>
        <v>0</v>
      </c>
      <c r="N351" s="87">
        <f>--_xlfn.XOR(N343,'Key Generator'!O269)</f>
        <v>1</v>
      </c>
      <c r="O351" s="89">
        <f>--_xlfn.XOR(O343,'Key Generator'!P269)</f>
        <v>0</v>
      </c>
      <c r="P351" s="89">
        <f>--_xlfn.XOR(P343,'Key Generator'!Q269)</f>
        <v>0</v>
      </c>
      <c r="Q351" s="89">
        <f>--_xlfn.XOR(Q343,'Key Generator'!R269)</f>
        <v>0</v>
      </c>
      <c r="R351" s="89">
        <f>--_xlfn.XOR(R343,'Key Generator'!S269)</f>
        <v>0</v>
      </c>
      <c r="S351" s="89">
        <f>--_xlfn.XOR(S343,'Key Generator'!T269)</f>
        <v>1</v>
      </c>
      <c r="T351" s="89">
        <f>--_xlfn.XOR(T343,'Key Generator'!U269)</f>
        <v>1</v>
      </c>
      <c r="U351" s="90">
        <f>--_xlfn.XOR(U343,'Key Generator'!V269)</f>
        <v>0</v>
      </c>
      <c r="V351" s="90">
        <f>--_xlfn.XOR(V343,'Key Generator'!W269)</f>
        <v>0</v>
      </c>
      <c r="W351" s="90">
        <f>--_xlfn.XOR(W343,'Key Generator'!X269)</f>
        <v>0</v>
      </c>
      <c r="X351" s="90">
        <f>--_xlfn.XOR(X343,'Key Generator'!Y269)</f>
        <v>1</v>
      </c>
      <c r="Y351" s="90">
        <f>--_xlfn.XOR(Y343,'Key Generator'!Z269)</f>
        <v>0</v>
      </c>
      <c r="Z351" s="90">
        <f>--_xlfn.XOR(Z343,'Key Generator'!AA269)</f>
        <v>0</v>
      </c>
      <c r="AA351" s="91">
        <f>--_xlfn.XOR(AA343,'Key Generator'!AB269)</f>
        <v>1</v>
      </c>
      <c r="AB351" s="91">
        <f>--_xlfn.XOR(AB343,'Key Generator'!AC269)</f>
        <v>0</v>
      </c>
      <c r="AC351" s="91">
        <f>--_xlfn.XOR(AC343,'Key Generator'!AD269)</f>
        <v>0</v>
      </c>
      <c r="AD351" s="91">
        <f>--_xlfn.XOR(AD343,'Key Generator'!AE269)</f>
        <v>0</v>
      </c>
      <c r="AE351" s="91">
        <f>--_xlfn.XOR(AE343,'Key Generator'!AF269)</f>
        <v>1</v>
      </c>
      <c r="AF351" s="91">
        <f>--_xlfn.XOR(AF343,'Key Generator'!AG269)</f>
        <v>0</v>
      </c>
      <c r="AG351" s="92">
        <f>--_xlfn.XOR(AG343,'Key Generator'!AH269)</f>
        <v>1</v>
      </c>
      <c r="AH351" s="92">
        <f>--_xlfn.XOR(AH343,'Key Generator'!AI269)</f>
        <v>1</v>
      </c>
      <c r="AI351" s="92">
        <f>--_xlfn.XOR(AI343,'Key Generator'!AJ269)</f>
        <v>1</v>
      </c>
      <c r="AJ351" s="92">
        <f>--_xlfn.XOR(AJ343,'Key Generator'!AK269)</f>
        <v>0</v>
      </c>
      <c r="AK351" s="92">
        <f>--_xlfn.XOR(AK343,'Key Generator'!AL269)</f>
        <v>1</v>
      </c>
      <c r="AL351" s="92">
        <f>--_xlfn.XOR(AL343,'Key Generator'!AM269)</f>
        <v>0</v>
      </c>
      <c r="AM351" s="86">
        <f>--_xlfn.XOR(AM343,'Key Generator'!AN269)</f>
        <v>0</v>
      </c>
      <c r="AN351" s="86">
        <f>--_xlfn.XOR(AN343,'Key Generator'!AO269)</f>
        <v>0</v>
      </c>
      <c r="AO351" s="86">
        <f>--_xlfn.XOR(AO343,'Key Generator'!AP269)</f>
        <v>0</v>
      </c>
      <c r="AP351" s="86">
        <f>--_xlfn.XOR(AP343,'Key Generator'!AQ269)</f>
        <v>0</v>
      </c>
      <c r="AQ351" s="86">
        <f>--_xlfn.XOR(AQ343,'Key Generator'!AR269)</f>
        <v>1</v>
      </c>
      <c r="AR351" s="86">
        <f>--_xlfn.XOR(AR343,'Key Generator'!AS269)</f>
        <v>1</v>
      </c>
      <c r="AS351" s="81">
        <f>--_xlfn.XOR(AS343,'Key Generator'!AT269)</f>
        <v>1</v>
      </c>
      <c r="AT351" s="81">
        <f>--_xlfn.XOR(AT343,'Key Generator'!AU269)</f>
        <v>0</v>
      </c>
      <c r="AU351" s="81">
        <f>--_xlfn.XOR(AU343,'Key Generator'!AV269)</f>
        <v>1</v>
      </c>
      <c r="AV351" s="81">
        <f>--_xlfn.XOR(AV343,'Key Generator'!AW269)</f>
        <v>1</v>
      </c>
      <c r="AW351" s="81">
        <f>--_xlfn.XOR(AW343,'Key Generator'!AX269)</f>
        <v>1</v>
      </c>
      <c r="AX351" s="81">
        <f>--_xlfn.XOR(AX343,'Key Generator'!AY269)</f>
        <v>0</v>
      </c>
      <c r="AZ351" s="20"/>
      <c r="BA351" s="20"/>
      <c r="BB351" s="20"/>
      <c r="BC351" s="20"/>
    </row>
    <row r="352" spans="1:55" ht="24.95" customHeight="1" x14ac:dyDescent="0.25">
      <c r="C352" s="93"/>
      <c r="D352" s="94"/>
      <c r="E352" s="94"/>
      <c r="F352" s="94"/>
      <c r="G352" s="94"/>
      <c r="H352" s="94"/>
      <c r="AZ352" s="20"/>
      <c r="BA352" s="20"/>
      <c r="BB352" s="20"/>
      <c r="BC352" s="20"/>
    </row>
    <row r="353" spans="1:55" ht="24.95" customHeight="1" x14ac:dyDescent="0.25">
      <c r="A353" s="96" t="s">
        <v>545</v>
      </c>
      <c r="B353" s="97"/>
      <c r="C353" s="101">
        <f>D351*8+E351*4+F351*2+G351</f>
        <v>0</v>
      </c>
      <c r="D353" s="123" t="s">
        <v>536</v>
      </c>
      <c r="E353" s="97"/>
      <c r="F353" s="97"/>
      <c r="G353" s="97"/>
      <c r="H353" s="97"/>
      <c r="I353" s="101">
        <f>J351*8+K351*4+L351*2+M351</f>
        <v>10</v>
      </c>
      <c r="J353" s="122" t="s">
        <v>537</v>
      </c>
      <c r="K353" s="97"/>
      <c r="L353" s="97"/>
      <c r="M353" s="97"/>
      <c r="N353" s="97"/>
      <c r="O353" s="101">
        <f>P351*8+Q351*4+R351*2+S351</f>
        <v>1</v>
      </c>
      <c r="P353" s="122" t="s">
        <v>538</v>
      </c>
      <c r="Q353" s="97"/>
      <c r="R353" s="97"/>
      <c r="S353" s="97"/>
      <c r="T353" s="97"/>
      <c r="U353" s="101">
        <f>V351*8+W351*4+X351*2+Y351</f>
        <v>2</v>
      </c>
      <c r="V353" s="122" t="s">
        <v>539</v>
      </c>
      <c r="W353" s="97"/>
      <c r="X353" s="97"/>
      <c r="Y353" s="97"/>
      <c r="Z353" s="97"/>
      <c r="AA353" s="101">
        <f>AB351*8+AC351*4+AD351*2+AE351</f>
        <v>1</v>
      </c>
      <c r="AB353" s="122" t="s">
        <v>540</v>
      </c>
      <c r="AC353" s="97"/>
      <c r="AD353" s="97"/>
      <c r="AE353" s="97"/>
      <c r="AF353" s="97"/>
      <c r="AG353" s="101">
        <f>AH351*8+AI351*4+AJ351*2+AK351</f>
        <v>13</v>
      </c>
      <c r="AH353" s="122" t="s">
        <v>541</v>
      </c>
      <c r="AI353" s="97"/>
      <c r="AJ353" s="97"/>
      <c r="AK353" s="97"/>
      <c r="AL353" s="97"/>
      <c r="AM353" s="101">
        <f>AN351*8+AO351*4+AP351*2+AQ351</f>
        <v>1</v>
      </c>
      <c r="AN353" s="122" t="s">
        <v>542</v>
      </c>
      <c r="AO353" s="97"/>
      <c r="AP353" s="97"/>
      <c r="AQ353" s="97"/>
      <c r="AR353" s="97"/>
      <c r="AS353" s="101">
        <f>AT351*8+AU351*4+AV351*2+AW351</f>
        <v>7</v>
      </c>
      <c r="AT353" s="122" t="s">
        <v>543</v>
      </c>
      <c r="AU353" s="97"/>
      <c r="AV353" s="97"/>
      <c r="AW353" s="97"/>
      <c r="AX353" s="97"/>
      <c r="AY353" s="97"/>
      <c r="AZ353" s="20"/>
      <c r="BA353" s="20"/>
      <c r="BB353" s="20"/>
      <c r="BC353" s="20"/>
    </row>
    <row r="354" spans="1:55" ht="24.95" customHeight="1" x14ac:dyDescent="0.25">
      <c r="A354" s="100" t="s">
        <v>546</v>
      </c>
      <c r="B354" s="99"/>
      <c r="C354" s="87">
        <f>C351*2+H351</f>
        <v>0</v>
      </c>
      <c r="D354" s="98"/>
      <c r="E354" s="98"/>
      <c r="F354" s="99"/>
      <c r="G354" s="99"/>
      <c r="H354" s="99"/>
      <c r="I354" s="87">
        <f>I351*2+N351</f>
        <v>1</v>
      </c>
      <c r="J354" s="99"/>
      <c r="K354" s="99"/>
      <c r="L354" s="99"/>
      <c r="M354" s="99"/>
      <c r="N354" s="99"/>
      <c r="O354" s="87">
        <f>O351*2+T351</f>
        <v>1</v>
      </c>
      <c r="P354" s="99"/>
      <c r="Q354" s="99"/>
      <c r="R354" s="99"/>
      <c r="S354" s="99"/>
      <c r="T354" s="99"/>
      <c r="U354" s="87">
        <f>U351*2+Z351</f>
        <v>0</v>
      </c>
      <c r="V354" s="99"/>
      <c r="W354" s="99"/>
      <c r="X354" s="99"/>
      <c r="Y354" s="99"/>
      <c r="Z354" s="99"/>
      <c r="AA354" s="87">
        <f>AA351*2+AF351</f>
        <v>2</v>
      </c>
      <c r="AB354" s="99"/>
      <c r="AC354" s="99"/>
      <c r="AD354" s="99"/>
      <c r="AE354" s="99"/>
      <c r="AF354" s="99"/>
      <c r="AG354" s="87">
        <f>AG351*2+AL351</f>
        <v>2</v>
      </c>
      <c r="AH354" s="99"/>
      <c r="AI354" s="99"/>
      <c r="AJ354" s="99"/>
      <c r="AK354" s="99"/>
      <c r="AL354" s="99"/>
      <c r="AM354" s="87">
        <f>AM351*2+AR351</f>
        <v>1</v>
      </c>
      <c r="AN354" s="99"/>
      <c r="AO354" s="99"/>
      <c r="AP354" s="99"/>
      <c r="AQ354" s="99"/>
      <c r="AR354" s="99"/>
      <c r="AS354" s="87">
        <f>AS351*2+AX351</f>
        <v>2</v>
      </c>
      <c r="AT354" s="99"/>
      <c r="AU354" s="99"/>
      <c r="AV354" s="99"/>
      <c r="AW354" s="99"/>
      <c r="AX354" s="99"/>
      <c r="AY354" s="99"/>
      <c r="AZ354" s="20"/>
      <c r="BA354" s="20"/>
      <c r="BB354" s="20"/>
      <c r="BC354" s="20"/>
    </row>
    <row r="355" spans="1:55" ht="24.95" customHeight="1" x14ac:dyDescent="0.25">
      <c r="AZ355" s="20"/>
      <c r="BA355" s="20"/>
      <c r="BB355" s="20"/>
      <c r="BC355" s="20"/>
    </row>
    <row r="356" spans="1:55" ht="24.95" customHeight="1" x14ac:dyDescent="0.25">
      <c r="A356" s="117" t="s">
        <v>547</v>
      </c>
      <c r="C356" s="72">
        <f>INDEX('S-Box'!D3:S6,'DES-Enc'!C354+1,'DES-Enc'!C353+1)</f>
        <v>14</v>
      </c>
      <c r="I356" s="102">
        <f>INDEX('S-Box'!D9:S12,'DES-Enc'!I354+1,'DES-Enc'!I353+1)</f>
        <v>1</v>
      </c>
      <c r="O356" s="102">
        <f>INDEX('S-Box'!D15:S18,'DES-Enc'!O354+1,'DES-Enc'!O353+1)</f>
        <v>7</v>
      </c>
      <c r="U356" s="102">
        <f>INDEX('S-Box'!D21:S24,'DES-Enc'!U354+1,'DES-Enc'!U353+1)</f>
        <v>14</v>
      </c>
      <c r="AA356" s="102">
        <f>INDEX('S-Box'!D27:S30,'DES-Enc'!AA354+1,'DES-Enc'!AA353+1)</f>
        <v>2</v>
      </c>
      <c r="AG356" s="102">
        <f>INDEX('S-Box'!D33:S36,'DES-Enc'!AG354+1,'DES-Enc'!AG353+1)</f>
        <v>13</v>
      </c>
      <c r="AM356" s="102">
        <f>INDEX('S-Box'!D39:S42,'DES-Enc'!AM354+1,'DES-Enc'!AM353+1)</f>
        <v>0</v>
      </c>
      <c r="AS356" s="102">
        <f>INDEX('S-Box'!D45:S48,'DES-Enc'!AS354+1,'DES-Enc'!AS353+1)</f>
        <v>2</v>
      </c>
      <c r="AZ356" s="20"/>
      <c r="BA356" s="20"/>
      <c r="BB356" s="20"/>
      <c r="BC356" s="20"/>
    </row>
    <row r="357" spans="1:55" ht="24.95" customHeight="1" x14ac:dyDescent="0.25">
      <c r="C357" s="104"/>
      <c r="I357" s="95"/>
      <c r="O357" s="95"/>
      <c r="U357" s="95"/>
      <c r="AA357" s="95"/>
      <c r="AG357" s="95"/>
      <c r="AM357" s="95"/>
      <c r="AS357" s="95"/>
    </row>
    <row r="358" spans="1:55" ht="24.95" customHeight="1" x14ac:dyDescent="0.25">
      <c r="C358" s="105" t="str">
        <f>MID(DEC2BIN(C356,4),1,1)</f>
        <v>1</v>
      </c>
      <c r="D358" s="106" t="str">
        <f>MID(DEC2BIN(C356,4),2,1)</f>
        <v>1</v>
      </c>
      <c r="E358" s="106" t="str">
        <f>MID(DEC2BIN(C356,4),3,1)</f>
        <v>1</v>
      </c>
      <c r="F358" s="107" t="str">
        <f>MID(DEC2BIN(C356,4),4,1)</f>
        <v>0</v>
      </c>
      <c r="I358" s="105" t="str">
        <f>MID(DEC2BIN(I356,4),1,1)</f>
        <v>0</v>
      </c>
      <c r="J358" s="106" t="str">
        <f>MID(DEC2BIN(I356,4),2,1)</f>
        <v>0</v>
      </c>
      <c r="K358" s="106" t="str">
        <f>MID(DEC2BIN(I356,4),3,1)</f>
        <v>0</v>
      </c>
      <c r="L358" s="107" t="str">
        <f>MID(DEC2BIN(I356,4),4,1)</f>
        <v>1</v>
      </c>
      <c r="O358" s="105" t="str">
        <f>MID(DEC2BIN(O356,4),1,1)</f>
        <v>0</v>
      </c>
      <c r="P358" s="106" t="str">
        <f>MID(DEC2BIN(O356,4),2,1)</f>
        <v>1</v>
      </c>
      <c r="Q358" s="106" t="str">
        <f>MID(DEC2BIN(O356,4),3,1)</f>
        <v>1</v>
      </c>
      <c r="R358" s="107" t="str">
        <f>MID(DEC2BIN(O356,4),4,1)</f>
        <v>1</v>
      </c>
      <c r="U358" s="105" t="str">
        <f>MID(DEC2BIN(U356,4),1,1)</f>
        <v>1</v>
      </c>
      <c r="V358" s="106" t="str">
        <f>MID(DEC2BIN(U356,4),2,1)</f>
        <v>1</v>
      </c>
      <c r="W358" s="106" t="str">
        <f>MID(DEC2BIN(U356,4),3,1)</f>
        <v>1</v>
      </c>
      <c r="X358" s="107" t="str">
        <f>MID(DEC2BIN(U356,4),4,1)</f>
        <v>0</v>
      </c>
      <c r="AA358" s="105" t="str">
        <f>MID(DEC2BIN(AA356,4),1,1)</f>
        <v>0</v>
      </c>
      <c r="AB358" s="106" t="str">
        <f>MID(DEC2BIN(AA356,4),2,1)</f>
        <v>0</v>
      </c>
      <c r="AC358" s="106" t="str">
        <f>MID(DEC2BIN(AA356,4),3,1)</f>
        <v>1</v>
      </c>
      <c r="AD358" s="107" t="str">
        <f>MID(DEC2BIN(AA356,4),4,1)</f>
        <v>0</v>
      </c>
      <c r="AG358" s="105" t="str">
        <f>MID(DEC2BIN(AG356,4),1,1)</f>
        <v>1</v>
      </c>
      <c r="AH358" s="106" t="str">
        <f>MID(DEC2BIN(AG356,4),2,1)</f>
        <v>1</v>
      </c>
      <c r="AI358" s="106" t="str">
        <f>MID(DEC2BIN(AG356,4),3,1)</f>
        <v>0</v>
      </c>
      <c r="AJ358" s="107" t="str">
        <f>MID(DEC2BIN(AG356,4),4,1)</f>
        <v>1</v>
      </c>
      <c r="AM358" s="105" t="str">
        <f>MID(DEC2BIN(AM356,4),1,1)</f>
        <v>0</v>
      </c>
      <c r="AN358" s="106" t="str">
        <f>MID(DEC2BIN(AM356,4),2,1)</f>
        <v>0</v>
      </c>
      <c r="AO358" s="106" t="str">
        <f>MID(DEC2BIN(AM356,4),3,1)</f>
        <v>0</v>
      </c>
      <c r="AP358" s="107" t="str">
        <f>MID(DEC2BIN(AM356,4),4,1)</f>
        <v>0</v>
      </c>
      <c r="AS358" s="105" t="str">
        <f>MID(DEC2BIN(AS356,4),1,1)</f>
        <v>0</v>
      </c>
      <c r="AT358" s="106" t="str">
        <f>MID(DEC2BIN(AS356,4),2,1)</f>
        <v>0</v>
      </c>
      <c r="AU358" s="106" t="str">
        <f>MID(DEC2BIN(AS356,4),3,1)</f>
        <v>1</v>
      </c>
      <c r="AV358" s="107" t="str">
        <f>MID(DEC2BIN(AS356,4),4,1)</f>
        <v>0</v>
      </c>
    </row>
    <row r="359" spans="1:55" ht="24.95" customHeight="1" x14ac:dyDescent="0.25">
      <c r="C359" s="21">
        <f>VALUE(C358)</f>
        <v>1</v>
      </c>
      <c r="D359" s="21">
        <f t="shared" ref="D359" si="930">VALUE(D358)</f>
        <v>1</v>
      </c>
      <c r="E359" s="21">
        <f t="shared" ref="E359" si="931">VALUE(E358)</f>
        <v>1</v>
      </c>
      <c r="F359" s="21">
        <f t="shared" ref="F359" si="932">VALUE(F358)</f>
        <v>0</v>
      </c>
      <c r="I359" s="21">
        <f t="shared" ref="I359" si="933">VALUE(I358)</f>
        <v>0</v>
      </c>
      <c r="J359" s="21">
        <f t="shared" ref="J359" si="934">VALUE(J358)</f>
        <v>0</v>
      </c>
      <c r="K359" s="21">
        <f t="shared" ref="K359" si="935">VALUE(K358)</f>
        <v>0</v>
      </c>
      <c r="L359" s="21">
        <f t="shared" ref="L359" si="936">VALUE(L358)</f>
        <v>1</v>
      </c>
      <c r="O359" s="21">
        <f>VALUE(O358)</f>
        <v>0</v>
      </c>
      <c r="P359" s="21">
        <f t="shared" ref="P359" si="937">VALUE(P358)</f>
        <v>1</v>
      </c>
      <c r="Q359" s="21">
        <f t="shared" ref="Q359" si="938">VALUE(Q358)</f>
        <v>1</v>
      </c>
      <c r="R359" s="21">
        <f t="shared" ref="R359" si="939">VALUE(R358)</f>
        <v>1</v>
      </c>
      <c r="U359" s="21">
        <f>VALUE(U358)</f>
        <v>1</v>
      </c>
      <c r="V359" s="21">
        <f t="shared" ref="V359" si="940">VALUE(V358)</f>
        <v>1</v>
      </c>
      <c r="W359" s="21">
        <f t="shared" ref="W359" si="941">VALUE(W358)</f>
        <v>1</v>
      </c>
      <c r="X359" s="21">
        <f t="shared" ref="X359" si="942">VALUE(X358)</f>
        <v>0</v>
      </c>
      <c r="AA359" s="21">
        <f>VALUE(AA358)</f>
        <v>0</v>
      </c>
      <c r="AB359" s="21">
        <f t="shared" ref="AB359" si="943">VALUE(AB358)</f>
        <v>0</v>
      </c>
      <c r="AC359" s="21">
        <f t="shared" ref="AC359" si="944">VALUE(AC358)</f>
        <v>1</v>
      </c>
      <c r="AD359" s="21">
        <f t="shared" ref="AD359" si="945">VALUE(AD358)</f>
        <v>0</v>
      </c>
      <c r="AG359" s="21">
        <f>VALUE(AG358)</f>
        <v>1</v>
      </c>
      <c r="AH359" s="21">
        <f t="shared" ref="AH359" si="946">VALUE(AH358)</f>
        <v>1</v>
      </c>
      <c r="AI359" s="21">
        <f t="shared" ref="AI359" si="947">VALUE(AI358)</f>
        <v>0</v>
      </c>
      <c r="AJ359" s="21">
        <f t="shared" ref="AJ359" si="948">VALUE(AJ358)</f>
        <v>1</v>
      </c>
      <c r="AM359" s="21">
        <f>VALUE(AM358)</f>
        <v>0</v>
      </c>
      <c r="AN359" s="21">
        <f t="shared" ref="AN359" si="949">VALUE(AN358)</f>
        <v>0</v>
      </c>
      <c r="AO359" s="21">
        <f t="shared" ref="AO359" si="950">VALUE(AO358)</f>
        <v>0</v>
      </c>
      <c r="AP359" s="21">
        <f t="shared" ref="AP359" si="951">VALUE(AP358)</f>
        <v>0</v>
      </c>
      <c r="AS359" s="21">
        <f>VALUE(AS358)</f>
        <v>0</v>
      </c>
      <c r="AT359" s="21">
        <f t="shared" ref="AT359" si="952">VALUE(AT358)</f>
        <v>0</v>
      </c>
      <c r="AU359" s="21">
        <f t="shared" ref="AU359" si="953">VALUE(AU358)</f>
        <v>1</v>
      </c>
      <c r="AV359" s="21">
        <f t="shared" ref="AV359" si="954">VALUE(AV358)</f>
        <v>0</v>
      </c>
    </row>
    <row r="360" spans="1:55" ht="24.95" customHeight="1" x14ac:dyDescent="0.25">
      <c r="A360" s="111" t="s">
        <v>588</v>
      </c>
      <c r="B360" s="111"/>
      <c r="C360" s="111">
        <v>1</v>
      </c>
      <c r="D360" s="76">
        <v>2</v>
      </c>
      <c r="E360" s="111">
        <v>3</v>
      </c>
      <c r="F360" s="76">
        <v>4</v>
      </c>
      <c r="G360" s="111">
        <v>5</v>
      </c>
      <c r="H360" s="76">
        <v>6</v>
      </c>
      <c r="I360" s="111">
        <v>7</v>
      </c>
      <c r="J360" s="76">
        <v>8</v>
      </c>
      <c r="K360" s="111">
        <v>9</v>
      </c>
      <c r="L360" s="76">
        <v>10</v>
      </c>
      <c r="M360" s="111">
        <v>11</v>
      </c>
      <c r="N360" s="76">
        <v>12</v>
      </c>
      <c r="O360" s="111">
        <v>13</v>
      </c>
      <c r="P360" s="76">
        <v>14</v>
      </c>
      <c r="Q360" s="111">
        <v>15</v>
      </c>
      <c r="R360" s="76">
        <v>16</v>
      </c>
      <c r="S360" s="111">
        <v>17</v>
      </c>
      <c r="T360" s="76">
        <v>18</v>
      </c>
      <c r="U360" s="111">
        <v>19</v>
      </c>
      <c r="V360" s="76">
        <v>20</v>
      </c>
      <c r="W360" s="111">
        <v>21</v>
      </c>
      <c r="X360" s="76">
        <v>22</v>
      </c>
      <c r="Y360" s="111">
        <v>23</v>
      </c>
      <c r="Z360" s="76">
        <v>24</v>
      </c>
      <c r="AA360" s="111">
        <v>25</v>
      </c>
      <c r="AB360" s="76">
        <v>26</v>
      </c>
      <c r="AC360" s="111">
        <v>27</v>
      </c>
      <c r="AD360" s="76">
        <v>28</v>
      </c>
      <c r="AE360" s="111">
        <v>29</v>
      </c>
      <c r="AF360" s="76">
        <v>30</v>
      </c>
      <c r="AG360" s="111">
        <v>31</v>
      </c>
      <c r="AH360" s="76">
        <v>32</v>
      </c>
    </row>
    <row r="361" spans="1:55" ht="24.95" customHeight="1" x14ac:dyDescent="0.25">
      <c r="C361" s="108">
        <f>C359</f>
        <v>1</v>
      </c>
      <c r="D361" s="108">
        <f t="shared" ref="D361:F361" si="955">D359</f>
        <v>1</v>
      </c>
      <c r="E361" s="108">
        <f t="shared" si="955"/>
        <v>1</v>
      </c>
      <c r="F361" s="108">
        <f t="shared" si="955"/>
        <v>0</v>
      </c>
      <c r="G361" s="23">
        <f>I359</f>
        <v>0</v>
      </c>
      <c r="H361" s="23">
        <f t="shared" ref="H361" si="956">J359</f>
        <v>0</v>
      </c>
      <c r="I361" s="23">
        <f t="shared" ref="I361" si="957">K359</f>
        <v>0</v>
      </c>
      <c r="J361" s="23">
        <f t="shared" ref="J361" si="958">L359</f>
        <v>1</v>
      </c>
      <c r="K361" s="23">
        <f>O359</f>
        <v>0</v>
      </c>
      <c r="L361" s="23">
        <f t="shared" ref="L361" si="959">P359</f>
        <v>1</v>
      </c>
      <c r="M361" s="23">
        <f t="shared" ref="M361" si="960">Q359</f>
        <v>1</v>
      </c>
      <c r="N361" s="23">
        <f t="shared" ref="N361" si="961">R359</f>
        <v>1</v>
      </c>
      <c r="O361" s="23">
        <f>U359</f>
        <v>1</v>
      </c>
      <c r="P361" s="23">
        <f t="shared" ref="P361" si="962">V359</f>
        <v>1</v>
      </c>
      <c r="Q361" s="23">
        <f t="shared" ref="Q361" si="963">W359</f>
        <v>1</v>
      </c>
      <c r="R361" s="23">
        <f t="shared" ref="R361" si="964">X359</f>
        <v>0</v>
      </c>
      <c r="S361" s="23">
        <f>AA359</f>
        <v>0</v>
      </c>
      <c r="T361" s="23">
        <f t="shared" ref="T361" si="965">AB359</f>
        <v>0</v>
      </c>
      <c r="U361" s="23">
        <f t="shared" ref="U361" si="966">AC359</f>
        <v>1</v>
      </c>
      <c r="V361" s="23">
        <f t="shared" ref="V361" si="967">AD359</f>
        <v>0</v>
      </c>
      <c r="W361" s="23">
        <f>AG359</f>
        <v>1</v>
      </c>
      <c r="X361" s="23">
        <f t="shared" ref="X361" si="968">AH359</f>
        <v>1</v>
      </c>
      <c r="Y361" s="23">
        <f t="shared" ref="Y361" si="969">AI359</f>
        <v>0</v>
      </c>
      <c r="Z361" s="23">
        <f t="shared" ref="Z361" si="970">AJ359</f>
        <v>1</v>
      </c>
      <c r="AA361" s="23">
        <f>AM359</f>
        <v>0</v>
      </c>
      <c r="AB361" s="23">
        <f t="shared" ref="AB361" si="971">AN359</f>
        <v>0</v>
      </c>
      <c r="AC361" s="23">
        <f t="shared" ref="AC361" si="972">AO359</f>
        <v>0</v>
      </c>
      <c r="AD361" s="23">
        <f t="shared" ref="AD361" si="973">AP359</f>
        <v>0</v>
      </c>
      <c r="AE361" s="23">
        <f>AS359</f>
        <v>0</v>
      </c>
      <c r="AF361" s="23">
        <f t="shared" ref="AF361" si="974">AT359</f>
        <v>0</v>
      </c>
      <c r="AG361" s="23">
        <f t="shared" ref="AG361" si="975">AU359</f>
        <v>1</v>
      </c>
      <c r="AH361" s="23">
        <f t="shared" ref="AH361" si="976">AV359</f>
        <v>0</v>
      </c>
    </row>
    <row r="363" spans="1:55" ht="24.95" customHeight="1" x14ac:dyDescent="0.25">
      <c r="A363" s="110" t="s">
        <v>548</v>
      </c>
      <c r="B363" s="110"/>
      <c r="C363" s="109">
        <v>16</v>
      </c>
      <c r="D363" s="110">
        <v>7</v>
      </c>
      <c r="E363" s="110">
        <v>20</v>
      </c>
      <c r="F363" s="110">
        <v>21</v>
      </c>
      <c r="G363" s="110">
        <v>29</v>
      </c>
      <c r="H363" s="110">
        <v>12</v>
      </c>
      <c r="I363" s="110">
        <v>28</v>
      </c>
      <c r="J363" s="110">
        <v>17</v>
      </c>
      <c r="K363" s="110">
        <v>1</v>
      </c>
      <c r="L363" s="110">
        <v>15</v>
      </c>
      <c r="M363" s="110">
        <v>23</v>
      </c>
      <c r="N363" s="110">
        <v>26</v>
      </c>
      <c r="O363" s="110">
        <v>5</v>
      </c>
      <c r="P363" s="110">
        <v>18</v>
      </c>
      <c r="Q363" s="110">
        <v>31</v>
      </c>
      <c r="R363" s="110">
        <v>10</v>
      </c>
      <c r="S363" s="110">
        <v>2</v>
      </c>
      <c r="T363" s="110">
        <v>8</v>
      </c>
      <c r="U363" s="110">
        <v>24</v>
      </c>
      <c r="V363" s="110">
        <v>14</v>
      </c>
      <c r="W363" s="110">
        <v>32</v>
      </c>
      <c r="X363" s="110">
        <v>27</v>
      </c>
      <c r="Y363" s="110">
        <v>3</v>
      </c>
      <c r="Z363" s="110">
        <v>9</v>
      </c>
      <c r="AA363" s="110">
        <v>19</v>
      </c>
      <c r="AB363" s="110">
        <v>13</v>
      </c>
      <c r="AC363" s="110">
        <v>30</v>
      </c>
      <c r="AD363" s="110">
        <v>6</v>
      </c>
      <c r="AE363" s="110">
        <v>22</v>
      </c>
      <c r="AF363" s="110">
        <v>11</v>
      </c>
      <c r="AG363" s="110">
        <v>4</v>
      </c>
      <c r="AH363" s="110">
        <v>25</v>
      </c>
    </row>
    <row r="364" spans="1:55" ht="24.95" customHeight="1" x14ac:dyDescent="0.25">
      <c r="C364" s="103">
        <f>K361</f>
        <v>0</v>
      </c>
      <c r="D364" s="103">
        <f>S361</f>
        <v>0</v>
      </c>
      <c r="E364" s="103">
        <f>Y361</f>
        <v>0</v>
      </c>
      <c r="F364" s="112">
        <f>AG361</f>
        <v>1</v>
      </c>
      <c r="G364" s="103">
        <f>O361</f>
        <v>1</v>
      </c>
      <c r="H364" s="103">
        <f>AD361</f>
        <v>0</v>
      </c>
      <c r="I364" s="103">
        <f>D361</f>
        <v>1</v>
      </c>
      <c r="J364" s="103">
        <f>T361</f>
        <v>0</v>
      </c>
      <c r="K364" s="103">
        <f>Z361</f>
        <v>1</v>
      </c>
      <c r="L364" s="103">
        <f>R361</f>
        <v>0</v>
      </c>
      <c r="M364" s="103">
        <f>AF361</f>
        <v>0</v>
      </c>
      <c r="N364" s="103">
        <f>H361</f>
        <v>0</v>
      </c>
      <c r="O364" s="103">
        <f>AB361</f>
        <v>0</v>
      </c>
      <c r="P364" s="103">
        <f>V361</f>
        <v>0</v>
      </c>
      <c r="Q364" s="103">
        <f>L361</f>
        <v>1</v>
      </c>
      <c r="R364" s="103">
        <f>C361</f>
        <v>1</v>
      </c>
      <c r="S364" s="103">
        <f>J361</f>
        <v>1</v>
      </c>
      <c r="T364" s="103">
        <f>P361</f>
        <v>1</v>
      </c>
      <c r="U364" s="103">
        <f>AA361</f>
        <v>0</v>
      </c>
      <c r="V364" s="103">
        <f>E361</f>
        <v>1</v>
      </c>
      <c r="W364" s="103">
        <f>F361</f>
        <v>0</v>
      </c>
      <c r="X364" s="103">
        <f>AE361</f>
        <v>0</v>
      </c>
      <c r="Y364" s="103">
        <f>M361</f>
        <v>1</v>
      </c>
      <c r="Z364" s="103">
        <f>U361</f>
        <v>1</v>
      </c>
      <c r="AA364" s="103">
        <f>AH361</f>
        <v>0</v>
      </c>
      <c r="AB364" s="103">
        <f>N361</f>
        <v>1</v>
      </c>
      <c r="AC364" s="103">
        <f>X361</f>
        <v>1</v>
      </c>
      <c r="AD364" s="103">
        <f>I361</f>
        <v>0</v>
      </c>
      <c r="AE364" s="103">
        <f>G361</f>
        <v>0</v>
      </c>
      <c r="AF364" s="103">
        <f>AC361</f>
        <v>0</v>
      </c>
      <c r="AG364" s="103">
        <f>Q361</f>
        <v>1</v>
      </c>
      <c r="AH364" s="103">
        <f>W361</f>
        <v>1</v>
      </c>
    </row>
    <row r="365" spans="1:55" ht="24.95" customHeight="1" x14ac:dyDescent="0.25">
      <c r="C365" s="130">
        <v>1</v>
      </c>
      <c r="D365" s="131">
        <v>2</v>
      </c>
      <c r="E365" s="130">
        <v>3</v>
      </c>
      <c r="F365" s="131">
        <v>4</v>
      </c>
      <c r="G365" s="130">
        <v>5</v>
      </c>
      <c r="H365" s="131">
        <v>6</v>
      </c>
      <c r="I365" s="130">
        <v>7</v>
      </c>
      <c r="J365" s="131">
        <v>8</v>
      </c>
      <c r="K365" s="130">
        <v>9</v>
      </c>
      <c r="L365" s="131">
        <v>10</v>
      </c>
      <c r="M365" s="130">
        <v>11</v>
      </c>
      <c r="N365" s="131">
        <v>12</v>
      </c>
      <c r="O365" s="130">
        <v>13</v>
      </c>
      <c r="P365" s="131">
        <v>14</v>
      </c>
      <c r="Q365" s="130">
        <v>15</v>
      </c>
      <c r="R365" s="131">
        <v>16</v>
      </c>
      <c r="S365" s="130">
        <v>17</v>
      </c>
      <c r="T365" s="131">
        <v>18</v>
      </c>
      <c r="U365" s="130">
        <v>19</v>
      </c>
      <c r="V365" s="131">
        <v>20</v>
      </c>
      <c r="W365" s="130">
        <v>21</v>
      </c>
      <c r="X365" s="131">
        <v>22</v>
      </c>
      <c r="Y365" s="130">
        <v>23</v>
      </c>
      <c r="Z365" s="131">
        <v>24</v>
      </c>
      <c r="AA365" s="130">
        <v>25</v>
      </c>
      <c r="AB365" s="131">
        <v>26</v>
      </c>
      <c r="AC365" s="130">
        <v>27</v>
      </c>
      <c r="AD365" s="131">
        <v>28</v>
      </c>
      <c r="AE365" s="130">
        <v>29</v>
      </c>
      <c r="AF365" s="131">
        <v>30</v>
      </c>
      <c r="AG365" s="130">
        <v>31</v>
      </c>
      <c r="AH365" s="131">
        <v>32</v>
      </c>
    </row>
    <row r="369" spans="1:51" ht="24.95" customHeight="1" x14ac:dyDescent="0.25">
      <c r="A369" s="114" t="s">
        <v>557</v>
      </c>
      <c r="B369" s="114"/>
      <c r="C369" s="114"/>
      <c r="D369" s="68">
        <v>1</v>
      </c>
      <c r="E369" s="68">
        <v>2</v>
      </c>
      <c r="F369" s="68">
        <v>3</v>
      </c>
      <c r="G369" s="68">
        <v>4</v>
      </c>
      <c r="H369" s="68">
        <v>5</v>
      </c>
      <c r="I369" s="68">
        <v>6</v>
      </c>
      <c r="J369" s="68">
        <v>7</v>
      </c>
      <c r="K369" s="68">
        <v>8</v>
      </c>
      <c r="L369" s="68">
        <v>9</v>
      </c>
      <c r="M369" s="68">
        <v>10</v>
      </c>
      <c r="N369" s="68">
        <v>11</v>
      </c>
      <c r="O369" s="68">
        <v>12</v>
      </c>
      <c r="P369" s="68">
        <v>13</v>
      </c>
      <c r="Q369" s="68">
        <v>14</v>
      </c>
      <c r="R369" s="68">
        <v>15</v>
      </c>
      <c r="S369" s="68">
        <v>16</v>
      </c>
      <c r="T369" s="68">
        <v>17</v>
      </c>
      <c r="U369" s="68">
        <v>18</v>
      </c>
      <c r="V369" s="68">
        <v>19</v>
      </c>
      <c r="W369" s="68">
        <v>20</v>
      </c>
      <c r="X369" s="68">
        <v>21</v>
      </c>
      <c r="Y369" s="68">
        <v>22</v>
      </c>
      <c r="Z369" s="68">
        <v>23</v>
      </c>
      <c r="AA369" s="68">
        <v>24</v>
      </c>
      <c r="AB369" s="68">
        <v>25</v>
      </c>
      <c r="AC369" s="68">
        <v>26</v>
      </c>
      <c r="AD369" s="68">
        <v>27</v>
      </c>
      <c r="AE369" s="68">
        <v>28</v>
      </c>
      <c r="AF369" s="68">
        <v>29</v>
      </c>
      <c r="AG369" s="68">
        <v>30</v>
      </c>
      <c r="AH369" s="68">
        <v>31</v>
      </c>
      <c r="AI369" s="68">
        <v>32</v>
      </c>
    </row>
    <row r="370" spans="1:51" ht="24.95" customHeight="1" x14ac:dyDescent="0.25">
      <c r="A370" s="64" t="s">
        <v>549</v>
      </c>
      <c r="D370" s="67">
        <f>C328</f>
        <v>1</v>
      </c>
      <c r="E370" s="68">
        <f t="shared" ref="E370" si="977">D328</f>
        <v>0</v>
      </c>
      <c r="F370" s="68">
        <f t="shared" ref="F370" si="978">E328</f>
        <v>1</v>
      </c>
      <c r="G370" s="68">
        <f t="shared" ref="G370" si="979">F328</f>
        <v>0</v>
      </c>
      <c r="H370" s="68">
        <f t="shared" ref="H370" si="980">G328</f>
        <v>0</v>
      </c>
      <c r="I370" s="68">
        <f t="shared" ref="I370" si="981">H328</f>
        <v>0</v>
      </c>
      <c r="J370" s="68">
        <f t="shared" ref="J370" si="982">I328</f>
        <v>1</v>
      </c>
      <c r="K370" s="68">
        <f t="shared" ref="K370" si="983">J328</f>
        <v>1</v>
      </c>
      <c r="L370" s="68">
        <f t="shared" ref="L370" si="984">K328</f>
        <v>1</v>
      </c>
      <c r="M370" s="68">
        <f t="shared" ref="M370" si="985">L328</f>
        <v>0</v>
      </c>
      <c r="N370" s="68">
        <f t="shared" ref="N370" si="986">M328</f>
        <v>0</v>
      </c>
      <c r="O370" s="68">
        <f t="shared" ref="O370" si="987">N328</f>
        <v>1</v>
      </c>
      <c r="P370" s="68">
        <f t="shared" ref="P370" si="988">O328</f>
        <v>0</v>
      </c>
      <c r="Q370" s="68">
        <f t="shared" ref="Q370" si="989">P328</f>
        <v>0</v>
      </c>
      <c r="R370" s="68">
        <f t="shared" ref="R370" si="990">Q328</f>
        <v>1</v>
      </c>
      <c r="S370" s="68">
        <f t="shared" ref="S370" si="991">R328</f>
        <v>0</v>
      </c>
      <c r="T370" s="68">
        <f t="shared" ref="T370" si="992">S328</f>
        <v>0</v>
      </c>
      <c r="U370" s="68">
        <f t="shared" ref="U370" si="993">T328</f>
        <v>1</v>
      </c>
      <c r="V370" s="68">
        <f t="shared" ref="V370" si="994">U328</f>
        <v>0</v>
      </c>
      <c r="W370" s="68">
        <f t="shared" ref="W370" si="995">V328</f>
        <v>1</v>
      </c>
      <c r="X370" s="68">
        <f t="shared" ref="X370" si="996">W328</f>
        <v>0</v>
      </c>
      <c r="Y370" s="68">
        <f t="shared" ref="Y370" si="997">X328</f>
        <v>1</v>
      </c>
      <c r="Z370" s="68">
        <f t="shared" ref="Z370" si="998">Y328</f>
        <v>0</v>
      </c>
      <c r="AA370" s="68">
        <f t="shared" ref="AA370" si="999">Z328</f>
        <v>1</v>
      </c>
      <c r="AB370" s="68">
        <f t="shared" ref="AB370" si="1000">AA328</f>
        <v>1</v>
      </c>
      <c r="AC370" s="68">
        <f t="shared" ref="AC370" si="1001">AB328</f>
        <v>0</v>
      </c>
      <c r="AD370" s="68">
        <f t="shared" ref="AD370" si="1002">AC328</f>
        <v>1</v>
      </c>
      <c r="AE370" s="68">
        <f t="shared" ref="AE370" si="1003">AD328</f>
        <v>0</v>
      </c>
      <c r="AF370" s="68">
        <f t="shared" ref="AF370" si="1004">AE328</f>
        <v>1</v>
      </c>
      <c r="AG370" s="68">
        <f t="shared" ref="AG370" si="1005">AF328</f>
        <v>0</v>
      </c>
      <c r="AH370" s="68">
        <f t="shared" ref="AH370" si="1006">AG328</f>
        <v>1</v>
      </c>
      <c r="AI370" s="68">
        <f t="shared" ref="AI370" si="1007">AH328</f>
        <v>0</v>
      </c>
    </row>
    <row r="372" spans="1:51" ht="24.95" customHeight="1" x14ac:dyDescent="0.25">
      <c r="A372" s="114" t="s">
        <v>558</v>
      </c>
      <c r="B372" s="114"/>
      <c r="C372" s="114"/>
      <c r="D372" s="70">
        <v>1</v>
      </c>
      <c r="E372" s="70">
        <v>2</v>
      </c>
      <c r="F372" s="70">
        <v>3</v>
      </c>
      <c r="G372" s="70">
        <v>4</v>
      </c>
      <c r="H372" s="70">
        <v>5</v>
      </c>
      <c r="I372" s="70">
        <v>6</v>
      </c>
      <c r="J372" s="70">
        <v>7</v>
      </c>
      <c r="K372" s="70">
        <v>8</v>
      </c>
      <c r="L372" s="70">
        <v>9</v>
      </c>
      <c r="M372" s="70">
        <v>10</v>
      </c>
      <c r="N372" s="70">
        <v>11</v>
      </c>
      <c r="O372" s="70">
        <v>12</v>
      </c>
      <c r="P372" s="70">
        <v>13</v>
      </c>
      <c r="Q372" s="70">
        <v>14</v>
      </c>
      <c r="R372" s="70">
        <v>15</v>
      </c>
      <c r="S372" s="70">
        <v>16</v>
      </c>
      <c r="T372" s="70">
        <v>17</v>
      </c>
      <c r="U372" s="70">
        <v>18</v>
      </c>
      <c r="V372" s="70">
        <v>19</v>
      </c>
      <c r="W372" s="70">
        <v>20</v>
      </c>
      <c r="X372" s="70">
        <v>21</v>
      </c>
      <c r="Y372" s="70">
        <v>22</v>
      </c>
      <c r="Z372" s="70">
        <v>23</v>
      </c>
      <c r="AA372" s="70">
        <v>24</v>
      </c>
      <c r="AB372" s="70">
        <v>25</v>
      </c>
      <c r="AC372" s="70">
        <v>26</v>
      </c>
      <c r="AD372" s="70">
        <v>27</v>
      </c>
      <c r="AE372" s="70">
        <v>28</v>
      </c>
      <c r="AF372" s="70">
        <v>29</v>
      </c>
      <c r="AG372" s="70">
        <v>30</v>
      </c>
      <c r="AH372" s="70">
        <v>31</v>
      </c>
      <c r="AI372" s="70">
        <v>32</v>
      </c>
    </row>
    <row r="373" spans="1:51" ht="24.95" customHeight="1" x14ac:dyDescent="0.25">
      <c r="A373" s="64" t="s">
        <v>551</v>
      </c>
      <c r="D373" s="70">
        <f>--_xlfn.XOR(C364,D321)</f>
        <v>0</v>
      </c>
      <c r="E373" s="70">
        <f t="shared" ref="E373:AI373" si="1008">--_xlfn.XOR(D364,E321)</f>
        <v>0</v>
      </c>
      <c r="F373" s="70">
        <f t="shared" si="1008"/>
        <v>0</v>
      </c>
      <c r="G373" s="70">
        <f t="shared" si="1008"/>
        <v>1</v>
      </c>
      <c r="H373" s="70">
        <f t="shared" si="1008"/>
        <v>1</v>
      </c>
      <c r="I373" s="70">
        <f t="shared" si="1008"/>
        <v>0</v>
      </c>
      <c r="J373" s="70">
        <f t="shared" si="1008"/>
        <v>1</v>
      </c>
      <c r="K373" s="70">
        <f t="shared" si="1008"/>
        <v>0</v>
      </c>
      <c r="L373" s="70">
        <f t="shared" si="1008"/>
        <v>0</v>
      </c>
      <c r="M373" s="70">
        <f t="shared" si="1008"/>
        <v>1</v>
      </c>
      <c r="N373" s="70">
        <f t="shared" si="1008"/>
        <v>1</v>
      </c>
      <c r="O373" s="70">
        <f t="shared" si="1008"/>
        <v>0</v>
      </c>
      <c r="P373" s="70">
        <f t="shared" si="1008"/>
        <v>0</v>
      </c>
      <c r="Q373" s="70">
        <f t="shared" si="1008"/>
        <v>1</v>
      </c>
      <c r="R373" s="70">
        <f t="shared" si="1008"/>
        <v>0</v>
      </c>
      <c r="S373" s="70">
        <f t="shared" si="1008"/>
        <v>1</v>
      </c>
      <c r="T373" s="70">
        <f t="shared" si="1008"/>
        <v>1</v>
      </c>
      <c r="U373" s="70">
        <f t="shared" si="1008"/>
        <v>0</v>
      </c>
      <c r="V373" s="70">
        <f t="shared" si="1008"/>
        <v>0</v>
      </c>
      <c r="W373" s="70">
        <f t="shared" si="1008"/>
        <v>0</v>
      </c>
      <c r="X373" s="70">
        <f t="shared" si="1008"/>
        <v>0</v>
      </c>
      <c r="Y373" s="70">
        <f t="shared" si="1008"/>
        <v>1</v>
      </c>
      <c r="Z373" s="70">
        <f t="shared" si="1008"/>
        <v>0</v>
      </c>
      <c r="AA373" s="70">
        <f t="shared" si="1008"/>
        <v>0</v>
      </c>
      <c r="AB373" s="70">
        <f t="shared" si="1008"/>
        <v>0</v>
      </c>
      <c r="AC373" s="70">
        <f t="shared" si="1008"/>
        <v>0</v>
      </c>
      <c r="AD373" s="70">
        <f t="shared" si="1008"/>
        <v>1</v>
      </c>
      <c r="AE373" s="70">
        <f t="shared" si="1008"/>
        <v>0</v>
      </c>
      <c r="AF373" s="70">
        <f t="shared" si="1008"/>
        <v>1</v>
      </c>
      <c r="AG373" s="70">
        <f t="shared" si="1008"/>
        <v>0</v>
      </c>
      <c r="AH373" s="70">
        <f t="shared" si="1008"/>
        <v>0</v>
      </c>
      <c r="AI373" s="70">
        <f t="shared" si="1008"/>
        <v>1</v>
      </c>
    </row>
    <row r="374" spans="1:51" ht="24.95" customHeight="1" x14ac:dyDescent="0.25">
      <c r="A374" s="132" t="s">
        <v>607</v>
      </c>
    </row>
    <row r="375" spans="1:51" s="132" customFormat="1" ht="24.95" customHeight="1" x14ac:dyDescent="0.25">
      <c r="B375" s="133"/>
      <c r="C375" s="134"/>
    </row>
    <row r="376" spans="1:51" ht="24.95" customHeight="1" x14ac:dyDescent="0.25">
      <c r="B376" s="21"/>
      <c r="C376" s="70">
        <v>1</v>
      </c>
      <c r="D376" s="70">
        <v>2</v>
      </c>
      <c r="E376" s="70">
        <v>3</v>
      </c>
      <c r="F376" s="70">
        <v>4</v>
      </c>
      <c r="G376" s="70">
        <v>5</v>
      </c>
      <c r="H376" s="70">
        <v>6</v>
      </c>
      <c r="I376" s="70">
        <v>7</v>
      </c>
      <c r="J376" s="70">
        <v>8</v>
      </c>
      <c r="K376" s="70">
        <v>9</v>
      </c>
      <c r="L376" s="70">
        <v>10</v>
      </c>
      <c r="M376" s="70">
        <v>11</v>
      </c>
      <c r="N376" s="70">
        <v>12</v>
      </c>
      <c r="O376" s="70">
        <v>13</v>
      </c>
      <c r="P376" s="70">
        <v>14</v>
      </c>
      <c r="Q376" s="70">
        <v>15</v>
      </c>
      <c r="R376" s="70">
        <v>16</v>
      </c>
      <c r="S376" s="70">
        <v>17</v>
      </c>
      <c r="T376" s="70">
        <v>18</v>
      </c>
      <c r="U376" s="70">
        <v>19</v>
      </c>
      <c r="V376" s="70">
        <v>20</v>
      </c>
      <c r="W376" s="70">
        <v>21</v>
      </c>
      <c r="X376" s="70">
        <v>22</v>
      </c>
      <c r="Y376" s="70">
        <v>23</v>
      </c>
      <c r="Z376" s="70">
        <v>24</v>
      </c>
      <c r="AA376" s="70">
        <v>25</v>
      </c>
      <c r="AB376" s="70">
        <v>26</v>
      </c>
      <c r="AC376" s="70">
        <v>27</v>
      </c>
      <c r="AD376" s="70">
        <v>28</v>
      </c>
      <c r="AE376" s="70">
        <v>29</v>
      </c>
      <c r="AF376" s="70">
        <v>30</v>
      </c>
      <c r="AG376" s="70">
        <v>31</v>
      </c>
      <c r="AH376" s="70">
        <v>32</v>
      </c>
    </row>
    <row r="377" spans="1:51" ht="24.95" customHeight="1" x14ac:dyDescent="0.25">
      <c r="A377" s="114" t="s">
        <v>558</v>
      </c>
      <c r="B377" s="114"/>
      <c r="C377" s="70">
        <f>D373</f>
        <v>0</v>
      </c>
      <c r="D377" s="70">
        <f t="shared" ref="D377:AH377" si="1009">E373</f>
        <v>0</v>
      </c>
      <c r="E377" s="70">
        <f t="shared" si="1009"/>
        <v>0</v>
      </c>
      <c r="F377" s="70">
        <f t="shared" si="1009"/>
        <v>1</v>
      </c>
      <c r="G377" s="70">
        <f t="shared" si="1009"/>
        <v>1</v>
      </c>
      <c r="H377" s="70">
        <f t="shared" si="1009"/>
        <v>0</v>
      </c>
      <c r="I377" s="70">
        <f t="shared" si="1009"/>
        <v>1</v>
      </c>
      <c r="J377" s="70">
        <f t="shared" si="1009"/>
        <v>0</v>
      </c>
      <c r="K377" s="70">
        <f t="shared" si="1009"/>
        <v>0</v>
      </c>
      <c r="L377" s="70">
        <f t="shared" si="1009"/>
        <v>1</v>
      </c>
      <c r="M377" s="70">
        <f t="shared" si="1009"/>
        <v>1</v>
      </c>
      <c r="N377" s="70">
        <f t="shared" si="1009"/>
        <v>0</v>
      </c>
      <c r="O377" s="70">
        <f t="shared" si="1009"/>
        <v>0</v>
      </c>
      <c r="P377" s="70">
        <f t="shared" si="1009"/>
        <v>1</v>
      </c>
      <c r="Q377" s="70">
        <f t="shared" si="1009"/>
        <v>0</v>
      </c>
      <c r="R377" s="70">
        <f t="shared" si="1009"/>
        <v>1</v>
      </c>
      <c r="S377" s="70">
        <f t="shared" si="1009"/>
        <v>1</v>
      </c>
      <c r="T377" s="70">
        <f t="shared" si="1009"/>
        <v>0</v>
      </c>
      <c r="U377" s="70">
        <f t="shared" si="1009"/>
        <v>0</v>
      </c>
      <c r="V377" s="70">
        <f t="shared" si="1009"/>
        <v>0</v>
      </c>
      <c r="W377" s="70">
        <f t="shared" si="1009"/>
        <v>0</v>
      </c>
      <c r="X377" s="70">
        <f t="shared" si="1009"/>
        <v>1</v>
      </c>
      <c r="Y377" s="70">
        <f t="shared" si="1009"/>
        <v>0</v>
      </c>
      <c r="Z377" s="70">
        <f t="shared" si="1009"/>
        <v>0</v>
      </c>
      <c r="AA377" s="70">
        <f t="shared" si="1009"/>
        <v>0</v>
      </c>
      <c r="AB377" s="70">
        <f t="shared" si="1009"/>
        <v>0</v>
      </c>
      <c r="AC377" s="70">
        <f t="shared" si="1009"/>
        <v>1</v>
      </c>
      <c r="AD377" s="70">
        <f t="shared" si="1009"/>
        <v>0</v>
      </c>
      <c r="AE377" s="70">
        <f t="shared" si="1009"/>
        <v>1</v>
      </c>
      <c r="AF377" s="70">
        <f t="shared" si="1009"/>
        <v>0</v>
      </c>
      <c r="AG377" s="70">
        <f t="shared" si="1009"/>
        <v>0</v>
      </c>
      <c r="AH377" s="70">
        <f t="shared" si="1009"/>
        <v>1</v>
      </c>
      <c r="AI377" s="135"/>
    </row>
    <row r="379" spans="1:51" ht="24.95" customHeight="1" x14ac:dyDescent="0.25">
      <c r="A379" s="132"/>
      <c r="B379" s="133"/>
      <c r="C379" s="134"/>
      <c r="D379" s="132"/>
      <c r="E379" s="132"/>
      <c r="F379" s="132"/>
      <c r="G379" s="132"/>
      <c r="H379" s="132"/>
      <c r="I379" s="132"/>
      <c r="J379" s="132"/>
      <c r="K379" s="132"/>
      <c r="L379" s="132"/>
      <c r="M379" s="132"/>
      <c r="N379" s="132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  <c r="Y379" s="132"/>
      <c r="Z379" s="132"/>
      <c r="AA379" s="132"/>
      <c r="AB379" s="132"/>
      <c r="AC379" s="132"/>
      <c r="AD379" s="132"/>
      <c r="AE379" s="132"/>
      <c r="AF379" s="132"/>
      <c r="AG379" s="132"/>
      <c r="AH379" s="132"/>
      <c r="AI379" s="132"/>
      <c r="AJ379" s="132"/>
      <c r="AK379" s="132"/>
      <c r="AL379" s="132"/>
      <c r="AM379" s="132"/>
      <c r="AN379" s="132"/>
      <c r="AO379" s="132"/>
      <c r="AP379" s="132"/>
      <c r="AQ379" s="132"/>
      <c r="AR379" s="132"/>
      <c r="AS379" s="132"/>
      <c r="AT379" s="132"/>
      <c r="AU379" s="132"/>
      <c r="AV379" s="132"/>
      <c r="AW379" s="132"/>
      <c r="AX379" s="132"/>
      <c r="AY379" s="132"/>
    </row>
    <row r="381" spans="1:51" ht="24.95" customHeight="1" x14ac:dyDescent="0.25">
      <c r="A381" s="118" t="s">
        <v>532</v>
      </c>
      <c r="B381" s="118"/>
      <c r="C381" s="75">
        <v>32</v>
      </c>
      <c r="D381" s="74">
        <v>1</v>
      </c>
      <c r="E381" s="74">
        <v>2</v>
      </c>
      <c r="F381" s="74">
        <v>3</v>
      </c>
      <c r="G381" s="74">
        <v>4</v>
      </c>
      <c r="H381" s="73">
        <v>5</v>
      </c>
      <c r="I381" s="122"/>
      <c r="J381" s="118">
        <f>AH377</f>
        <v>1</v>
      </c>
      <c r="K381" s="118">
        <f>C377</f>
        <v>0</v>
      </c>
      <c r="L381" s="118">
        <f>D377</f>
        <v>0</v>
      </c>
      <c r="M381" s="118">
        <f>E377</f>
        <v>0</v>
      </c>
      <c r="N381" s="69">
        <f>F377</f>
        <v>1</v>
      </c>
      <c r="O381" s="119">
        <f>G377</f>
        <v>1</v>
      </c>
      <c r="P381" s="122"/>
    </row>
    <row r="382" spans="1:51" ht="24.95" customHeight="1" x14ac:dyDescent="0.25">
      <c r="C382" s="75">
        <v>4</v>
      </c>
      <c r="D382" s="74">
        <v>5</v>
      </c>
      <c r="E382" s="74">
        <v>6</v>
      </c>
      <c r="F382" s="74">
        <v>7</v>
      </c>
      <c r="G382" s="74">
        <v>8</v>
      </c>
      <c r="H382" s="73">
        <v>9</v>
      </c>
      <c r="I382" s="122"/>
      <c r="J382" s="118">
        <f t="shared" ref="J382" si="1010">F377</f>
        <v>1</v>
      </c>
      <c r="K382" s="69">
        <f t="shared" ref="K382" si="1011">G377</f>
        <v>1</v>
      </c>
      <c r="L382" s="69">
        <f t="shared" ref="L382" si="1012">H377</f>
        <v>0</v>
      </c>
      <c r="M382" s="69">
        <f t="shared" ref="M382" si="1013">I377</f>
        <v>1</v>
      </c>
      <c r="N382" s="69">
        <f t="shared" ref="N382" si="1014">J377</f>
        <v>0</v>
      </c>
      <c r="O382" s="119">
        <f t="shared" ref="O382" si="1015">K377</f>
        <v>0</v>
      </c>
      <c r="P382" s="122"/>
    </row>
    <row r="383" spans="1:51" ht="24.95" customHeight="1" x14ac:dyDescent="0.25">
      <c r="C383" s="75">
        <v>8</v>
      </c>
      <c r="D383" s="74">
        <v>9</v>
      </c>
      <c r="E383" s="74">
        <v>10</v>
      </c>
      <c r="F383" s="74">
        <v>11</v>
      </c>
      <c r="G383" s="74">
        <v>12</v>
      </c>
      <c r="H383" s="73">
        <v>13</v>
      </c>
      <c r="I383" s="123"/>
      <c r="J383" s="120">
        <f t="shared" ref="J383:O383" si="1016">J377</f>
        <v>0</v>
      </c>
      <c r="K383" s="69">
        <f t="shared" si="1016"/>
        <v>0</v>
      </c>
      <c r="L383" s="69">
        <f t="shared" si="1016"/>
        <v>1</v>
      </c>
      <c r="M383" s="69">
        <f t="shared" si="1016"/>
        <v>1</v>
      </c>
      <c r="N383" s="69">
        <f t="shared" si="1016"/>
        <v>0</v>
      </c>
      <c r="O383" s="119">
        <f t="shared" si="1016"/>
        <v>0</v>
      </c>
      <c r="P383" s="123"/>
    </row>
    <row r="384" spans="1:51" ht="24.95" customHeight="1" x14ac:dyDescent="0.25">
      <c r="C384" s="75">
        <v>12</v>
      </c>
      <c r="D384" s="74">
        <v>13</v>
      </c>
      <c r="E384" s="74">
        <v>14</v>
      </c>
      <c r="F384" s="74">
        <v>15</v>
      </c>
      <c r="G384" s="74">
        <v>16</v>
      </c>
      <c r="H384" s="73">
        <v>17</v>
      </c>
      <c r="I384" s="122"/>
      <c r="J384" s="118">
        <f t="shared" ref="J384" si="1017">N377</f>
        <v>0</v>
      </c>
      <c r="K384" s="69">
        <f t="shared" ref="K384" si="1018">O377</f>
        <v>0</v>
      </c>
      <c r="L384" s="69">
        <f t="shared" ref="L384" si="1019">P377</f>
        <v>1</v>
      </c>
      <c r="M384" s="69">
        <f t="shared" ref="M384" si="1020">Q377</f>
        <v>0</v>
      </c>
      <c r="N384" s="69">
        <f t="shared" ref="N384" si="1021">R377</f>
        <v>1</v>
      </c>
      <c r="O384" s="119">
        <f t="shared" ref="O384" si="1022">S377</f>
        <v>1</v>
      </c>
      <c r="P384" s="122"/>
    </row>
    <row r="385" spans="1:55" ht="24.95" customHeight="1" x14ac:dyDescent="0.25">
      <c r="C385" s="75">
        <v>16</v>
      </c>
      <c r="D385" s="74">
        <v>17</v>
      </c>
      <c r="E385" s="74">
        <v>18</v>
      </c>
      <c r="F385" s="74">
        <v>19</v>
      </c>
      <c r="G385" s="74">
        <v>20</v>
      </c>
      <c r="H385" s="73">
        <v>21</v>
      </c>
      <c r="I385" s="122"/>
      <c r="J385" s="118">
        <f t="shared" ref="J385" si="1023">R377</f>
        <v>1</v>
      </c>
      <c r="K385" s="69">
        <f t="shared" ref="K385" si="1024">S377</f>
        <v>1</v>
      </c>
      <c r="L385" s="69">
        <f t="shared" ref="L385" si="1025">T377</f>
        <v>0</v>
      </c>
      <c r="M385" s="69">
        <f t="shared" ref="M385" si="1026">U377</f>
        <v>0</v>
      </c>
      <c r="N385" s="69">
        <f t="shared" ref="N385" si="1027">V377</f>
        <v>0</v>
      </c>
      <c r="O385" s="119">
        <f t="shared" ref="O385" si="1028">W377</f>
        <v>0</v>
      </c>
      <c r="P385" s="122"/>
    </row>
    <row r="386" spans="1:55" ht="24.95" customHeight="1" x14ac:dyDescent="0.25">
      <c r="C386" s="75">
        <v>20</v>
      </c>
      <c r="D386" s="74">
        <v>21</v>
      </c>
      <c r="E386" s="74">
        <v>22</v>
      </c>
      <c r="F386" s="74">
        <v>23</v>
      </c>
      <c r="G386" s="74">
        <v>24</v>
      </c>
      <c r="H386" s="73">
        <v>25</v>
      </c>
      <c r="I386" s="122"/>
      <c r="J386" s="118">
        <f t="shared" ref="J386" si="1029">V377</f>
        <v>0</v>
      </c>
      <c r="K386" s="69">
        <f t="shared" ref="K386" si="1030">W377</f>
        <v>0</v>
      </c>
      <c r="L386" s="69">
        <f t="shared" ref="L386" si="1031">X377</f>
        <v>1</v>
      </c>
      <c r="M386" s="69">
        <f t="shared" ref="M386" si="1032">Y377</f>
        <v>0</v>
      </c>
      <c r="N386" s="69">
        <f t="shared" ref="N386" si="1033">Z377</f>
        <v>0</v>
      </c>
      <c r="O386" s="119">
        <f t="shared" ref="O386" si="1034">AA377</f>
        <v>0</v>
      </c>
      <c r="P386" s="122"/>
    </row>
    <row r="387" spans="1:55" ht="24.95" customHeight="1" x14ac:dyDescent="0.25">
      <c r="C387" s="75">
        <v>24</v>
      </c>
      <c r="D387" s="74">
        <v>25</v>
      </c>
      <c r="E387" s="74">
        <v>26</v>
      </c>
      <c r="F387" s="74">
        <v>27</v>
      </c>
      <c r="G387" s="74">
        <v>28</v>
      </c>
      <c r="H387" s="73">
        <v>29</v>
      </c>
      <c r="I387" s="122"/>
      <c r="J387" s="118">
        <f t="shared" ref="J387" si="1035">Z377</f>
        <v>0</v>
      </c>
      <c r="K387" s="69">
        <f t="shared" ref="K387" si="1036">AA377</f>
        <v>0</v>
      </c>
      <c r="L387" s="69">
        <f t="shared" ref="L387" si="1037">AB377</f>
        <v>0</v>
      </c>
      <c r="M387" s="69">
        <f t="shared" ref="M387" si="1038">AC377</f>
        <v>1</v>
      </c>
      <c r="N387" s="69">
        <f t="shared" ref="N387" si="1039">AD377</f>
        <v>0</v>
      </c>
      <c r="O387" s="119">
        <f t="shared" ref="O387" si="1040">AE377</f>
        <v>1</v>
      </c>
      <c r="P387" s="122"/>
    </row>
    <row r="388" spans="1:55" ht="24.95" customHeight="1" x14ac:dyDescent="0.25">
      <c r="C388" s="75">
        <v>28</v>
      </c>
      <c r="D388" s="74">
        <v>29</v>
      </c>
      <c r="E388" s="74">
        <v>30</v>
      </c>
      <c r="F388" s="74">
        <v>31</v>
      </c>
      <c r="G388" s="74">
        <v>32</v>
      </c>
      <c r="H388" s="73">
        <v>1</v>
      </c>
      <c r="I388" s="122"/>
      <c r="J388" s="70">
        <f>AD377</f>
        <v>0</v>
      </c>
      <c r="K388" s="71">
        <f>AE377</f>
        <v>1</v>
      </c>
      <c r="L388" s="71">
        <f>AF377</f>
        <v>0</v>
      </c>
      <c r="M388" s="71">
        <f>AG377</f>
        <v>0</v>
      </c>
      <c r="N388" s="71">
        <f>AH377</f>
        <v>1</v>
      </c>
      <c r="O388" s="121">
        <f>C377</f>
        <v>0</v>
      </c>
      <c r="P388" s="122"/>
    </row>
    <row r="391" spans="1:55" ht="24.95" customHeight="1" x14ac:dyDescent="0.25">
      <c r="A391" s="124" t="s">
        <v>533</v>
      </c>
      <c r="B391" s="124"/>
      <c r="C391" s="125">
        <v>1</v>
      </c>
      <c r="D391" s="126">
        <v>2</v>
      </c>
      <c r="E391" s="125">
        <v>3</v>
      </c>
      <c r="F391" s="126">
        <v>4</v>
      </c>
      <c r="G391" s="125">
        <v>5</v>
      </c>
      <c r="H391" s="126">
        <v>6</v>
      </c>
      <c r="I391" s="125">
        <v>7</v>
      </c>
      <c r="J391" s="126">
        <v>8</v>
      </c>
      <c r="K391" s="125">
        <v>9</v>
      </c>
      <c r="L391" s="126">
        <v>10</v>
      </c>
      <c r="M391" s="125">
        <v>11</v>
      </c>
      <c r="N391" s="126">
        <v>12</v>
      </c>
      <c r="O391" s="125">
        <v>13</v>
      </c>
      <c r="P391" s="126">
        <v>14</v>
      </c>
      <c r="Q391" s="125">
        <v>15</v>
      </c>
      <c r="R391" s="126">
        <v>16</v>
      </c>
      <c r="S391" s="125">
        <v>17</v>
      </c>
      <c r="T391" s="126">
        <v>18</v>
      </c>
      <c r="U391" s="125">
        <v>19</v>
      </c>
      <c r="V391" s="126">
        <v>20</v>
      </c>
      <c r="W391" s="125">
        <v>21</v>
      </c>
      <c r="X391" s="126">
        <v>22</v>
      </c>
      <c r="Y391" s="125">
        <v>23</v>
      </c>
      <c r="Z391" s="126">
        <v>24</v>
      </c>
      <c r="AA391" s="125">
        <v>25</v>
      </c>
      <c r="AB391" s="126">
        <v>26</v>
      </c>
      <c r="AC391" s="125">
        <v>27</v>
      </c>
      <c r="AD391" s="126">
        <v>28</v>
      </c>
      <c r="AE391" s="125">
        <v>29</v>
      </c>
      <c r="AF391" s="126">
        <v>30</v>
      </c>
      <c r="AG391" s="125">
        <v>31</v>
      </c>
      <c r="AH391" s="126">
        <v>32</v>
      </c>
      <c r="AI391" s="125">
        <v>33</v>
      </c>
      <c r="AJ391" s="126">
        <v>34</v>
      </c>
      <c r="AK391" s="125">
        <v>35</v>
      </c>
      <c r="AL391" s="126">
        <v>36</v>
      </c>
      <c r="AM391" s="125">
        <v>37</v>
      </c>
      <c r="AN391" s="126">
        <v>38</v>
      </c>
      <c r="AO391" s="125">
        <v>39</v>
      </c>
      <c r="AP391" s="126">
        <v>40</v>
      </c>
      <c r="AQ391" s="125">
        <v>41</v>
      </c>
      <c r="AR391" s="126">
        <v>42</v>
      </c>
      <c r="AS391" s="125">
        <v>43</v>
      </c>
      <c r="AT391" s="126">
        <v>44</v>
      </c>
      <c r="AU391" s="125">
        <v>45</v>
      </c>
      <c r="AV391" s="126">
        <v>46</v>
      </c>
      <c r="AW391" s="125">
        <v>47</v>
      </c>
      <c r="AX391" s="126">
        <v>48</v>
      </c>
    </row>
    <row r="392" spans="1:55" ht="24.95" customHeight="1" x14ac:dyDescent="0.25">
      <c r="C392" s="125">
        <f t="shared" ref="C392" si="1041">J381</f>
        <v>1</v>
      </c>
      <c r="D392" s="125">
        <f t="shared" ref="D392" si="1042">K381</f>
        <v>0</v>
      </c>
      <c r="E392" s="125">
        <f t="shared" ref="E392" si="1043">L381</f>
        <v>0</v>
      </c>
      <c r="F392" s="125">
        <f t="shared" ref="F392" si="1044">M381</f>
        <v>0</v>
      </c>
      <c r="G392" s="126">
        <f t="shared" ref="G392" si="1045">N381</f>
        <v>1</v>
      </c>
      <c r="H392" s="126">
        <f t="shared" ref="H392" si="1046">O381</f>
        <v>1</v>
      </c>
      <c r="I392" s="125">
        <f t="shared" ref="I392" si="1047">J382</f>
        <v>1</v>
      </c>
      <c r="J392" s="125">
        <f t="shared" ref="J392" si="1048">K382</f>
        <v>1</v>
      </c>
      <c r="K392" s="125">
        <f t="shared" ref="K392" si="1049">L382</f>
        <v>0</v>
      </c>
      <c r="L392" s="125">
        <f t="shared" ref="L392" si="1050">M382</f>
        <v>1</v>
      </c>
      <c r="M392" s="125">
        <f t="shared" ref="M392" si="1051">N382</f>
        <v>0</v>
      </c>
      <c r="N392" s="125">
        <f t="shared" ref="N392" si="1052">O382</f>
        <v>0</v>
      </c>
      <c r="O392" s="126">
        <f t="shared" ref="O392" si="1053">J383</f>
        <v>0</v>
      </c>
      <c r="P392" s="126">
        <f t="shared" ref="P392" si="1054">K383</f>
        <v>0</v>
      </c>
      <c r="Q392" s="126">
        <f t="shared" ref="Q392" si="1055">L383</f>
        <v>1</v>
      </c>
      <c r="R392" s="126">
        <f t="shared" ref="R392" si="1056">M383</f>
        <v>1</v>
      </c>
      <c r="S392" s="126">
        <f t="shared" ref="S392" si="1057">N383</f>
        <v>0</v>
      </c>
      <c r="T392" s="126">
        <f t="shared" ref="T392" si="1058">O383</f>
        <v>0</v>
      </c>
      <c r="U392" s="125">
        <f t="shared" ref="U392" si="1059">J384</f>
        <v>0</v>
      </c>
      <c r="V392" s="126">
        <f t="shared" ref="V392" si="1060">K384</f>
        <v>0</v>
      </c>
      <c r="W392" s="125">
        <f t="shared" ref="W392" si="1061">L384</f>
        <v>1</v>
      </c>
      <c r="X392" s="126">
        <f t="shared" ref="X392" si="1062">M384</f>
        <v>0</v>
      </c>
      <c r="Y392" s="125">
        <f t="shared" ref="Y392" si="1063">N384</f>
        <v>1</v>
      </c>
      <c r="Z392" s="126">
        <f t="shared" ref="Z392" si="1064">O384</f>
        <v>1</v>
      </c>
      <c r="AA392" s="125">
        <f t="shared" ref="AA392" si="1065">J385</f>
        <v>1</v>
      </c>
      <c r="AB392" s="126">
        <f t="shared" ref="AB392" si="1066">K385</f>
        <v>1</v>
      </c>
      <c r="AC392" s="125">
        <f t="shared" ref="AC392" si="1067">L385</f>
        <v>0</v>
      </c>
      <c r="AD392" s="126">
        <f t="shared" ref="AD392" si="1068">M385</f>
        <v>0</v>
      </c>
      <c r="AE392" s="125">
        <f t="shared" ref="AE392" si="1069">N385</f>
        <v>0</v>
      </c>
      <c r="AF392" s="126">
        <f t="shared" ref="AF392" si="1070">O385</f>
        <v>0</v>
      </c>
      <c r="AG392" s="125">
        <f t="shared" ref="AG392" si="1071">J386</f>
        <v>0</v>
      </c>
      <c r="AH392" s="126">
        <f t="shared" ref="AH392" si="1072">K386</f>
        <v>0</v>
      </c>
      <c r="AI392" s="125">
        <f t="shared" ref="AI392" si="1073">L386</f>
        <v>1</v>
      </c>
      <c r="AJ392" s="126">
        <f t="shared" ref="AJ392" si="1074">M386</f>
        <v>0</v>
      </c>
      <c r="AK392" s="125">
        <f t="shared" ref="AK392" si="1075">N386</f>
        <v>0</v>
      </c>
      <c r="AL392" s="126">
        <f t="shared" ref="AL392" si="1076">O386</f>
        <v>0</v>
      </c>
      <c r="AM392" s="125">
        <f t="shared" ref="AM392" si="1077">J387</f>
        <v>0</v>
      </c>
      <c r="AN392" s="126">
        <f t="shared" ref="AN392" si="1078">K387</f>
        <v>0</v>
      </c>
      <c r="AO392" s="125">
        <f t="shared" ref="AO392" si="1079">L387</f>
        <v>0</v>
      </c>
      <c r="AP392" s="126">
        <f t="shared" ref="AP392" si="1080">M387</f>
        <v>1</v>
      </c>
      <c r="AQ392" s="125">
        <f t="shared" ref="AQ392" si="1081">N387</f>
        <v>0</v>
      </c>
      <c r="AR392" s="126">
        <f t="shared" ref="AR392" si="1082">O387</f>
        <v>1</v>
      </c>
      <c r="AS392" s="125">
        <f t="shared" ref="AS392" si="1083">J388</f>
        <v>0</v>
      </c>
      <c r="AT392" s="126">
        <f t="shared" ref="AT392" si="1084">K388</f>
        <v>1</v>
      </c>
      <c r="AU392" s="125">
        <f t="shared" ref="AU392" si="1085">L388</f>
        <v>0</v>
      </c>
      <c r="AV392" s="126">
        <f t="shared" ref="AV392" si="1086">M388</f>
        <v>0</v>
      </c>
      <c r="AW392" s="125">
        <f t="shared" ref="AW392" si="1087">N388</f>
        <v>1</v>
      </c>
      <c r="AX392" s="126">
        <f t="shared" ref="AX392" si="1088">O388</f>
        <v>0</v>
      </c>
    </row>
    <row r="395" spans="1:55" ht="24.95" customHeight="1" x14ac:dyDescent="0.25">
      <c r="A395" s="127" t="s">
        <v>608</v>
      </c>
      <c r="B395" s="127"/>
      <c r="C395" s="77">
        <f>'Key Generator'!D302</f>
        <v>1</v>
      </c>
      <c r="D395" s="77">
        <f>'Key Generator'!E302</f>
        <v>2</v>
      </c>
      <c r="E395" s="77">
        <f>'Key Generator'!F302</f>
        <v>3</v>
      </c>
      <c r="F395" s="77">
        <f>'Key Generator'!G302</f>
        <v>4</v>
      </c>
      <c r="G395" s="77">
        <f>'Key Generator'!H302</f>
        <v>5</v>
      </c>
      <c r="H395" s="77">
        <f>'Key Generator'!I302</f>
        <v>6</v>
      </c>
      <c r="I395" s="77">
        <f>'Key Generator'!J302</f>
        <v>7</v>
      </c>
      <c r="J395" s="77">
        <f>'Key Generator'!K302</f>
        <v>8</v>
      </c>
      <c r="K395" s="77">
        <f>'Key Generator'!L302</f>
        <v>9</v>
      </c>
      <c r="L395" s="77">
        <f>'Key Generator'!M302</f>
        <v>10</v>
      </c>
      <c r="M395" s="77">
        <f>'Key Generator'!N302</f>
        <v>11</v>
      </c>
      <c r="N395" s="77">
        <f>'Key Generator'!O302</f>
        <v>12</v>
      </c>
      <c r="O395" s="77">
        <f>'Key Generator'!P302</f>
        <v>13</v>
      </c>
      <c r="P395" s="77">
        <f>'Key Generator'!Q302</f>
        <v>14</v>
      </c>
      <c r="Q395" s="77">
        <f>'Key Generator'!R302</f>
        <v>15</v>
      </c>
      <c r="R395" s="77">
        <f>'Key Generator'!S302</f>
        <v>16</v>
      </c>
      <c r="S395" s="77">
        <f>'Key Generator'!T302</f>
        <v>17</v>
      </c>
      <c r="T395" s="77">
        <f>'Key Generator'!U302</f>
        <v>18</v>
      </c>
      <c r="U395" s="77">
        <f>'Key Generator'!V302</f>
        <v>19</v>
      </c>
      <c r="V395" s="77">
        <f>'Key Generator'!W302</f>
        <v>20</v>
      </c>
      <c r="W395" s="77">
        <f>'Key Generator'!X302</f>
        <v>21</v>
      </c>
      <c r="X395" s="77">
        <f>'Key Generator'!Y302</f>
        <v>22</v>
      </c>
      <c r="Y395" s="77">
        <f>'Key Generator'!Z302</f>
        <v>23</v>
      </c>
      <c r="Z395" s="77">
        <f>'Key Generator'!AA302</f>
        <v>24</v>
      </c>
      <c r="AA395" s="77">
        <f>'Key Generator'!AB302</f>
        <v>25</v>
      </c>
      <c r="AB395" s="77">
        <f>'Key Generator'!AC302</f>
        <v>26</v>
      </c>
      <c r="AC395" s="77">
        <f>'Key Generator'!AD302</f>
        <v>27</v>
      </c>
      <c r="AD395" s="77">
        <f>'Key Generator'!AE302</f>
        <v>28</v>
      </c>
      <c r="AE395" s="77">
        <f>'Key Generator'!AF302</f>
        <v>29</v>
      </c>
      <c r="AF395" s="77">
        <f>'Key Generator'!AG302</f>
        <v>30</v>
      </c>
      <c r="AG395" s="77">
        <f>'Key Generator'!AH302</f>
        <v>31</v>
      </c>
      <c r="AH395" s="77">
        <f>'Key Generator'!AI302</f>
        <v>32</v>
      </c>
      <c r="AI395" s="77">
        <f>'Key Generator'!AJ302</f>
        <v>33</v>
      </c>
      <c r="AJ395" s="77">
        <f>'Key Generator'!AK302</f>
        <v>34</v>
      </c>
      <c r="AK395" s="77">
        <f>'Key Generator'!AL302</f>
        <v>35</v>
      </c>
      <c r="AL395" s="77">
        <f>'Key Generator'!AM302</f>
        <v>36</v>
      </c>
      <c r="AM395" s="77">
        <f>'Key Generator'!AN302</f>
        <v>37</v>
      </c>
      <c r="AN395" s="77">
        <f>'Key Generator'!AO302</f>
        <v>38</v>
      </c>
      <c r="AO395" s="77">
        <f>'Key Generator'!AP302</f>
        <v>39</v>
      </c>
      <c r="AP395" s="77">
        <f>'Key Generator'!AQ302</f>
        <v>40</v>
      </c>
      <c r="AQ395" s="77">
        <f>'Key Generator'!AR302</f>
        <v>41</v>
      </c>
      <c r="AR395" s="77">
        <f>'Key Generator'!AS302</f>
        <v>42</v>
      </c>
      <c r="AS395" s="77">
        <f>'Key Generator'!AT302</f>
        <v>43</v>
      </c>
      <c r="AT395" s="77">
        <f>'Key Generator'!AU302</f>
        <v>44</v>
      </c>
      <c r="AU395" s="77">
        <f>'Key Generator'!AV302</f>
        <v>45</v>
      </c>
      <c r="AV395" s="77">
        <f>'Key Generator'!AW302</f>
        <v>46</v>
      </c>
      <c r="AW395" s="77">
        <f>'Key Generator'!AX302</f>
        <v>47</v>
      </c>
      <c r="AX395" s="77">
        <f>'Key Generator'!AY302</f>
        <v>48</v>
      </c>
    </row>
    <row r="396" spans="1:55" ht="24.95" customHeight="1" x14ac:dyDescent="0.25">
      <c r="C396" s="77">
        <f>'Key Generator'!D303</f>
        <v>1</v>
      </c>
      <c r="D396" s="77">
        <f>'Key Generator'!E303</f>
        <v>1</v>
      </c>
      <c r="E396" s="77">
        <f>'Key Generator'!F303</f>
        <v>0</v>
      </c>
      <c r="F396" s="77">
        <f>'Key Generator'!G303</f>
        <v>1</v>
      </c>
      <c r="G396" s="77">
        <f>'Key Generator'!H303</f>
        <v>0</v>
      </c>
      <c r="H396" s="77">
        <f>'Key Generator'!I303</f>
        <v>0</v>
      </c>
      <c r="I396" s="77">
        <f>'Key Generator'!J303</f>
        <v>0</v>
      </c>
      <c r="J396" s="77">
        <f>'Key Generator'!K303</f>
        <v>0</v>
      </c>
      <c r="K396" s="77">
        <f>'Key Generator'!L303</f>
        <v>0</v>
      </c>
      <c r="L396" s="77">
        <f>'Key Generator'!M303</f>
        <v>1</v>
      </c>
      <c r="M396" s="77">
        <f>'Key Generator'!N303</f>
        <v>1</v>
      </c>
      <c r="N396" s="77">
        <f>'Key Generator'!O303</f>
        <v>0</v>
      </c>
      <c r="O396" s="77">
        <f>'Key Generator'!P303</f>
        <v>1</v>
      </c>
      <c r="P396" s="77">
        <f>'Key Generator'!Q303</f>
        <v>1</v>
      </c>
      <c r="Q396" s="77">
        <f>'Key Generator'!R303</f>
        <v>0</v>
      </c>
      <c r="R396" s="77">
        <f>'Key Generator'!S303</f>
        <v>0</v>
      </c>
      <c r="S396" s="77">
        <f>'Key Generator'!T303</f>
        <v>1</v>
      </c>
      <c r="T396" s="77">
        <f>'Key Generator'!U303</f>
        <v>0</v>
      </c>
      <c r="U396" s="77">
        <f>'Key Generator'!V303</f>
        <v>0</v>
      </c>
      <c r="V396" s="77">
        <f>'Key Generator'!W303</f>
        <v>0</v>
      </c>
      <c r="W396" s="77">
        <f>'Key Generator'!X303</f>
        <v>0</v>
      </c>
      <c r="X396" s="77">
        <f>'Key Generator'!Y303</f>
        <v>1</v>
      </c>
      <c r="Y396" s="77">
        <f>'Key Generator'!Z303</f>
        <v>0</v>
      </c>
      <c r="Z396" s="77">
        <f>'Key Generator'!AA303</f>
        <v>0</v>
      </c>
      <c r="AA396" s="77">
        <f>'Key Generator'!AB303</f>
        <v>1</v>
      </c>
      <c r="AB396" s="77">
        <f>'Key Generator'!AC303</f>
        <v>1</v>
      </c>
      <c r="AC396" s="77">
        <f>'Key Generator'!AD303</f>
        <v>1</v>
      </c>
      <c r="AD396" s="77">
        <f>'Key Generator'!AE303</f>
        <v>0</v>
      </c>
      <c r="AE396" s="77">
        <f>'Key Generator'!AF303</f>
        <v>0</v>
      </c>
      <c r="AF396" s="77">
        <f>'Key Generator'!AG303</f>
        <v>0</v>
      </c>
      <c r="AG396" s="77">
        <f>'Key Generator'!AH303</f>
        <v>1</v>
      </c>
      <c r="AH396" s="77">
        <f>'Key Generator'!AI303</f>
        <v>1</v>
      </c>
      <c r="AI396" s="77">
        <f>'Key Generator'!AJ303</f>
        <v>1</v>
      </c>
      <c r="AJ396" s="77">
        <f>'Key Generator'!AK303</f>
        <v>0</v>
      </c>
      <c r="AK396" s="77">
        <f>'Key Generator'!AL303</f>
        <v>0</v>
      </c>
      <c r="AL396" s="77">
        <f>'Key Generator'!AM303</f>
        <v>1</v>
      </c>
      <c r="AM396" s="77">
        <f>'Key Generator'!AN303</f>
        <v>1</v>
      </c>
      <c r="AN396" s="77">
        <f>'Key Generator'!AO303</f>
        <v>0</v>
      </c>
      <c r="AO396" s="77">
        <f>'Key Generator'!AP303</f>
        <v>0</v>
      </c>
      <c r="AP396" s="77">
        <f>'Key Generator'!AQ303</f>
        <v>0</v>
      </c>
      <c r="AQ396" s="77">
        <f>'Key Generator'!AR303</f>
        <v>0</v>
      </c>
      <c r="AR396" s="77">
        <f>'Key Generator'!AS303</f>
        <v>0</v>
      </c>
      <c r="AS396" s="77">
        <f>'Key Generator'!AT303</f>
        <v>1</v>
      </c>
      <c r="AT396" s="77">
        <f>'Key Generator'!AU303</f>
        <v>1</v>
      </c>
      <c r="AU396" s="77">
        <f>'Key Generator'!AV303</f>
        <v>0</v>
      </c>
      <c r="AV396" s="77">
        <f>'Key Generator'!AW303</f>
        <v>1</v>
      </c>
      <c r="AW396" s="77">
        <f>'Key Generator'!AX303</f>
        <v>1</v>
      </c>
      <c r="AX396" s="77">
        <f>'Key Generator'!AY303</f>
        <v>0</v>
      </c>
    </row>
    <row r="399" spans="1:55" ht="24.95" customHeight="1" x14ac:dyDescent="0.25">
      <c r="A399" s="128" t="s">
        <v>535</v>
      </c>
      <c r="B399" s="129"/>
      <c r="C399" s="79">
        <v>1</v>
      </c>
      <c r="D399" s="80">
        <v>2</v>
      </c>
      <c r="E399" s="79">
        <v>3</v>
      </c>
      <c r="F399" s="80">
        <v>4</v>
      </c>
      <c r="G399" s="79">
        <v>5</v>
      </c>
      <c r="H399" s="80">
        <v>6</v>
      </c>
      <c r="I399" s="79">
        <v>7</v>
      </c>
      <c r="J399" s="80">
        <v>8</v>
      </c>
      <c r="K399" s="79">
        <v>9</v>
      </c>
      <c r="L399" s="80">
        <v>10</v>
      </c>
      <c r="M399" s="79">
        <v>11</v>
      </c>
      <c r="N399" s="80">
        <v>12</v>
      </c>
      <c r="O399" s="79">
        <v>13</v>
      </c>
      <c r="P399" s="80">
        <v>14</v>
      </c>
      <c r="Q399" s="79">
        <v>15</v>
      </c>
      <c r="R399" s="80">
        <v>16</v>
      </c>
      <c r="S399" s="79">
        <v>17</v>
      </c>
      <c r="T399" s="80">
        <v>18</v>
      </c>
      <c r="U399" s="79">
        <v>19</v>
      </c>
      <c r="V399" s="80">
        <v>20</v>
      </c>
      <c r="W399" s="79">
        <v>21</v>
      </c>
      <c r="X399" s="80">
        <v>22</v>
      </c>
      <c r="Y399" s="79">
        <v>23</v>
      </c>
      <c r="Z399" s="80">
        <v>24</v>
      </c>
      <c r="AA399" s="79">
        <v>25</v>
      </c>
      <c r="AB399" s="80">
        <v>26</v>
      </c>
      <c r="AC399" s="79">
        <v>27</v>
      </c>
      <c r="AD399" s="80">
        <v>28</v>
      </c>
      <c r="AE399" s="79">
        <v>29</v>
      </c>
      <c r="AF399" s="80">
        <v>30</v>
      </c>
      <c r="AG399" s="79">
        <v>31</v>
      </c>
      <c r="AH399" s="80">
        <v>32</v>
      </c>
      <c r="AI399" s="79">
        <v>33</v>
      </c>
      <c r="AJ399" s="80">
        <v>34</v>
      </c>
      <c r="AK399" s="79">
        <v>35</v>
      </c>
      <c r="AL399" s="80">
        <v>36</v>
      </c>
      <c r="AM399" s="79">
        <v>37</v>
      </c>
      <c r="AN399" s="80">
        <v>38</v>
      </c>
      <c r="AO399" s="79">
        <v>39</v>
      </c>
      <c r="AP399" s="80">
        <v>40</v>
      </c>
      <c r="AQ399" s="79">
        <v>41</v>
      </c>
      <c r="AR399" s="80">
        <v>42</v>
      </c>
      <c r="AS399" s="79">
        <v>43</v>
      </c>
      <c r="AT399" s="80">
        <v>44</v>
      </c>
      <c r="AU399" s="79">
        <v>45</v>
      </c>
      <c r="AV399" s="80">
        <v>46</v>
      </c>
      <c r="AW399" s="79">
        <v>47</v>
      </c>
      <c r="AX399" s="80">
        <v>48</v>
      </c>
    </row>
    <row r="400" spans="1:55" ht="24.95" customHeight="1" x14ac:dyDescent="0.25">
      <c r="C400" s="88">
        <f>--_xlfn.XOR(C392,'Key Generator'!D303)</f>
        <v>0</v>
      </c>
      <c r="D400" s="88">
        <f>--_xlfn.XOR(D392,'Key Generator'!E303)</f>
        <v>1</v>
      </c>
      <c r="E400" s="88">
        <f>--_xlfn.XOR(E392,'Key Generator'!F303)</f>
        <v>0</v>
      </c>
      <c r="F400" s="88">
        <f>--_xlfn.XOR(F392,'Key Generator'!G303)</f>
        <v>1</v>
      </c>
      <c r="G400" s="88">
        <f>--_xlfn.XOR(G392,'Key Generator'!H303)</f>
        <v>1</v>
      </c>
      <c r="H400" s="88">
        <f>--_xlfn.XOR(H392,'Key Generator'!I303)</f>
        <v>1</v>
      </c>
      <c r="I400" s="87">
        <f>--_xlfn.XOR(I392,'Key Generator'!J303)</f>
        <v>1</v>
      </c>
      <c r="J400" s="87">
        <f>--_xlfn.XOR(J392,'Key Generator'!K303)</f>
        <v>1</v>
      </c>
      <c r="K400" s="87">
        <f>--_xlfn.XOR(K392,'Key Generator'!L303)</f>
        <v>0</v>
      </c>
      <c r="L400" s="87">
        <f>--_xlfn.XOR(L392,'Key Generator'!M303)</f>
        <v>0</v>
      </c>
      <c r="M400" s="87">
        <f>--_xlfn.XOR(M392,'Key Generator'!N303)</f>
        <v>1</v>
      </c>
      <c r="N400" s="87">
        <f>--_xlfn.XOR(N392,'Key Generator'!O303)</f>
        <v>0</v>
      </c>
      <c r="O400" s="89">
        <f>--_xlfn.XOR(O392,'Key Generator'!P303)</f>
        <v>1</v>
      </c>
      <c r="P400" s="89">
        <f>--_xlfn.XOR(P392,'Key Generator'!Q303)</f>
        <v>1</v>
      </c>
      <c r="Q400" s="89">
        <f>--_xlfn.XOR(Q392,'Key Generator'!R303)</f>
        <v>1</v>
      </c>
      <c r="R400" s="89">
        <f>--_xlfn.XOR(R392,'Key Generator'!S303)</f>
        <v>1</v>
      </c>
      <c r="S400" s="89">
        <f>--_xlfn.XOR(S392,'Key Generator'!T303)</f>
        <v>1</v>
      </c>
      <c r="T400" s="89">
        <f>--_xlfn.XOR(T392,'Key Generator'!U303)</f>
        <v>0</v>
      </c>
      <c r="U400" s="90">
        <f>--_xlfn.XOR(U392,'Key Generator'!V303)</f>
        <v>0</v>
      </c>
      <c r="V400" s="90">
        <f>--_xlfn.XOR(V392,'Key Generator'!W303)</f>
        <v>0</v>
      </c>
      <c r="W400" s="90">
        <f>--_xlfn.XOR(W392,'Key Generator'!X303)</f>
        <v>1</v>
      </c>
      <c r="X400" s="90">
        <f>--_xlfn.XOR(X392,'Key Generator'!Y303)</f>
        <v>1</v>
      </c>
      <c r="Y400" s="90">
        <f>--_xlfn.XOR(Y392,'Key Generator'!Z303)</f>
        <v>1</v>
      </c>
      <c r="Z400" s="90">
        <f>--_xlfn.XOR(Z392,'Key Generator'!AA303)</f>
        <v>1</v>
      </c>
      <c r="AA400" s="91">
        <f>--_xlfn.XOR(AA392,'Key Generator'!AB303)</f>
        <v>0</v>
      </c>
      <c r="AB400" s="91">
        <f>--_xlfn.XOR(AB392,'Key Generator'!AC303)</f>
        <v>0</v>
      </c>
      <c r="AC400" s="91">
        <f>--_xlfn.XOR(AC392,'Key Generator'!AD303)</f>
        <v>1</v>
      </c>
      <c r="AD400" s="91">
        <f>--_xlfn.XOR(AD392,'Key Generator'!AE303)</f>
        <v>0</v>
      </c>
      <c r="AE400" s="91">
        <f>--_xlfn.XOR(AE392,'Key Generator'!AF303)</f>
        <v>0</v>
      </c>
      <c r="AF400" s="91">
        <f>--_xlfn.XOR(AF392,'Key Generator'!AG303)</f>
        <v>0</v>
      </c>
      <c r="AG400" s="92">
        <f>--_xlfn.XOR(AG392,'Key Generator'!AH303)</f>
        <v>1</v>
      </c>
      <c r="AH400" s="92">
        <f>--_xlfn.XOR(AH392,'Key Generator'!AI303)</f>
        <v>1</v>
      </c>
      <c r="AI400" s="92">
        <f>--_xlfn.XOR(AI392,'Key Generator'!AJ303)</f>
        <v>0</v>
      </c>
      <c r="AJ400" s="92">
        <f>--_xlfn.XOR(AJ392,'Key Generator'!AK303)</f>
        <v>0</v>
      </c>
      <c r="AK400" s="92">
        <f>--_xlfn.XOR(AK392,'Key Generator'!AL303)</f>
        <v>0</v>
      </c>
      <c r="AL400" s="92">
        <f>--_xlfn.XOR(AL392,'Key Generator'!AM303)</f>
        <v>1</v>
      </c>
      <c r="AM400" s="86">
        <f>--_xlfn.XOR(AM392,'Key Generator'!AN303)</f>
        <v>1</v>
      </c>
      <c r="AN400" s="86">
        <f>--_xlfn.XOR(AN392,'Key Generator'!AO303)</f>
        <v>0</v>
      </c>
      <c r="AO400" s="86">
        <f>--_xlfn.XOR(AO392,'Key Generator'!AP303)</f>
        <v>0</v>
      </c>
      <c r="AP400" s="86">
        <f>--_xlfn.XOR(AP392,'Key Generator'!AQ303)</f>
        <v>1</v>
      </c>
      <c r="AQ400" s="86">
        <f>--_xlfn.XOR(AQ392,'Key Generator'!AR303)</f>
        <v>0</v>
      </c>
      <c r="AR400" s="86">
        <f>--_xlfn.XOR(AR392,'Key Generator'!AS303)</f>
        <v>1</v>
      </c>
      <c r="AS400" s="81">
        <f>--_xlfn.XOR(AS392,'Key Generator'!AT303)</f>
        <v>1</v>
      </c>
      <c r="AT400" s="81">
        <f>--_xlfn.XOR(AT392,'Key Generator'!AU303)</f>
        <v>0</v>
      </c>
      <c r="AU400" s="81">
        <f>--_xlfn.XOR(AU392,'Key Generator'!AV303)</f>
        <v>0</v>
      </c>
      <c r="AV400" s="81">
        <f>--_xlfn.XOR(AV392,'Key Generator'!AW303)</f>
        <v>1</v>
      </c>
      <c r="AW400" s="81">
        <f>--_xlfn.XOR(AW392,'Key Generator'!AX303)</f>
        <v>0</v>
      </c>
      <c r="AX400" s="81">
        <f>--_xlfn.XOR(AX392,'Key Generator'!AY303)</f>
        <v>0</v>
      </c>
      <c r="AZ400" s="20"/>
      <c r="BA400" s="20"/>
      <c r="BB400" s="20"/>
      <c r="BC400" s="20"/>
    </row>
    <row r="401" spans="1:55" ht="24.95" customHeight="1" x14ac:dyDescent="0.25">
      <c r="C401" s="93"/>
      <c r="D401" s="94"/>
      <c r="E401" s="94"/>
      <c r="F401" s="94"/>
      <c r="G401" s="94"/>
      <c r="H401" s="94"/>
      <c r="AZ401" s="20"/>
      <c r="BA401" s="20"/>
      <c r="BB401" s="20"/>
      <c r="BC401" s="20"/>
    </row>
    <row r="402" spans="1:55" ht="24.95" customHeight="1" x14ac:dyDescent="0.25">
      <c r="A402" s="96" t="s">
        <v>545</v>
      </c>
      <c r="B402" s="97"/>
      <c r="C402" s="101">
        <f>D400*8+E400*4+F400*2+G400</f>
        <v>11</v>
      </c>
      <c r="D402" s="123" t="s">
        <v>536</v>
      </c>
      <c r="E402" s="97"/>
      <c r="F402" s="97"/>
      <c r="G402" s="97"/>
      <c r="H402" s="97"/>
      <c r="I402" s="101">
        <f>J400*8+K400*4+L400*2+M400</f>
        <v>9</v>
      </c>
      <c r="J402" s="122" t="s">
        <v>537</v>
      </c>
      <c r="K402" s="97"/>
      <c r="L402" s="97"/>
      <c r="M402" s="97"/>
      <c r="N402" s="97"/>
      <c r="O402" s="101">
        <f>P400*8+Q400*4+R400*2+S400</f>
        <v>15</v>
      </c>
      <c r="P402" s="122" t="s">
        <v>538</v>
      </c>
      <c r="Q402" s="97"/>
      <c r="R402" s="97"/>
      <c r="S402" s="97"/>
      <c r="T402" s="97"/>
      <c r="U402" s="101">
        <f>V400*8+W400*4+X400*2+Y400</f>
        <v>7</v>
      </c>
      <c r="V402" s="122" t="s">
        <v>539</v>
      </c>
      <c r="W402" s="97"/>
      <c r="X402" s="97"/>
      <c r="Y402" s="97"/>
      <c r="Z402" s="97"/>
      <c r="AA402" s="101">
        <f>AB400*8+AC400*4+AD400*2+AE400</f>
        <v>4</v>
      </c>
      <c r="AB402" s="122" t="s">
        <v>540</v>
      </c>
      <c r="AC402" s="97"/>
      <c r="AD402" s="97"/>
      <c r="AE402" s="97"/>
      <c r="AF402" s="97"/>
      <c r="AG402" s="101">
        <f>AH400*8+AI400*4+AJ400*2+AK400</f>
        <v>8</v>
      </c>
      <c r="AH402" s="122" t="s">
        <v>541</v>
      </c>
      <c r="AI402" s="97"/>
      <c r="AJ402" s="97"/>
      <c r="AK402" s="97"/>
      <c r="AL402" s="97"/>
      <c r="AM402" s="101">
        <f>AN400*8+AO400*4+AP400*2+AQ400</f>
        <v>2</v>
      </c>
      <c r="AN402" s="122" t="s">
        <v>542</v>
      </c>
      <c r="AO402" s="97"/>
      <c r="AP402" s="97"/>
      <c r="AQ402" s="97"/>
      <c r="AR402" s="97"/>
      <c r="AS402" s="101">
        <f>AT400*8+AU400*4+AV400*2+AW400</f>
        <v>2</v>
      </c>
      <c r="AT402" s="122" t="s">
        <v>543</v>
      </c>
      <c r="AU402" s="97"/>
      <c r="AV402" s="97"/>
      <c r="AW402" s="97"/>
      <c r="AX402" s="97"/>
      <c r="AY402" s="97"/>
      <c r="AZ402" s="20"/>
      <c r="BA402" s="20"/>
      <c r="BB402" s="20"/>
      <c r="BC402" s="20"/>
    </row>
    <row r="403" spans="1:55" ht="24.95" customHeight="1" x14ac:dyDescent="0.25">
      <c r="A403" s="100" t="s">
        <v>546</v>
      </c>
      <c r="B403" s="99"/>
      <c r="C403" s="87">
        <f>C400*2+H400</f>
        <v>1</v>
      </c>
      <c r="D403" s="98"/>
      <c r="E403" s="98"/>
      <c r="F403" s="99"/>
      <c r="G403" s="99"/>
      <c r="H403" s="99"/>
      <c r="I403" s="87">
        <f>I400*2+N400</f>
        <v>2</v>
      </c>
      <c r="J403" s="99"/>
      <c r="K403" s="99"/>
      <c r="L403" s="99"/>
      <c r="M403" s="99"/>
      <c r="N403" s="99"/>
      <c r="O403" s="87">
        <f>O400*2+T400</f>
        <v>2</v>
      </c>
      <c r="P403" s="99"/>
      <c r="Q403" s="99"/>
      <c r="R403" s="99"/>
      <c r="S403" s="99"/>
      <c r="T403" s="99"/>
      <c r="U403" s="87">
        <f>U400*2+Z400</f>
        <v>1</v>
      </c>
      <c r="V403" s="99"/>
      <c r="W403" s="99"/>
      <c r="X403" s="99"/>
      <c r="Y403" s="99"/>
      <c r="Z403" s="99"/>
      <c r="AA403" s="87">
        <f>AA400*2+AF400</f>
        <v>0</v>
      </c>
      <c r="AB403" s="99"/>
      <c r="AC403" s="99"/>
      <c r="AD403" s="99"/>
      <c r="AE403" s="99"/>
      <c r="AF403" s="99"/>
      <c r="AG403" s="87">
        <f>AG400*2+AL400</f>
        <v>3</v>
      </c>
      <c r="AH403" s="99"/>
      <c r="AI403" s="99"/>
      <c r="AJ403" s="99"/>
      <c r="AK403" s="99"/>
      <c r="AL403" s="99"/>
      <c r="AM403" s="87">
        <f>AM400*2+AR400</f>
        <v>3</v>
      </c>
      <c r="AN403" s="99"/>
      <c r="AO403" s="99"/>
      <c r="AP403" s="99"/>
      <c r="AQ403" s="99"/>
      <c r="AR403" s="99"/>
      <c r="AS403" s="87">
        <f>AS400*2+AX400</f>
        <v>2</v>
      </c>
      <c r="AT403" s="99"/>
      <c r="AU403" s="99"/>
      <c r="AV403" s="99"/>
      <c r="AW403" s="99"/>
      <c r="AX403" s="99"/>
      <c r="AY403" s="99"/>
      <c r="AZ403" s="20"/>
      <c r="BA403" s="20"/>
      <c r="BB403" s="20"/>
      <c r="BC403" s="20"/>
    </row>
    <row r="404" spans="1:55" ht="24.95" customHeight="1" x14ac:dyDescent="0.25">
      <c r="AZ404" s="20"/>
      <c r="BA404" s="20"/>
      <c r="BB404" s="20"/>
      <c r="BC404" s="20"/>
    </row>
    <row r="405" spans="1:55" ht="24.95" customHeight="1" x14ac:dyDescent="0.25">
      <c r="A405" s="117" t="s">
        <v>547</v>
      </c>
      <c r="C405" s="72">
        <f>INDEX('S-Box'!D3:S6,'DES-Enc'!C403+1,'DES-Enc'!C402+1)</f>
        <v>11</v>
      </c>
      <c r="I405" s="102">
        <f>INDEX('S-Box'!D9:S12,'DES-Enc'!I403+1,'DES-Enc'!I402+1)</f>
        <v>8</v>
      </c>
      <c r="O405" s="102">
        <f>INDEX('S-Box'!D15:S18,'DES-Enc'!O403+1,'DES-Enc'!O402+1)</f>
        <v>7</v>
      </c>
      <c r="U405" s="102">
        <f>INDEX('S-Box'!D21:S24,'DES-Enc'!U403+1,'DES-Enc'!U402+1)</f>
        <v>3</v>
      </c>
      <c r="AA405" s="102">
        <f>INDEX('S-Box'!D27:S30,'DES-Enc'!AA403+1,'DES-Enc'!AA402+1)</f>
        <v>7</v>
      </c>
      <c r="AG405" s="102">
        <f>INDEX('S-Box'!D33:S36,'DES-Enc'!AG403+1,'DES-Enc'!AG402+1)</f>
        <v>11</v>
      </c>
      <c r="AM405" s="102">
        <f>INDEX('S-Box'!D39:S42,'DES-Enc'!AM403+1,'DES-Enc'!AM402+1)</f>
        <v>13</v>
      </c>
      <c r="AS405" s="102">
        <f>INDEX('S-Box'!D45:S48,'DES-Enc'!AS403+1,'DES-Enc'!AS402+1)</f>
        <v>4</v>
      </c>
      <c r="AZ405" s="20"/>
      <c r="BA405" s="20"/>
      <c r="BB405" s="20"/>
      <c r="BC405" s="20"/>
    </row>
    <row r="406" spans="1:55" ht="24.95" customHeight="1" x14ac:dyDescent="0.25">
      <c r="C406" s="104"/>
      <c r="I406" s="95"/>
      <c r="O406" s="95"/>
      <c r="U406" s="95"/>
      <c r="AA406" s="95"/>
      <c r="AG406" s="95"/>
      <c r="AM406" s="95"/>
      <c r="AS406" s="95"/>
    </row>
    <row r="407" spans="1:55" ht="24.95" customHeight="1" x14ac:dyDescent="0.25">
      <c r="C407" s="105" t="str">
        <f>MID(DEC2BIN(C405,4),1,1)</f>
        <v>1</v>
      </c>
      <c r="D407" s="106" t="str">
        <f>MID(DEC2BIN(C405,4),2,1)</f>
        <v>0</v>
      </c>
      <c r="E407" s="106" t="str">
        <f>MID(DEC2BIN(C405,4),3,1)</f>
        <v>1</v>
      </c>
      <c r="F407" s="107" t="str">
        <f>MID(DEC2BIN(C405,4),4,1)</f>
        <v>1</v>
      </c>
      <c r="I407" s="105" t="str">
        <f>MID(DEC2BIN(I405,4),1,1)</f>
        <v>1</v>
      </c>
      <c r="J407" s="106" t="str">
        <f>MID(DEC2BIN(I405,4),2,1)</f>
        <v>0</v>
      </c>
      <c r="K407" s="106" t="str">
        <f>MID(DEC2BIN(I405,4),3,1)</f>
        <v>0</v>
      </c>
      <c r="L407" s="107" t="str">
        <f>MID(DEC2BIN(I405,4),4,1)</f>
        <v>0</v>
      </c>
      <c r="O407" s="105" t="str">
        <f>MID(DEC2BIN(O405,4),1,1)</f>
        <v>0</v>
      </c>
      <c r="P407" s="106" t="str">
        <f>MID(DEC2BIN(O405,4),2,1)</f>
        <v>1</v>
      </c>
      <c r="Q407" s="106" t="str">
        <f>MID(DEC2BIN(O405,4),3,1)</f>
        <v>1</v>
      </c>
      <c r="R407" s="107" t="str">
        <f>MID(DEC2BIN(O405,4),4,1)</f>
        <v>1</v>
      </c>
      <c r="U407" s="105" t="str">
        <f>MID(DEC2BIN(U405,4),1,1)</f>
        <v>0</v>
      </c>
      <c r="V407" s="106" t="str">
        <f>MID(DEC2BIN(U405,4),2,1)</f>
        <v>0</v>
      </c>
      <c r="W407" s="106" t="str">
        <f>MID(DEC2BIN(U405,4),3,1)</f>
        <v>1</v>
      </c>
      <c r="X407" s="107" t="str">
        <f>MID(DEC2BIN(U405,4),4,1)</f>
        <v>1</v>
      </c>
      <c r="AA407" s="105" t="str">
        <f>MID(DEC2BIN(AA405,4),1,1)</f>
        <v>0</v>
      </c>
      <c r="AB407" s="106" t="str">
        <f>MID(DEC2BIN(AA405,4),2,1)</f>
        <v>1</v>
      </c>
      <c r="AC407" s="106" t="str">
        <f>MID(DEC2BIN(AA405,4),3,1)</f>
        <v>1</v>
      </c>
      <c r="AD407" s="107" t="str">
        <f>MID(DEC2BIN(AA405,4),4,1)</f>
        <v>1</v>
      </c>
      <c r="AG407" s="105" t="str">
        <f>MID(DEC2BIN(AG405,4),1,1)</f>
        <v>1</v>
      </c>
      <c r="AH407" s="106" t="str">
        <f>MID(DEC2BIN(AG405,4),2,1)</f>
        <v>0</v>
      </c>
      <c r="AI407" s="106" t="str">
        <f>MID(DEC2BIN(AG405,4),3,1)</f>
        <v>1</v>
      </c>
      <c r="AJ407" s="107" t="str">
        <f>MID(DEC2BIN(AG405,4),4,1)</f>
        <v>1</v>
      </c>
      <c r="AM407" s="105" t="str">
        <f>MID(DEC2BIN(AM405,4),1,1)</f>
        <v>1</v>
      </c>
      <c r="AN407" s="106" t="str">
        <f>MID(DEC2BIN(AM405,4),2,1)</f>
        <v>1</v>
      </c>
      <c r="AO407" s="106" t="str">
        <f>MID(DEC2BIN(AM405,4),3,1)</f>
        <v>0</v>
      </c>
      <c r="AP407" s="107" t="str">
        <f>MID(DEC2BIN(AM405,4),4,1)</f>
        <v>1</v>
      </c>
      <c r="AS407" s="105" t="str">
        <f>MID(DEC2BIN(AS405,4),1,1)</f>
        <v>0</v>
      </c>
      <c r="AT407" s="106" t="str">
        <f>MID(DEC2BIN(AS405,4),2,1)</f>
        <v>1</v>
      </c>
      <c r="AU407" s="106" t="str">
        <f>MID(DEC2BIN(AS405,4),3,1)</f>
        <v>0</v>
      </c>
      <c r="AV407" s="107" t="str">
        <f>MID(DEC2BIN(AS405,4),4,1)</f>
        <v>0</v>
      </c>
    </row>
    <row r="408" spans="1:55" ht="24.95" customHeight="1" x14ac:dyDescent="0.25">
      <c r="C408" s="21">
        <f>VALUE(C407)</f>
        <v>1</v>
      </c>
      <c r="D408" s="21">
        <f t="shared" ref="D408" si="1089">VALUE(D407)</f>
        <v>0</v>
      </c>
      <c r="E408" s="21">
        <f t="shared" ref="E408" si="1090">VALUE(E407)</f>
        <v>1</v>
      </c>
      <c r="F408" s="21">
        <f t="shared" ref="F408" si="1091">VALUE(F407)</f>
        <v>1</v>
      </c>
      <c r="I408" s="21">
        <f t="shared" ref="I408" si="1092">VALUE(I407)</f>
        <v>1</v>
      </c>
      <c r="J408" s="21">
        <f t="shared" ref="J408" si="1093">VALUE(J407)</f>
        <v>0</v>
      </c>
      <c r="K408" s="21">
        <f t="shared" ref="K408" si="1094">VALUE(K407)</f>
        <v>0</v>
      </c>
      <c r="L408" s="21">
        <f t="shared" ref="L408" si="1095">VALUE(L407)</f>
        <v>0</v>
      </c>
      <c r="O408" s="21">
        <f>VALUE(O407)</f>
        <v>0</v>
      </c>
      <c r="P408" s="21">
        <f t="shared" ref="P408" si="1096">VALUE(P407)</f>
        <v>1</v>
      </c>
      <c r="Q408" s="21">
        <f t="shared" ref="Q408" si="1097">VALUE(Q407)</f>
        <v>1</v>
      </c>
      <c r="R408" s="21">
        <f t="shared" ref="R408" si="1098">VALUE(R407)</f>
        <v>1</v>
      </c>
      <c r="U408" s="21">
        <f>VALUE(U407)</f>
        <v>0</v>
      </c>
      <c r="V408" s="21">
        <f t="shared" ref="V408" si="1099">VALUE(V407)</f>
        <v>0</v>
      </c>
      <c r="W408" s="21">
        <f t="shared" ref="W408" si="1100">VALUE(W407)</f>
        <v>1</v>
      </c>
      <c r="X408" s="21">
        <f t="shared" ref="X408" si="1101">VALUE(X407)</f>
        <v>1</v>
      </c>
      <c r="AA408" s="21">
        <f>VALUE(AA407)</f>
        <v>0</v>
      </c>
      <c r="AB408" s="21">
        <f t="shared" ref="AB408" si="1102">VALUE(AB407)</f>
        <v>1</v>
      </c>
      <c r="AC408" s="21">
        <f t="shared" ref="AC408" si="1103">VALUE(AC407)</f>
        <v>1</v>
      </c>
      <c r="AD408" s="21">
        <f t="shared" ref="AD408" si="1104">VALUE(AD407)</f>
        <v>1</v>
      </c>
      <c r="AG408" s="21">
        <f>VALUE(AG407)</f>
        <v>1</v>
      </c>
      <c r="AH408" s="21">
        <f t="shared" ref="AH408" si="1105">VALUE(AH407)</f>
        <v>0</v>
      </c>
      <c r="AI408" s="21">
        <f t="shared" ref="AI408" si="1106">VALUE(AI407)</f>
        <v>1</v>
      </c>
      <c r="AJ408" s="21">
        <f t="shared" ref="AJ408" si="1107">VALUE(AJ407)</f>
        <v>1</v>
      </c>
      <c r="AM408" s="21">
        <f>VALUE(AM407)</f>
        <v>1</v>
      </c>
      <c r="AN408" s="21">
        <f t="shared" ref="AN408" si="1108">VALUE(AN407)</f>
        <v>1</v>
      </c>
      <c r="AO408" s="21">
        <f t="shared" ref="AO408" si="1109">VALUE(AO407)</f>
        <v>0</v>
      </c>
      <c r="AP408" s="21">
        <f t="shared" ref="AP408" si="1110">VALUE(AP407)</f>
        <v>1</v>
      </c>
      <c r="AS408" s="21">
        <f>VALUE(AS407)</f>
        <v>0</v>
      </c>
      <c r="AT408" s="21">
        <f t="shared" ref="AT408" si="1111">VALUE(AT407)</f>
        <v>1</v>
      </c>
      <c r="AU408" s="21">
        <f t="shared" ref="AU408" si="1112">VALUE(AU407)</f>
        <v>0</v>
      </c>
      <c r="AV408" s="21">
        <f t="shared" ref="AV408" si="1113">VALUE(AV407)</f>
        <v>0</v>
      </c>
    </row>
    <row r="409" spans="1:55" ht="24.95" customHeight="1" x14ac:dyDescent="0.25">
      <c r="A409" s="111" t="s">
        <v>588</v>
      </c>
      <c r="B409" s="111"/>
      <c r="C409" s="111">
        <v>1</v>
      </c>
      <c r="D409" s="76">
        <v>2</v>
      </c>
      <c r="E409" s="111">
        <v>3</v>
      </c>
      <c r="F409" s="76">
        <v>4</v>
      </c>
      <c r="G409" s="111">
        <v>5</v>
      </c>
      <c r="H409" s="76">
        <v>6</v>
      </c>
      <c r="I409" s="111">
        <v>7</v>
      </c>
      <c r="J409" s="76">
        <v>8</v>
      </c>
      <c r="K409" s="111">
        <v>9</v>
      </c>
      <c r="L409" s="76">
        <v>10</v>
      </c>
      <c r="M409" s="111">
        <v>11</v>
      </c>
      <c r="N409" s="76">
        <v>12</v>
      </c>
      <c r="O409" s="111">
        <v>13</v>
      </c>
      <c r="P409" s="76">
        <v>14</v>
      </c>
      <c r="Q409" s="111">
        <v>15</v>
      </c>
      <c r="R409" s="76">
        <v>16</v>
      </c>
      <c r="S409" s="111">
        <v>17</v>
      </c>
      <c r="T409" s="76">
        <v>18</v>
      </c>
      <c r="U409" s="111">
        <v>19</v>
      </c>
      <c r="V409" s="76">
        <v>20</v>
      </c>
      <c r="W409" s="111">
        <v>21</v>
      </c>
      <c r="X409" s="76">
        <v>22</v>
      </c>
      <c r="Y409" s="111">
        <v>23</v>
      </c>
      <c r="Z409" s="76">
        <v>24</v>
      </c>
      <c r="AA409" s="111">
        <v>25</v>
      </c>
      <c r="AB409" s="76">
        <v>26</v>
      </c>
      <c r="AC409" s="111">
        <v>27</v>
      </c>
      <c r="AD409" s="76">
        <v>28</v>
      </c>
      <c r="AE409" s="111">
        <v>29</v>
      </c>
      <c r="AF409" s="76">
        <v>30</v>
      </c>
      <c r="AG409" s="111">
        <v>31</v>
      </c>
      <c r="AH409" s="76">
        <v>32</v>
      </c>
    </row>
    <row r="410" spans="1:55" ht="24.95" customHeight="1" x14ac:dyDescent="0.25">
      <c r="C410" s="108">
        <f>C408</f>
        <v>1</v>
      </c>
      <c r="D410" s="108">
        <f t="shared" ref="D410:F410" si="1114">D408</f>
        <v>0</v>
      </c>
      <c r="E410" s="108">
        <f t="shared" si="1114"/>
        <v>1</v>
      </c>
      <c r="F410" s="108">
        <f t="shared" si="1114"/>
        <v>1</v>
      </c>
      <c r="G410" s="23">
        <f>I408</f>
        <v>1</v>
      </c>
      <c r="H410" s="23">
        <f t="shared" ref="H410" si="1115">J408</f>
        <v>0</v>
      </c>
      <c r="I410" s="23">
        <f t="shared" ref="I410" si="1116">K408</f>
        <v>0</v>
      </c>
      <c r="J410" s="23">
        <f t="shared" ref="J410" si="1117">L408</f>
        <v>0</v>
      </c>
      <c r="K410" s="23">
        <f>O408</f>
        <v>0</v>
      </c>
      <c r="L410" s="23">
        <f t="shared" ref="L410" si="1118">P408</f>
        <v>1</v>
      </c>
      <c r="M410" s="23">
        <f t="shared" ref="M410" si="1119">Q408</f>
        <v>1</v>
      </c>
      <c r="N410" s="23">
        <f t="shared" ref="N410" si="1120">R408</f>
        <v>1</v>
      </c>
      <c r="O410" s="23">
        <f>U408</f>
        <v>0</v>
      </c>
      <c r="P410" s="23">
        <f t="shared" ref="P410" si="1121">V408</f>
        <v>0</v>
      </c>
      <c r="Q410" s="23">
        <f t="shared" ref="Q410" si="1122">W408</f>
        <v>1</v>
      </c>
      <c r="R410" s="23">
        <f t="shared" ref="R410" si="1123">X408</f>
        <v>1</v>
      </c>
      <c r="S410" s="23">
        <f>AA408</f>
        <v>0</v>
      </c>
      <c r="T410" s="23">
        <f t="shared" ref="T410" si="1124">AB408</f>
        <v>1</v>
      </c>
      <c r="U410" s="23">
        <f t="shared" ref="U410" si="1125">AC408</f>
        <v>1</v>
      </c>
      <c r="V410" s="23">
        <f t="shared" ref="V410" si="1126">AD408</f>
        <v>1</v>
      </c>
      <c r="W410" s="23">
        <f>AG408</f>
        <v>1</v>
      </c>
      <c r="X410" s="23">
        <f t="shared" ref="X410" si="1127">AH408</f>
        <v>0</v>
      </c>
      <c r="Y410" s="23">
        <f t="shared" ref="Y410" si="1128">AI408</f>
        <v>1</v>
      </c>
      <c r="Z410" s="23">
        <f t="shared" ref="Z410" si="1129">AJ408</f>
        <v>1</v>
      </c>
      <c r="AA410" s="23">
        <f>AM408</f>
        <v>1</v>
      </c>
      <c r="AB410" s="23">
        <f t="shared" ref="AB410" si="1130">AN408</f>
        <v>1</v>
      </c>
      <c r="AC410" s="23">
        <f t="shared" ref="AC410" si="1131">AO408</f>
        <v>0</v>
      </c>
      <c r="AD410" s="23">
        <f t="shared" ref="AD410" si="1132">AP408</f>
        <v>1</v>
      </c>
      <c r="AE410" s="23">
        <f>AS408</f>
        <v>0</v>
      </c>
      <c r="AF410" s="23">
        <f t="shared" ref="AF410" si="1133">AT408</f>
        <v>1</v>
      </c>
      <c r="AG410" s="23">
        <f t="shared" ref="AG410" si="1134">AU408</f>
        <v>0</v>
      </c>
      <c r="AH410" s="23">
        <f t="shared" ref="AH410" si="1135">AV408</f>
        <v>0</v>
      </c>
    </row>
    <row r="412" spans="1:55" ht="24.95" customHeight="1" x14ac:dyDescent="0.25">
      <c r="A412" s="110" t="s">
        <v>548</v>
      </c>
      <c r="B412" s="110"/>
      <c r="C412" s="109">
        <v>16</v>
      </c>
      <c r="D412" s="110">
        <v>7</v>
      </c>
      <c r="E412" s="110">
        <v>20</v>
      </c>
      <c r="F412" s="110">
        <v>21</v>
      </c>
      <c r="G412" s="110">
        <v>29</v>
      </c>
      <c r="H412" s="110">
        <v>12</v>
      </c>
      <c r="I412" s="110">
        <v>28</v>
      </c>
      <c r="J412" s="110">
        <v>17</v>
      </c>
      <c r="K412" s="110">
        <v>1</v>
      </c>
      <c r="L412" s="110">
        <v>15</v>
      </c>
      <c r="M412" s="110">
        <v>23</v>
      </c>
      <c r="N412" s="110">
        <v>26</v>
      </c>
      <c r="O412" s="110">
        <v>5</v>
      </c>
      <c r="P412" s="110">
        <v>18</v>
      </c>
      <c r="Q412" s="110">
        <v>31</v>
      </c>
      <c r="R412" s="110">
        <v>10</v>
      </c>
      <c r="S412" s="110">
        <v>2</v>
      </c>
      <c r="T412" s="110">
        <v>8</v>
      </c>
      <c r="U412" s="110">
        <v>24</v>
      </c>
      <c r="V412" s="110">
        <v>14</v>
      </c>
      <c r="W412" s="110">
        <v>32</v>
      </c>
      <c r="X412" s="110">
        <v>27</v>
      </c>
      <c r="Y412" s="110">
        <v>3</v>
      </c>
      <c r="Z412" s="110">
        <v>9</v>
      </c>
      <c r="AA412" s="110">
        <v>19</v>
      </c>
      <c r="AB412" s="110">
        <v>13</v>
      </c>
      <c r="AC412" s="110">
        <v>30</v>
      </c>
      <c r="AD412" s="110">
        <v>6</v>
      </c>
      <c r="AE412" s="110">
        <v>22</v>
      </c>
      <c r="AF412" s="110">
        <v>11</v>
      </c>
      <c r="AG412" s="110">
        <v>4</v>
      </c>
      <c r="AH412" s="110">
        <v>25</v>
      </c>
    </row>
    <row r="413" spans="1:55" ht="24.95" customHeight="1" x14ac:dyDescent="0.25">
      <c r="C413" s="103">
        <f>K410</f>
        <v>0</v>
      </c>
      <c r="D413" s="103">
        <f>S410</f>
        <v>0</v>
      </c>
      <c r="E413" s="103">
        <f>Y410</f>
        <v>1</v>
      </c>
      <c r="F413" s="112">
        <f>AG410</f>
        <v>0</v>
      </c>
      <c r="G413" s="103">
        <f>O410</f>
        <v>0</v>
      </c>
      <c r="H413" s="103">
        <f>AD410</f>
        <v>1</v>
      </c>
      <c r="I413" s="103">
        <f>D410</f>
        <v>0</v>
      </c>
      <c r="J413" s="103">
        <f>T410</f>
        <v>1</v>
      </c>
      <c r="K413" s="103">
        <f>Z410</f>
        <v>1</v>
      </c>
      <c r="L413" s="103">
        <f>R410</f>
        <v>1</v>
      </c>
      <c r="M413" s="103">
        <f>AF410</f>
        <v>1</v>
      </c>
      <c r="N413" s="103">
        <f>H410</f>
        <v>0</v>
      </c>
      <c r="O413" s="103">
        <f>AB410</f>
        <v>1</v>
      </c>
      <c r="P413" s="103">
        <f>V410</f>
        <v>1</v>
      </c>
      <c r="Q413" s="103">
        <f>L410</f>
        <v>1</v>
      </c>
      <c r="R413" s="103">
        <f>C410</f>
        <v>1</v>
      </c>
      <c r="S413" s="103">
        <f>J410</f>
        <v>0</v>
      </c>
      <c r="T413" s="103">
        <f>P410</f>
        <v>0</v>
      </c>
      <c r="U413" s="103">
        <f>AA410</f>
        <v>1</v>
      </c>
      <c r="V413" s="103">
        <f>E410</f>
        <v>1</v>
      </c>
      <c r="W413" s="103">
        <f>F410</f>
        <v>1</v>
      </c>
      <c r="X413" s="103">
        <f>AE410</f>
        <v>0</v>
      </c>
      <c r="Y413" s="103">
        <f>M410</f>
        <v>1</v>
      </c>
      <c r="Z413" s="103">
        <f>U410</f>
        <v>1</v>
      </c>
      <c r="AA413" s="103">
        <f>AH410</f>
        <v>0</v>
      </c>
      <c r="AB413" s="103">
        <f>N410</f>
        <v>1</v>
      </c>
      <c r="AC413" s="103">
        <f>X410</f>
        <v>0</v>
      </c>
      <c r="AD413" s="103">
        <f>I410</f>
        <v>0</v>
      </c>
      <c r="AE413" s="103">
        <f>G410</f>
        <v>1</v>
      </c>
      <c r="AF413" s="103">
        <f>AC410</f>
        <v>0</v>
      </c>
      <c r="AG413" s="103">
        <f>Q410</f>
        <v>1</v>
      </c>
      <c r="AH413" s="103">
        <f>W410</f>
        <v>1</v>
      </c>
    </row>
    <row r="414" spans="1:55" ht="24.95" customHeight="1" x14ac:dyDescent="0.25">
      <c r="C414" s="130">
        <v>1</v>
      </c>
      <c r="D414" s="131">
        <v>2</v>
      </c>
      <c r="E414" s="130">
        <v>3</v>
      </c>
      <c r="F414" s="131">
        <v>4</v>
      </c>
      <c r="G414" s="130">
        <v>5</v>
      </c>
      <c r="H414" s="131">
        <v>6</v>
      </c>
      <c r="I414" s="130">
        <v>7</v>
      </c>
      <c r="J414" s="131">
        <v>8</v>
      </c>
      <c r="K414" s="130">
        <v>9</v>
      </c>
      <c r="L414" s="131">
        <v>10</v>
      </c>
      <c r="M414" s="130">
        <v>11</v>
      </c>
      <c r="N414" s="131">
        <v>12</v>
      </c>
      <c r="O414" s="130">
        <v>13</v>
      </c>
      <c r="P414" s="131">
        <v>14</v>
      </c>
      <c r="Q414" s="130">
        <v>15</v>
      </c>
      <c r="R414" s="131">
        <v>16</v>
      </c>
      <c r="S414" s="130">
        <v>17</v>
      </c>
      <c r="T414" s="131">
        <v>18</v>
      </c>
      <c r="U414" s="130">
        <v>19</v>
      </c>
      <c r="V414" s="131">
        <v>20</v>
      </c>
      <c r="W414" s="130">
        <v>21</v>
      </c>
      <c r="X414" s="131">
        <v>22</v>
      </c>
      <c r="Y414" s="130">
        <v>23</v>
      </c>
      <c r="Z414" s="131">
        <v>24</v>
      </c>
      <c r="AA414" s="130">
        <v>25</v>
      </c>
      <c r="AB414" s="131">
        <v>26</v>
      </c>
      <c r="AC414" s="130">
        <v>27</v>
      </c>
      <c r="AD414" s="131">
        <v>28</v>
      </c>
      <c r="AE414" s="130">
        <v>29</v>
      </c>
      <c r="AF414" s="131">
        <v>30</v>
      </c>
      <c r="AG414" s="130">
        <v>31</v>
      </c>
      <c r="AH414" s="131">
        <v>32</v>
      </c>
    </row>
    <row r="418" spans="1:51" ht="24.95" customHeight="1" x14ac:dyDescent="0.25">
      <c r="A418" s="114" t="s">
        <v>560</v>
      </c>
      <c r="B418" s="114"/>
      <c r="C418" s="114"/>
      <c r="D418" s="68">
        <v>1</v>
      </c>
      <c r="E418" s="68">
        <v>2</v>
      </c>
      <c r="F418" s="68">
        <v>3</v>
      </c>
      <c r="G418" s="68">
        <v>4</v>
      </c>
      <c r="H418" s="68">
        <v>5</v>
      </c>
      <c r="I418" s="68">
        <v>6</v>
      </c>
      <c r="J418" s="68">
        <v>7</v>
      </c>
      <c r="K418" s="68">
        <v>8</v>
      </c>
      <c r="L418" s="68">
        <v>9</v>
      </c>
      <c r="M418" s="68">
        <v>10</v>
      </c>
      <c r="N418" s="68">
        <v>11</v>
      </c>
      <c r="O418" s="68">
        <v>12</v>
      </c>
      <c r="P418" s="68">
        <v>13</v>
      </c>
      <c r="Q418" s="68">
        <v>14</v>
      </c>
      <c r="R418" s="68">
        <v>15</v>
      </c>
      <c r="S418" s="68">
        <v>16</v>
      </c>
      <c r="T418" s="68">
        <v>17</v>
      </c>
      <c r="U418" s="68">
        <v>18</v>
      </c>
      <c r="V418" s="68">
        <v>19</v>
      </c>
      <c r="W418" s="68">
        <v>20</v>
      </c>
      <c r="X418" s="68">
        <v>21</v>
      </c>
      <c r="Y418" s="68">
        <v>22</v>
      </c>
      <c r="Z418" s="68">
        <v>23</v>
      </c>
      <c r="AA418" s="68">
        <v>24</v>
      </c>
      <c r="AB418" s="68">
        <v>25</v>
      </c>
      <c r="AC418" s="68">
        <v>26</v>
      </c>
      <c r="AD418" s="68">
        <v>27</v>
      </c>
      <c r="AE418" s="68">
        <v>28</v>
      </c>
      <c r="AF418" s="68">
        <v>29</v>
      </c>
      <c r="AG418" s="68">
        <v>30</v>
      </c>
      <c r="AH418" s="68">
        <v>31</v>
      </c>
      <c r="AI418" s="68">
        <v>32</v>
      </c>
    </row>
    <row r="419" spans="1:51" ht="24.95" customHeight="1" x14ac:dyDescent="0.25">
      <c r="A419" s="64" t="s">
        <v>549</v>
      </c>
      <c r="D419" s="67">
        <f>C377</f>
        <v>0</v>
      </c>
      <c r="E419" s="68">
        <f t="shared" ref="E419" si="1136">D377</f>
        <v>0</v>
      </c>
      <c r="F419" s="68">
        <f t="shared" ref="F419" si="1137">E377</f>
        <v>0</v>
      </c>
      <c r="G419" s="68">
        <f t="shared" ref="G419" si="1138">F377</f>
        <v>1</v>
      </c>
      <c r="H419" s="68">
        <f t="shared" ref="H419" si="1139">G377</f>
        <v>1</v>
      </c>
      <c r="I419" s="68">
        <f t="shared" ref="I419" si="1140">H377</f>
        <v>0</v>
      </c>
      <c r="J419" s="68">
        <f t="shared" ref="J419" si="1141">I377</f>
        <v>1</v>
      </c>
      <c r="K419" s="68">
        <f t="shared" ref="K419" si="1142">J377</f>
        <v>0</v>
      </c>
      <c r="L419" s="68">
        <f t="shared" ref="L419" si="1143">K377</f>
        <v>0</v>
      </c>
      <c r="M419" s="68">
        <f t="shared" ref="M419" si="1144">L377</f>
        <v>1</v>
      </c>
      <c r="N419" s="68">
        <f t="shared" ref="N419" si="1145">M377</f>
        <v>1</v>
      </c>
      <c r="O419" s="68">
        <f t="shared" ref="O419" si="1146">N377</f>
        <v>0</v>
      </c>
      <c r="P419" s="68">
        <f t="shared" ref="P419" si="1147">O377</f>
        <v>0</v>
      </c>
      <c r="Q419" s="68">
        <f t="shared" ref="Q419" si="1148">P377</f>
        <v>1</v>
      </c>
      <c r="R419" s="68">
        <f t="shared" ref="R419" si="1149">Q377</f>
        <v>0</v>
      </c>
      <c r="S419" s="68">
        <f t="shared" ref="S419" si="1150">R377</f>
        <v>1</v>
      </c>
      <c r="T419" s="68">
        <f t="shared" ref="T419" si="1151">S377</f>
        <v>1</v>
      </c>
      <c r="U419" s="68">
        <f t="shared" ref="U419" si="1152">T377</f>
        <v>0</v>
      </c>
      <c r="V419" s="68">
        <f t="shared" ref="V419" si="1153">U377</f>
        <v>0</v>
      </c>
      <c r="W419" s="68">
        <f t="shared" ref="W419" si="1154">V377</f>
        <v>0</v>
      </c>
      <c r="X419" s="68">
        <f t="shared" ref="X419" si="1155">W377</f>
        <v>0</v>
      </c>
      <c r="Y419" s="68">
        <f t="shared" ref="Y419" si="1156">X377</f>
        <v>1</v>
      </c>
      <c r="Z419" s="68">
        <f t="shared" ref="Z419" si="1157">Y377</f>
        <v>0</v>
      </c>
      <c r="AA419" s="68">
        <f t="shared" ref="AA419" si="1158">Z377</f>
        <v>0</v>
      </c>
      <c r="AB419" s="68">
        <f t="shared" ref="AB419" si="1159">AA377</f>
        <v>0</v>
      </c>
      <c r="AC419" s="68">
        <f t="shared" ref="AC419" si="1160">AB377</f>
        <v>0</v>
      </c>
      <c r="AD419" s="68">
        <f t="shared" ref="AD419" si="1161">AC377</f>
        <v>1</v>
      </c>
      <c r="AE419" s="68">
        <f t="shared" ref="AE419" si="1162">AD377</f>
        <v>0</v>
      </c>
      <c r="AF419" s="68">
        <f t="shared" ref="AF419" si="1163">AE377</f>
        <v>1</v>
      </c>
      <c r="AG419" s="68">
        <f t="shared" ref="AG419" si="1164">AF377</f>
        <v>0</v>
      </c>
      <c r="AH419" s="68">
        <f t="shared" ref="AH419" si="1165">AG377</f>
        <v>0</v>
      </c>
      <c r="AI419" s="68">
        <f t="shared" ref="AI419" si="1166">AH377</f>
        <v>1</v>
      </c>
    </row>
    <row r="421" spans="1:51" ht="24.95" customHeight="1" x14ac:dyDescent="0.25">
      <c r="A421" s="114" t="s">
        <v>561</v>
      </c>
      <c r="B421" s="114"/>
      <c r="C421" s="114"/>
      <c r="D421" s="70">
        <v>1</v>
      </c>
      <c r="E421" s="70">
        <v>2</v>
      </c>
      <c r="F421" s="70">
        <v>3</v>
      </c>
      <c r="G421" s="70">
        <v>4</v>
      </c>
      <c r="H421" s="70">
        <v>5</v>
      </c>
      <c r="I421" s="70">
        <v>6</v>
      </c>
      <c r="J421" s="70">
        <v>7</v>
      </c>
      <c r="K421" s="70">
        <v>8</v>
      </c>
      <c r="L421" s="70">
        <v>9</v>
      </c>
      <c r="M421" s="70">
        <v>10</v>
      </c>
      <c r="N421" s="70">
        <v>11</v>
      </c>
      <c r="O421" s="70">
        <v>12</v>
      </c>
      <c r="P421" s="70">
        <v>13</v>
      </c>
      <c r="Q421" s="70">
        <v>14</v>
      </c>
      <c r="R421" s="70">
        <v>15</v>
      </c>
      <c r="S421" s="70">
        <v>16</v>
      </c>
      <c r="T421" s="70">
        <v>17</v>
      </c>
      <c r="U421" s="70">
        <v>18</v>
      </c>
      <c r="V421" s="70">
        <v>19</v>
      </c>
      <c r="W421" s="70">
        <v>20</v>
      </c>
      <c r="X421" s="70">
        <v>21</v>
      </c>
      <c r="Y421" s="70">
        <v>22</v>
      </c>
      <c r="Z421" s="70">
        <v>23</v>
      </c>
      <c r="AA421" s="70">
        <v>24</v>
      </c>
      <c r="AB421" s="70">
        <v>25</v>
      </c>
      <c r="AC421" s="70">
        <v>26</v>
      </c>
      <c r="AD421" s="70">
        <v>27</v>
      </c>
      <c r="AE421" s="70">
        <v>28</v>
      </c>
      <c r="AF421" s="70">
        <v>29</v>
      </c>
      <c r="AG421" s="70">
        <v>30</v>
      </c>
      <c r="AH421" s="70">
        <v>31</v>
      </c>
      <c r="AI421" s="70">
        <v>32</v>
      </c>
    </row>
    <row r="422" spans="1:51" ht="24.95" customHeight="1" x14ac:dyDescent="0.25">
      <c r="A422" s="64" t="s">
        <v>551</v>
      </c>
      <c r="D422" s="70">
        <f>--_xlfn.XOR(C413,D370)</f>
        <v>1</v>
      </c>
      <c r="E422" s="70">
        <f t="shared" ref="E422:AI422" si="1167">--_xlfn.XOR(D413,E370)</f>
        <v>0</v>
      </c>
      <c r="F422" s="70">
        <f t="shared" si="1167"/>
        <v>0</v>
      </c>
      <c r="G422" s="70">
        <f t="shared" si="1167"/>
        <v>0</v>
      </c>
      <c r="H422" s="70">
        <f t="shared" si="1167"/>
        <v>0</v>
      </c>
      <c r="I422" s="70">
        <f t="shared" si="1167"/>
        <v>1</v>
      </c>
      <c r="J422" s="70">
        <f t="shared" si="1167"/>
        <v>1</v>
      </c>
      <c r="K422" s="70">
        <f t="shared" si="1167"/>
        <v>0</v>
      </c>
      <c r="L422" s="70">
        <f t="shared" si="1167"/>
        <v>0</v>
      </c>
      <c r="M422" s="70">
        <f t="shared" si="1167"/>
        <v>1</v>
      </c>
      <c r="N422" s="70">
        <f t="shared" si="1167"/>
        <v>1</v>
      </c>
      <c r="O422" s="70">
        <f t="shared" si="1167"/>
        <v>1</v>
      </c>
      <c r="P422" s="70">
        <f t="shared" si="1167"/>
        <v>1</v>
      </c>
      <c r="Q422" s="70">
        <f t="shared" si="1167"/>
        <v>1</v>
      </c>
      <c r="R422" s="70">
        <f t="shared" si="1167"/>
        <v>0</v>
      </c>
      <c r="S422" s="70">
        <f t="shared" si="1167"/>
        <v>1</v>
      </c>
      <c r="T422" s="70">
        <f t="shared" si="1167"/>
        <v>0</v>
      </c>
      <c r="U422" s="70">
        <f t="shared" si="1167"/>
        <v>1</v>
      </c>
      <c r="V422" s="70">
        <f t="shared" si="1167"/>
        <v>1</v>
      </c>
      <c r="W422" s="70">
        <f t="shared" si="1167"/>
        <v>0</v>
      </c>
      <c r="X422" s="70">
        <f t="shared" si="1167"/>
        <v>1</v>
      </c>
      <c r="Y422" s="70">
        <f t="shared" si="1167"/>
        <v>1</v>
      </c>
      <c r="Z422" s="70">
        <f t="shared" si="1167"/>
        <v>1</v>
      </c>
      <c r="AA422" s="70">
        <f t="shared" si="1167"/>
        <v>0</v>
      </c>
      <c r="AB422" s="70">
        <f t="shared" si="1167"/>
        <v>1</v>
      </c>
      <c r="AC422" s="70">
        <f t="shared" si="1167"/>
        <v>1</v>
      </c>
      <c r="AD422" s="70">
        <f t="shared" si="1167"/>
        <v>1</v>
      </c>
      <c r="AE422" s="70">
        <f t="shared" si="1167"/>
        <v>0</v>
      </c>
      <c r="AF422" s="70">
        <f t="shared" si="1167"/>
        <v>0</v>
      </c>
      <c r="AG422" s="70">
        <f t="shared" si="1167"/>
        <v>0</v>
      </c>
      <c r="AH422" s="70">
        <f t="shared" si="1167"/>
        <v>0</v>
      </c>
      <c r="AI422" s="70">
        <f t="shared" si="1167"/>
        <v>1</v>
      </c>
    </row>
    <row r="423" spans="1:51" ht="24.95" customHeight="1" x14ac:dyDescent="0.25">
      <c r="A423" s="132" t="s">
        <v>609</v>
      </c>
    </row>
    <row r="424" spans="1:51" s="132" customFormat="1" ht="24.95" customHeight="1" x14ac:dyDescent="0.25">
      <c r="B424" s="133"/>
      <c r="C424" s="134"/>
    </row>
    <row r="425" spans="1:51" ht="24.95" customHeight="1" x14ac:dyDescent="0.25">
      <c r="B425" s="21"/>
      <c r="C425" s="70">
        <v>1</v>
      </c>
      <c r="D425" s="70">
        <v>2</v>
      </c>
      <c r="E425" s="70">
        <v>3</v>
      </c>
      <c r="F425" s="70">
        <v>4</v>
      </c>
      <c r="G425" s="70">
        <v>5</v>
      </c>
      <c r="H425" s="70">
        <v>6</v>
      </c>
      <c r="I425" s="70">
        <v>7</v>
      </c>
      <c r="J425" s="70">
        <v>8</v>
      </c>
      <c r="K425" s="70">
        <v>9</v>
      </c>
      <c r="L425" s="70">
        <v>10</v>
      </c>
      <c r="M425" s="70">
        <v>11</v>
      </c>
      <c r="N425" s="70">
        <v>12</v>
      </c>
      <c r="O425" s="70">
        <v>13</v>
      </c>
      <c r="P425" s="70">
        <v>14</v>
      </c>
      <c r="Q425" s="70">
        <v>15</v>
      </c>
      <c r="R425" s="70">
        <v>16</v>
      </c>
      <c r="S425" s="70">
        <v>17</v>
      </c>
      <c r="T425" s="70">
        <v>18</v>
      </c>
      <c r="U425" s="70">
        <v>19</v>
      </c>
      <c r="V425" s="70">
        <v>20</v>
      </c>
      <c r="W425" s="70">
        <v>21</v>
      </c>
      <c r="X425" s="70">
        <v>22</v>
      </c>
      <c r="Y425" s="70">
        <v>23</v>
      </c>
      <c r="Z425" s="70">
        <v>24</v>
      </c>
      <c r="AA425" s="70">
        <v>25</v>
      </c>
      <c r="AB425" s="70">
        <v>26</v>
      </c>
      <c r="AC425" s="70">
        <v>27</v>
      </c>
      <c r="AD425" s="70">
        <v>28</v>
      </c>
      <c r="AE425" s="70">
        <v>29</v>
      </c>
      <c r="AF425" s="70">
        <v>30</v>
      </c>
      <c r="AG425" s="70">
        <v>31</v>
      </c>
      <c r="AH425" s="70">
        <v>32</v>
      </c>
    </row>
    <row r="426" spans="1:51" ht="24.95" customHeight="1" x14ac:dyDescent="0.25">
      <c r="A426" s="114" t="s">
        <v>561</v>
      </c>
      <c r="B426" s="114"/>
      <c r="C426" s="70">
        <f>D422</f>
        <v>1</v>
      </c>
      <c r="D426" s="70">
        <f t="shared" ref="D426:AH426" si="1168">E422</f>
        <v>0</v>
      </c>
      <c r="E426" s="70">
        <f t="shared" si="1168"/>
        <v>0</v>
      </c>
      <c r="F426" s="70">
        <f t="shared" si="1168"/>
        <v>0</v>
      </c>
      <c r="G426" s="70">
        <f t="shared" si="1168"/>
        <v>0</v>
      </c>
      <c r="H426" s="70">
        <f t="shared" si="1168"/>
        <v>1</v>
      </c>
      <c r="I426" s="70">
        <f t="shared" si="1168"/>
        <v>1</v>
      </c>
      <c r="J426" s="70">
        <f t="shared" si="1168"/>
        <v>0</v>
      </c>
      <c r="K426" s="70">
        <f t="shared" si="1168"/>
        <v>0</v>
      </c>
      <c r="L426" s="70">
        <f t="shared" si="1168"/>
        <v>1</v>
      </c>
      <c r="M426" s="70">
        <f t="shared" si="1168"/>
        <v>1</v>
      </c>
      <c r="N426" s="70">
        <f t="shared" si="1168"/>
        <v>1</v>
      </c>
      <c r="O426" s="70">
        <f t="shared" si="1168"/>
        <v>1</v>
      </c>
      <c r="P426" s="70">
        <f t="shared" si="1168"/>
        <v>1</v>
      </c>
      <c r="Q426" s="70">
        <f t="shared" si="1168"/>
        <v>0</v>
      </c>
      <c r="R426" s="70">
        <f t="shared" si="1168"/>
        <v>1</v>
      </c>
      <c r="S426" s="70">
        <f t="shared" si="1168"/>
        <v>0</v>
      </c>
      <c r="T426" s="70">
        <f t="shared" si="1168"/>
        <v>1</v>
      </c>
      <c r="U426" s="70">
        <f t="shared" si="1168"/>
        <v>1</v>
      </c>
      <c r="V426" s="70">
        <f t="shared" si="1168"/>
        <v>0</v>
      </c>
      <c r="W426" s="70">
        <f t="shared" si="1168"/>
        <v>1</v>
      </c>
      <c r="X426" s="70">
        <f t="shared" si="1168"/>
        <v>1</v>
      </c>
      <c r="Y426" s="70">
        <f t="shared" si="1168"/>
        <v>1</v>
      </c>
      <c r="Z426" s="70">
        <f t="shared" si="1168"/>
        <v>0</v>
      </c>
      <c r="AA426" s="70">
        <f t="shared" si="1168"/>
        <v>1</v>
      </c>
      <c r="AB426" s="70">
        <f t="shared" si="1168"/>
        <v>1</v>
      </c>
      <c r="AC426" s="70">
        <f t="shared" si="1168"/>
        <v>1</v>
      </c>
      <c r="AD426" s="70">
        <f t="shared" si="1168"/>
        <v>0</v>
      </c>
      <c r="AE426" s="70">
        <f t="shared" si="1168"/>
        <v>0</v>
      </c>
      <c r="AF426" s="70">
        <f t="shared" si="1168"/>
        <v>0</v>
      </c>
      <c r="AG426" s="70">
        <f t="shared" si="1168"/>
        <v>0</v>
      </c>
      <c r="AH426" s="70">
        <f t="shared" si="1168"/>
        <v>1</v>
      </c>
      <c r="AI426" s="135"/>
    </row>
    <row r="428" spans="1:51" ht="24.95" customHeight="1" x14ac:dyDescent="0.25">
      <c r="A428" s="132"/>
      <c r="B428" s="133"/>
      <c r="C428" s="134"/>
      <c r="D428" s="132"/>
      <c r="E428" s="132"/>
      <c r="F428" s="132"/>
      <c r="G428" s="132"/>
      <c r="H428" s="132"/>
      <c r="I428" s="132"/>
      <c r="J428" s="132"/>
      <c r="K428" s="132"/>
      <c r="L428" s="132"/>
      <c r="M428" s="132"/>
      <c r="N428" s="132"/>
      <c r="O428" s="132"/>
      <c r="P428" s="132"/>
      <c r="Q428" s="132"/>
      <c r="R428" s="132"/>
      <c r="S428" s="132"/>
      <c r="T428" s="132"/>
      <c r="U428" s="132"/>
      <c r="V428" s="132"/>
      <c r="W428" s="132"/>
      <c r="X428" s="132"/>
      <c r="Y428" s="132"/>
      <c r="Z428" s="132"/>
      <c r="AA428" s="132"/>
      <c r="AB428" s="132"/>
      <c r="AC428" s="132"/>
      <c r="AD428" s="132"/>
      <c r="AE428" s="132"/>
      <c r="AF428" s="132"/>
      <c r="AG428" s="132"/>
      <c r="AH428" s="132"/>
      <c r="AI428" s="132"/>
      <c r="AJ428" s="132"/>
      <c r="AK428" s="132"/>
      <c r="AL428" s="132"/>
      <c r="AM428" s="132"/>
      <c r="AN428" s="132"/>
      <c r="AO428" s="132"/>
      <c r="AP428" s="132"/>
      <c r="AQ428" s="132"/>
      <c r="AR428" s="132"/>
      <c r="AS428" s="132"/>
      <c r="AT428" s="132"/>
      <c r="AU428" s="132"/>
      <c r="AV428" s="132"/>
      <c r="AW428" s="132"/>
      <c r="AX428" s="132"/>
      <c r="AY428" s="132"/>
    </row>
    <row r="430" spans="1:51" ht="24.95" customHeight="1" x14ac:dyDescent="0.25">
      <c r="A430" s="118" t="s">
        <v>532</v>
      </c>
      <c r="B430" s="118"/>
      <c r="C430" s="75">
        <v>32</v>
      </c>
      <c r="D430" s="74">
        <v>1</v>
      </c>
      <c r="E430" s="74">
        <v>2</v>
      </c>
      <c r="F430" s="74">
        <v>3</v>
      </c>
      <c r="G430" s="74">
        <v>4</v>
      </c>
      <c r="H430" s="73">
        <v>5</v>
      </c>
      <c r="I430" s="122"/>
      <c r="J430" s="118">
        <f>AH426</f>
        <v>1</v>
      </c>
      <c r="K430" s="118">
        <f>C426</f>
        <v>1</v>
      </c>
      <c r="L430" s="118">
        <f>D426</f>
        <v>0</v>
      </c>
      <c r="M430" s="118">
        <f>E426</f>
        <v>0</v>
      </c>
      <c r="N430" s="69">
        <f>F426</f>
        <v>0</v>
      </c>
      <c r="O430" s="119">
        <f>G426</f>
        <v>0</v>
      </c>
      <c r="P430" s="122"/>
    </row>
    <row r="431" spans="1:51" ht="24.95" customHeight="1" x14ac:dyDescent="0.25">
      <c r="C431" s="75">
        <v>4</v>
      </c>
      <c r="D431" s="74">
        <v>5</v>
      </c>
      <c r="E431" s="74">
        <v>6</v>
      </c>
      <c r="F431" s="74">
        <v>7</v>
      </c>
      <c r="G431" s="74">
        <v>8</v>
      </c>
      <c r="H431" s="73">
        <v>9</v>
      </c>
      <c r="I431" s="122"/>
      <c r="J431" s="118">
        <f t="shared" ref="J431" si="1169">F426</f>
        <v>0</v>
      </c>
      <c r="K431" s="69">
        <f t="shared" ref="K431" si="1170">G426</f>
        <v>0</v>
      </c>
      <c r="L431" s="69">
        <f t="shared" ref="L431" si="1171">H426</f>
        <v>1</v>
      </c>
      <c r="M431" s="69">
        <f t="shared" ref="M431" si="1172">I426</f>
        <v>1</v>
      </c>
      <c r="N431" s="69">
        <f t="shared" ref="N431" si="1173">J426</f>
        <v>0</v>
      </c>
      <c r="O431" s="119">
        <f t="shared" ref="O431" si="1174">K426</f>
        <v>0</v>
      </c>
      <c r="P431" s="122"/>
    </row>
    <row r="432" spans="1:51" ht="24.95" customHeight="1" x14ac:dyDescent="0.25">
      <c r="C432" s="75">
        <v>8</v>
      </c>
      <c r="D432" s="74">
        <v>9</v>
      </c>
      <c r="E432" s="74">
        <v>10</v>
      </c>
      <c r="F432" s="74">
        <v>11</v>
      </c>
      <c r="G432" s="74">
        <v>12</v>
      </c>
      <c r="H432" s="73">
        <v>13</v>
      </c>
      <c r="I432" s="123"/>
      <c r="J432" s="120">
        <f t="shared" ref="J432:O432" si="1175">J426</f>
        <v>0</v>
      </c>
      <c r="K432" s="69">
        <f t="shared" si="1175"/>
        <v>0</v>
      </c>
      <c r="L432" s="69">
        <f t="shared" si="1175"/>
        <v>1</v>
      </c>
      <c r="M432" s="69">
        <f t="shared" si="1175"/>
        <v>1</v>
      </c>
      <c r="N432" s="69">
        <f t="shared" si="1175"/>
        <v>1</v>
      </c>
      <c r="O432" s="119">
        <f t="shared" si="1175"/>
        <v>1</v>
      </c>
      <c r="P432" s="123"/>
    </row>
    <row r="433" spans="1:50" ht="24.95" customHeight="1" x14ac:dyDescent="0.25">
      <c r="C433" s="75">
        <v>12</v>
      </c>
      <c r="D433" s="74">
        <v>13</v>
      </c>
      <c r="E433" s="74">
        <v>14</v>
      </c>
      <c r="F433" s="74">
        <v>15</v>
      </c>
      <c r="G433" s="74">
        <v>16</v>
      </c>
      <c r="H433" s="73">
        <v>17</v>
      </c>
      <c r="I433" s="122"/>
      <c r="J433" s="118">
        <f t="shared" ref="J433" si="1176">N426</f>
        <v>1</v>
      </c>
      <c r="K433" s="69">
        <f t="shared" ref="K433" si="1177">O426</f>
        <v>1</v>
      </c>
      <c r="L433" s="69">
        <f t="shared" ref="L433" si="1178">P426</f>
        <v>1</v>
      </c>
      <c r="M433" s="69">
        <f t="shared" ref="M433" si="1179">Q426</f>
        <v>0</v>
      </c>
      <c r="N433" s="69">
        <f t="shared" ref="N433" si="1180">R426</f>
        <v>1</v>
      </c>
      <c r="O433" s="119">
        <f t="shared" ref="O433" si="1181">S426</f>
        <v>0</v>
      </c>
      <c r="P433" s="122"/>
    </row>
    <row r="434" spans="1:50" ht="24.95" customHeight="1" x14ac:dyDescent="0.25">
      <c r="C434" s="75">
        <v>16</v>
      </c>
      <c r="D434" s="74">
        <v>17</v>
      </c>
      <c r="E434" s="74">
        <v>18</v>
      </c>
      <c r="F434" s="74">
        <v>19</v>
      </c>
      <c r="G434" s="74">
        <v>20</v>
      </c>
      <c r="H434" s="73">
        <v>21</v>
      </c>
      <c r="I434" s="122"/>
      <c r="J434" s="118">
        <f t="shared" ref="J434" si="1182">R426</f>
        <v>1</v>
      </c>
      <c r="K434" s="69">
        <f t="shared" ref="K434" si="1183">S426</f>
        <v>0</v>
      </c>
      <c r="L434" s="69">
        <f t="shared" ref="L434" si="1184">T426</f>
        <v>1</v>
      </c>
      <c r="M434" s="69">
        <f t="shared" ref="M434" si="1185">U426</f>
        <v>1</v>
      </c>
      <c r="N434" s="69">
        <f t="shared" ref="N434" si="1186">V426</f>
        <v>0</v>
      </c>
      <c r="O434" s="119">
        <f t="shared" ref="O434" si="1187">W426</f>
        <v>1</v>
      </c>
      <c r="P434" s="122"/>
    </row>
    <row r="435" spans="1:50" ht="24.95" customHeight="1" x14ac:dyDescent="0.25">
      <c r="C435" s="75">
        <v>20</v>
      </c>
      <c r="D435" s="74">
        <v>21</v>
      </c>
      <c r="E435" s="74">
        <v>22</v>
      </c>
      <c r="F435" s="74">
        <v>23</v>
      </c>
      <c r="G435" s="74">
        <v>24</v>
      </c>
      <c r="H435" s="73">
        <v>25</v>
      </c>
      <c r="I435" s="122"/>
      <c r="J435" s="118">
        <f t="shared" ref="J435" si="1188">V426</f>
        <v>0</v>
      </c>
      <c r="K435" s="69">
        <f t="shared" ref="K435" si="1189">W426</f>
        <v>1</v>
      </c>
      <c r="L435" s="69">
        <f t="shared" ref="L435" si="1190">X426</f>
        <v>1</v>
      </c>
      <c r="M435" s="69">
        <f t="shared" ref="M435" si="1191">Y426</f>
        <v>1</v>
      </c>
      <c r="N435" s="69">
        <f t="shared" ref="N435" si="1192">Z426</f>
        <v>0</v>
      </c>
      <c r="O435" s="119">
        <f t="shared" ref="O435" si="1193">AA426</f>
        <v>1</v>
      </c>
      <c r="P435" s="122"/>
    </row>
    <row r="436" spans="1:50" ht="24.95" customHeight="1" x14ac:dyDescent="0.25">
      <c r="C436" s="75">
        <v>24</v>
      </c>
      <c r="D436" s="74">
        <v>25</v>
      </c>
      <c r="E436" s="74">
        <v>26</v>
      </c>
      <c r="F436" s="74">
        <v>27</v>
      </c>
      <c r="G436" s="74">
        <v>28</v>
      </c>
      <c r="H436" s="73">
        <v>29</v>
      </c>
      <c r="I436" s="122"/>
      <c r="J436" s="118">
        <f t="shared" ref="J436" si="1194">Z426</f>
        <v>0</v>
      </c>
      <c r="K436" s="69">
        <f t="shared" ref="K436" si="1195">AA426</f>
        <v>1</v>
      </c>
      <c r="L436" s="69">
        <f t="shared" ref="L436" si="1196">AB426</f>
        <v>1</v>
      </c>
      <c r="M436" s="69">
        <f t="shared" ref="M436" si="1197">AC426</f>
        <v>1</v>
      </c>
      <c r="N436" s="69">
        <f t="shared" ref="N436" si="1198">AD426</f>
        <v>0</v>
      </c>
      <c r="O436" s="119">
        <f t="shared" ref="O436" si="1199">AE426</f>
        <v>0</v>
      </c>
      <c r="P436" s="122"/>
    </row>
    <row r="437" spans="1:50" ht="24.95" customHeight="1" x14ac:dyDescent="0.25">
      <c r="C437" s="75">
        <v>28</v>
      </c>
      <c r="D437" s="74">
        <v>29</v>
      </c>
      <c r="E437" s="74">
        <v>30</v>
      </c>
      <c r="F437" s="74">
        <v>31</v>
      </c>
      <c r="G437" s="74">
        <v>32</v>
      </c>
      <c r="H437" s="73">
        <v>1</v>
      </c>
      <c r="I437" s="122"/>
      <c r="J437" s="70">
        <f>AD426</f>
        <v>0</v>
      </c>
      <c r="K437" s="71">
        <f>AE426</f>
        <v>0</v>
      </c>
      <c r="L437" s="71">
        <f>AF426</f>
        <v>0</v>
      </c>
      <c r="M437" s="71">
        <f>AG426</f>
        <v>0</v>
      </c>
      <c r="N437" s="71">
        <f>AH426</f>
        <v>1</v>
      </c>
      <c r="O437" s="121">
        <f>C426</f>
        <v>1</v>
      </c>
      <c r="P437" s="122"/>
    </row>
    <row r="440" spans="1:50" ht="24.95" customHeight="1" x14ac:dyDescent="0.25">
      <c r="A440" s="124" t="s">
        <v>533</v>
      </c>
      <c r="B440" s="124"/>
      <c r="C440" s="125">
        <v>1</v>
      </c>
      <c r="D440" s="126">
        <v>2</v>
      </c>
      <c r="E440" s="125">
        <v>3</v>
      </c>
      <c r="F440" s="126">
        <v>4</v>
      </c>
      <c r="G440" s="125">
        <v>5</v>
      </c>
      <c r="H440" s="126">
        <v>6</v>
      </c>
      <c r="I440" s="125">
        <v>7</v>
      </c>
      <c r="J440" s="126">
        <v>8</v>
      </c>
      <c r="K440" s="125">
        <v>9</v>
      </c>
      <c r="L440" s="126">
        <v>10</v>
      </c>
      <c r="M440" s="125">
        <v>11</v>
      </c>
      <c r="N440" s="126">
        <v>12</v>
      </c>
      <c r="O440" s="125">
        <v>13</v>
      </c>
      <c r="P440" s="126">
        <v>14</v>
      </c>
      <c r="Q440" s="125">
        <v>15</v>
      </c>
      <c r="R440" s="126">
        <v>16</v>
      </c>
      <c r="S440" s="125">
        <v>17</v>
      </c>
      <c r="T440" s="126">
        <v>18</v>
      </c>
      <c r="U440" s="125">
        <v>19</v>
      </c>
      <c r="V440" s="126">
        <v>20</v>
      </c>
      <c r="W440" s="125">
        <v>21</v>
      </c>
      <c r="X440" s="126">
        <v>22</v>
      </c>
      <c r="Y440" s="125">
        <v>23</v>
      </c>
      <c r="Z440" s="126">
        <v>24</v>
      </c>
      <c r="AA440" s="125">
        <v>25</v>
      </c>
      <c r="AB440" s="126">
        <v>26</v>
      </c>
      <c r="AC440" s="125">
        <v>27</v>
      </c>
      <c r="AD440" s="126">
        <v>28</v>
      </c>
      <c r="AE440" s="125">
        <v>29</v>
      </c>
      <c r="AF440" s="126">
        <v>30</v>
      </c>
      <c r="AG440" s="125">
        <v>31</v>
      </c>
      <c r="AH440" s="126">
        <v>32</v>
      </c>
      <c r="AI440" s="125">
        <v>33</v>
      </c>
      <c r="AJ440" s="126">
        <v>34</v>
      </c>
      <c r="AK440" s="125">
        <v>35</v>
      </c>
      <c r="AL440" s="126">
        <v>36</v>
      </c>
      <c r="AM440" s="125">
        <v>37</v>
      </c>
      <c r="AN440" s="126">
        <v>38</v>
      </c>
      <c r="AO440" s="125">
        <v>39</v>
      </c>
      <c r="AP440" s="126">
        <v>40</v>
      </c>
      <c r="AQ440" s="125">
        <v>41</v>
      </c>
      <c r="AR440" s="126">
        <v>42</v>
      </c>
      <c r="AS440" s="125">
        <v>43</v>
      </c>
      <c r="AT440" s="126">
        <v>44</v>
      </c>
      <c r="AU440" s="125">
        <v>45</v>
      </c>
      <c r="AV440" s="126">
        <v>46</v>
      </c>
      <c r="AW440" s="125">
        <v>47</v>
      </c>
      <c r="AX440" s="126">
        <v>48</v>
      </c>
    </row>
    <row r="441" spans="1:50" ht="24.95" customHeight="1" x14ac:dyDescent="0.25">
      <c r="C441" s="125">
        <f t="shared" ref="C441" si="1200">J430</f>
        <v>1</v>
      </c>
      <c r="D441" s="125">
        <f t="shared" ref="D441" si="1201">K430</f>
        <v>1</v>
      </c>
      <c r="E441" s="125">
        <f t="shared" ref="E441" si="1202">L430</f>
        <v>0</v>
      </c>
      <c r="F441" s="125">
        <f t="shared" ref="F441" si="1203">M430</f>
        <v>0</v>
      </c>
      <c r="G441" s="126">
        <f t="shared" ref="G441" si="1204">N430</f>
        <v>0</v>
      </c>
      <c r="H441" s="126">
        <f t="shared" ref="H441" si="1205">O430</f>
        <v>0</v>
      </c>
      <c r="I441" s="125">
        <f t="shared" ref="I441" si="1206">J431</f>
        <v>0</v>
      </c>
      <c r="J441" s="125">
        <f t="shared" ref="J441" si="1207">K431</f>
        <v>0</v>
      </c>
      <c r="K441" s="125">
        <f t="shared" ref="K441" si="1208">L431</f>
        <v>1</v>
      </c>
      <c r="L441" s="125">
        <f t="shared" ref="L441" si="1209">M431</f>
        <v>1</v>
      </c>
      <c r="M441" s="125">
        <f t="shared" ref="M441" si="1210">N431</f>
        <v>0</v>
      </c>
      <c r="N441" s="125">
        <f t="shared" ref="N441" si="1211">O431</f>
        <v>0</v>
      </c>
      <c r="O441" s="126">
        <f t="shared" ref="O441" si="1212">J432</f>
        <v>0</v>
      </c>
      <c r="P441" s="126">
        <f t="shared" ref="P441" si="1213">K432</f>
        <v>0</v>
      </c>
      <c r="Q441" s="126">
        <f t="shared" ref="Q441" si="1214">L432</f>
        <v>1</v>
      </c>
      <c r="R441" s="126">
        <f t="shared" ref="R441" si="1215">M432</f>
        <v>1</v>
      </c>
      <c r="S441" s="126">
        <f t="shared" ref="S441" si="1216">N432</f>
        <v>1</v>
      </c>
      <c r="T441" s="126">
        <f t="shared" ref="T441" si="1217">O432</f>
        <v>1</v>
      </c>
      <c r="U441" s="125">
        <f t="shared" ref="U441" si="1218">J433</f>
        <v>1</v>
      </c>
      <c r="V441" s="126">
        <f t="shared" ref="V441" si="1219">K433</f>
        <v>1</v>
      </c>
      <c r="W441" s="125">
        <f t="shared" ref="W441" si="1220">L433</f>
        <v>1</v>
      </c>
      <c r="X441" s="126">
        <f t="shared" ref="X441" si="1221">M433</f>
        <v>0</v>
      </c>
      <c r="Y441" s="125">
        <f t="shared" ref="Y441" si="1222">N433</f>
        <v>1</v>
      </c>
      <c r="Z441" s="126">
        <f t="shared" ref="Z441" si="1223">O433</f>
        <v>0</v>
      </c>
      <c r="AA441" s="125">
        <f t="shared" ref="AA441" si="1224">J434</f>
        <v>1</v>
      </c>
      <c r="AB441" s="126">
        <f t="shared" ref="AB441" si="1225">K434</f>
        <v>0</v>
      </c>
      <c r="AC441" s="125">
        <f t="shared" ref="AC441" si="1226">L434</f>
        <v>1</v>
      </c>
      <c r="AD441" s="126">
        <f t="shared" ref="AD441" si="1227">M434</f>
        <v>1</v>
      </c>
      <c r="AE441" s="125">
        <f t="shared" ref="AE441" si="1228">N434</f>
        <v>0</v>
      </c>
      <c r="AF441" s="126">
        <f t="shared" ref="AF441" si="1229">O434</f>
        <v>1</v>
      </c>
      <c r="AG441" s="125">
        <f t="shared" ref="AG441" si="1230">J435</f>
        <v>0</v>
      </c>
      <c r="AH441" s="126">
        <f t="shared" ref="AH441" si="1231">K435</f>
        <v>1</v>
      </c>
      <c r="AI441" s="125">
        <f t="shared" ref="AI441" si="1232">L435</f>
        <v>1</v>
      </c>
      <c r="AJ441" s="126">
        <f t="shared" ref="AJ441" si="1233">M435</f>
        <v>1</v>
      </c>
      <c r="AK441" s="125">
        <f t="shared" ref="AK441" si="1234">N435</f>
        <v>0</v>
      </c>
      <c r="AL441" s="126">
        <f t="shared" ref="AL441" si="1235">O435</f>
        <v>1</v>
      </c>
      <c r="AM441" s="125">
        <f t="shared" ref="AM441" si="1236">J436</f>
        <v>0</v>
      </c>
      <c r="AN441" s="126">
        <f t="shared" ref="AN441" si="1237">K436</f>
        <v>1</v>
      </c>
      <c r="AO441" s="125">
        <f t="shared" ref="AO441" si="1238">L436</f>
        <v>1</v>
      </c>
      <c r="AP441" s="126">
        <f t="shared" ref="AP441" si="1239">M436</f>
        <v>1</v>
      </c>
      <c r="AQ441" s="125">
        <f t="shared" ref="AQ441" si="1240">N436</f>
        <v>0</v>
      </c>
      <c r="AR441" s="126">
        <f t="shared" ref="AR441" si="1241">O436</f>
        <v>0</v>
      </c>
      <c r="AS441" s="125">
        <f t="shared" ref="AS441" si="1242">J437</f>
        <v>0</v>
      </c>
      <c r="AT441" s="126">
        <f t="shared" ref="AT441" si="1243">K437</f>
        <v>0</v>
      </c>
      <c r="AU441" s="125">
        <f t="shared" ref="AU441" si="1244">L437</f>
        <v>0</v>
      </c>
      <c r="AV441" s="126">
        <f t="shared" ref="AV441" si="1245">M437</f>
        <v>0</v>
      </c>
      <c r="AW441" s="125">
        <f t="shared" ref="AW441" si="1246">N437</f>
        <v>1</v>
      </c>
      <c r="AX441" s="126">
        <f t="shared" ref="AX441" si="1247">O437</f>
        <v>1</v>
      </c>
    </row>
    <row r="444" spans="1:50" ht="24.95" customHeight="1" x14ac:dyDescent="0.25">
      <c r="A444" s="127" t="s">
        <v>610</v>
      </c>
      <c r="B444" s="127"/>
      <c r="C444" s="77">
        <f>'Key Generator'!D339</f>
        <v>1</v>
      </c>
      <c r="D444" s="77">
        <f>'Key Generator'!E339</f>
        <v>2</v>
      </c>
      <c r="E444" s="77">
        <f>'Key Generator'!F339</f>
        <v>3</v>
      </c>
      <c r="F444" s="77">
        <f>'Key Generator'!G339</f>
        <v>4</v>
      </c>
      <c r="G444" s="77">
        <f>'Key Generator'!H339</f>
        <v>5</v>
      </c>
      <c r="H444" s="77">
        <f>'Key Generator'!I339</f>
        <v>6</v>
      </c>
      <c r="I444" s="77">
        <f>'Key Generator'!J339</f>
        <v>7</v>
      </c>
      <c r="J444" s="77">
        <f>'Key Generator'!K339</f>
        <v>8</v>
      </c>
      <c r="K444" s="77">
        <f>'Key Generator'!L339</f>
        <v>9</v>
      </c>
      <c r="L444" s="77">
        <f>'Key Generator'!M339</f>
        <v>10</v>
      </c>
      <c r="M444" s="77">
        <f>'Key Generator'!N339</f>
        <v>11</v>
      </c>
      <c r="N444" s="77">
        <f>'Key Generator'!O339</f>
        <v>12</v>
      </c>
      <c r="O444" s="77">
        <f>'Key Generator'!P339</f>
        <v>13</v>
      </c>
      <c r="P444" s="77">
        <f>'Key Generator'!Q339</f>
        <v>14</v>
      </c>
      <c r="Q444" s="77">
        <f>'Key Generator'!R339</f>
        <v>15</v>
      </c>
      <c r="R444" s="77">
        <f>'Key Generator'!S339</f>
        <v>16</v>
      </c>
      <c r="S444" s="77">
        <f>'Key Generator'!T339</f>
        <v>17</v>
      </c>
      <c r="T444" s="77">
        <f>'Key Generator'!U339</f>
        <v>18</v>
      </c>
      <c r="U444" s="77">
        <f>'Key Generator'!V339</f>
        <v>19</v>
      </c>
      <c r="V444" s="77">
        <f>'Key Generator'!W339</f>
        <v>20</v>
      </c>
      <c r="W444" s="77">
        <f>'Key Generator'!X339</f>
        <v>21</v>
      </c>
      <c r="X444" s="77">
        <f>'Key Generator'!Y339</f>
        <v>22</v>
      </c>
      <c r="Y444" s="77">
        <f>'Key Generator'!Z339</f>
        <v>23</v>
      </c>
      <c r="Z444" s="77">
        <f>'Key Generator'!AA339</f>
        <v>24</v>
      </c>
      <c r="AA444" s="77">
        <f>'Key Generator'!AB339</f>
        <v>25</v>
      </c>
      <c r="AB444" s="77">
        <f>'Key Generator'!AC339</f>
        <v>26</v>
      </c>
      <c r="AC444" s="77">
        <f>'Key Generator'!AD339</f>
        <v>27</v>
      </c>
      <c r="AD444" s="77">
        <f>'Key Generator'!AE339</f>
        <v>28</v>
      </c>
      <c r="AE444" s="77">
        <f>'Key Generator'!AF339</f>
        <v>29</v>
      </c>
      <c r="AF444" s="77">
        <f>'Key Generator'!AG339</f>
        <v>30</v>
      </c>
      <c r="AG444" s="77">
        <f>'Key Generator'!AH339</f>
        <v>31</v>
      </c>
      <c r="AH444" s="77">
        <f>'Key Generator'!AI339</f>
        <v>32</v>
      </c>
      <c r="AI444" s="77">
        <f>'Key Generator'!AJ339</f>
        <v>33</v>
      </c>
      <c r="AJ444" s="77">
        <f>'Key Generator'!AK339</f>
        <v>34</v>
      </c>
      <c r="AK444" s="77">
        <f>'Key Generator'!AL339</f>
        <v>35</v>
      </c>
      <c r="AL444" s="77">
        <f>'Key Generator'!AM339</f>
        <v>36</v>
      </c>
      <c r="AM444" s="77">
        <f>'Key Generator'!AN339</f>
        <v>37</v>
      </c>
      <c r="AN444" s="77">
        <f>'Key Generator'!AO339</f>
        <v>38</v>
      </c>
      <c r="AO444" s="77">
        <f>'Key Generator'!AP339</f>
        <v>39</v>
      </c>
      <c r="AP444" s="77">
        <f>'Key Generator'!AQ339</f>
        <v>40</v>
      </c>
      <c r="AQ444" s="77">
        <f>'Key Generator'!AR339</f>
        <v>41</v>
      </c>
      <c r="AR444" s="77">
        <f>'Key Generator'!AS339</f>
        <v>42</v>
      </c>
      <c r="AS444" s="77">
        <f>'Key Generator'!AT339</f>
        <v>43</v>
      </c>
      <c r="AT444" s="77">
        <f>'Key Generator'!AU339</f>
        <v>44</v>
      </c>
      <c r="AU444" s="77">
        <f>'Key Generator'!AV339</f>
        <v>45</v>
      </c>
      <c r="AV444" s="77">
        <f>'Key Generator'!AW339</f>
        <v>46</v>
      </c>
      <c r="AW444" s="77">
        <f>'Key Generator'!AX339</f>
        <v>47</v>
      </c>
      <c r="AX444" s="77">
        <f>'Key Generator'!AY339</f>
        <v>48</v>
      </c>
    </row>
    <row r="445" spans="1:50" ht="24.95" customHeight="1" x14ac:dyDescent="0.25">
      <c r="C445" s="77">
        <f>'Key Generator'!D340</f>
        <v>0</v>
      </c>
      <c r="D445" s="77">
        <f>'Key Generator'!E340</f>
        <v>0</v>
      </c>
      <c r="E445" s="77">
        <f>'Key Generator'!F340</f>
        <v>0</v>
      </c>
      <c r="F445" s="77">
        <f>'Key Generator'!G340</f>
        <v>1</v>
      </c>
      <c r="G445" s="77">
        <f>'Key Generator'!H340</f>
        <v>0</v>
      </c>
      <c r="H445" s="77">
        <f>'Key Generator'!I340</f>
        <v>1</v>
      </c>
      <c r="I445" s="77">
        <f>'Key Generator'!J340</f>
        <v>0</v>
      </c>
      <c r="J445" s="77">
        <f>'Key Generator'!K340</f>
        <v>0</v>
      </c>
      <c r="K445" s="77">
        <f>'Key Generator'!L340</f>
        <v>0</v>
      </c>
      <c r="L445" s="77">
        <f>'Key Generator'!M340</f>
        <v>0</v>
      </c>
      <c r="M445" s="77">
        <f>'Key Generator'!N340</f>
        <v>1</v>
      </c>
      <c r="N445" s="77">
        <f>'Key Generator'!O340</f>
        <v>0</v>
      </c>
      <c r="O445" s="77">
        <f>'Key Generator'!P340</f>
        <v>1</v>
      </c>
      <c r="P445" s="77">
        <f>'Key Generator'!Q340</f>
        <v>1</v>
      </c>
      <c r="Q445" s="77">
        <f>'Key Generator'!R340</f>
        <v>0</v>
      </c>
      <c r="R445" s="77">
        <f>'Key Generator'!S340</f>
        <v>0</v>
      </c>
      <c r="S445" s="77">
        <f>'Key Generator'!T340</f>
        <v>0</v>
      </c>
      <c r="T445" s="77">
        <f>'Key Generator'!U340</f>
        <v>0</v>
      </c>
      <c r="U445" s="77">
        <f>'Key Generator'!V340</f>
        <v>0</v>
      </c>
      <c r="V445" s="77">
        <f>'Key Generator'!W340</f>
        <v>0</v>
      </c>
      <c r="W445" s="77">
        <f>'Key Generator'!X340</f>
        <v>0</v>
      </c>
      <c r="X445" s="77">
        <f>'Key Generator'!Y340</f>
        <v>1</v>
      </c>
      <c r="Y445" s="77">
        <f>'Key Generator'!Z340</f>
        <v>1</v>
      </c>
      <c r="Z445" s="77">
        <f>'Key Generator'!AA340</f>
        <v>0</v>
      </c>
      <c r="AA445" s="77">
        <f>'Key Generator'!AB340</f>
        <v>1</v>
      </c>
      <c r="AB445" s="77">
        <f>'Key Generator'!AC340</f>
        <v>0</v>
      </c>
      <c r="AC445" s="77">
        <f>'Key Generator'!AD340</f>
        <v>0</v>
      </c>
      <c r="AD445" s="77">
        <f>'Key Generator'!AE340</f>
        <v>1</v>
      </c>
      <c r="AE445" s="77">
        <f>'Key Generator'!AF340</f>
        <v>1</v>
      </c>
      <c r="AF445" s="77">
        <f>'Key Generator'!AG340</f>
        <v>0</v>
      </c>
      <c r="AG445" s="77">
        <f>'Key Generator'!AH340</f>
        <v>1</v>
      </c>
      <c r="AH445" s="77">
        <f>'Key Generator'!AI340</f>
        <v>0</v>
      </c>
      <c r="AI445" s="77">
        <f>'Key Generator'!AJ340</f>
        <v>1</v>
      </c>
      <c r="AJ445" s="77">
        <f>'Key Generator'!AK340</f>
        <v>1</v>
      </c>
      <c r="AK445" s="77">
        <f>'Key Generator'!AL340</f>
        <v>0</v>
      </c>
      <c r="AL445" s="77">
        <f>'Key Generator'!AM340</f>
        <v>0</v>
      </c>
      <c r="AM445" s="77">
        <f>'Key Generator'!AN340</f>
        <v>1</v>
      </c>
      <c r="AN445" s="77">
        <f>'Key Generator'!AO340</f>
        <v>0</v>
      </c>
      <c r="AO445" s="77">
        <f>'Key Generator'!AP340</f>
        <v>1</v>
      </c>
      <c r="AP445" s="77">
        <f>'Key Generator'!AQ340</f>
        <v>0</v>
      </c>
      <c r="AQ445" s="77">
        <f>'Key Generator'!AR340</f>
        <v>0</v>
      </c>
      <c r="AR445" s="77">
        <f>'Key Generator'!AS340</f>
        <v>1</v>
      </c>
      <c r="AS445" s="77">
        <f>'Key Generator'!AT340</f>
        <v>0</v>
      </c>
      <c r="AT445" s="77">
        <f>'Key Generator'!AU340</f>
        <v>1</v>
      </c>
      <c r="AU445" s="77">
        <f>'Key Generator'!AV340</f>
        <v>1</v>
      </c>
      <c r="AV445" s="77">
        <f>'Key Generator'!AW340</f>
        <v>0</v>
      </c>
      <c r="AW445" s="77">
        <f>'Key Generator'!AX340</f>
        <v>1</v>
      </c>
      <c r="AX445" s="77">
        <f>'Key Generator'!AY340</f>
        <v>1</v>
      </c>
    </row>
    <row r="448" spans="1:50" ht="24.95" customHeight="1" x14ac:dyDescent="0.25">
      <c r="A448" s="128" t="s">
        <v>535</v>
      </c>
      <c r="B448" s="129"/>
      <c r="C448" s="79">
        <v>1</v>
      </c>
      <c r="D448" s="80">
        <v>2</v>
      </c>
      <c r="E448" s="79">
        <v>3</v>
      </c>
      <c r="F448" s="80">
        <v>4</v>
      </c>
      <c r="G448" s="79">
        <v>5</v>
      </c>
      <c r="H448" s="80">
        <v>6</v>
      </c>
      <c r="I448" s="79">
        <v>7</v>
      </c>
      <c r="J448" s="80">
        <v>8</v>
      </c>
      <c r="K448" s="79">
        <v>9</v>
      </c>
      <c r="L448" s="80">
        <v>10</v>
      </c>
      <c r="M448" s="79">
        <v>11</v>
      </c>
      <c r="N448" s="80">
        <v>12</v>
      </c>
      <c r="O448" s="79">
        <v>13</v>
      </c>
      <c r="P448" s="80">
        <v>14</v>
      </c>
      <c r="Q448" s="79">
        <v>15</v>
      </c>
      <c r="R448" s="80">
        <v>16</v>
      </c>
      <c r="S448" s="79">
        <v>17</v>
      </c>
      <c r="T448" s="80">
        <v>18</v>
      </c>
      <c r="U448" s="79">
        <v>19</v>
      </c>
      <c r="V448" s="80">
        <v>20</v>
      </c>
      <c r="W448" s="79">
        <v>21</v>
      </c>
      <c r="X448" s="80">
        <v>22</v>
      </c>
      <c r="Y448" s="79">
        <v>23</v>
      </c>
      <c r="Z448" s="80">
        <v>24</v>
      </c>
      <c r="AA448" s="79">
        <v>25</v>
      </c>
      <c r="AB448" s="80">
        <v>26</v>
      </c>
      <c r="AC448" s="79">
        <v>27</v>
      </c>
      <c r="AD448" s="80">
        <v>28</v>
      </c>
      <c r="AE448" s="79">
        <v>29</v>
      </c>
      <c r="AF448" s="80">
        <v>30</v>
      </c>
      <c r="AG448" s="79">
        <v>31</v>
      </c>
      <c r="AH448" s="80">
        <v>32</v>
      </c>
      <c r="AI448" s="79">
        <v>33</v>
      </c>
      <c r="AJ448" s="80">
        <v>34</v>
      </c>
      <c r="AK448" s="79">
        <v>35</v>
      </c>
      <c r="AL448" s="80">
        <v>36</v>
      </c>
      <c r="AM448" s="79">
        <v>37</v>
      </c>
      <c r="AN448" s="80">
        <v>38</v>
      </c>
      <c r="AO448" s="79">
        <v>39</v>
      </c>
      <c r="AP448" s="80">
        <v>40</v>
      </c>
      <c r="AQ448" s="79">
        <v>41</v>
      </c>
      <c r="AR448" s="80">
        <v>42</v>
      </c>
      <c r="AS448" s="79">
        <v>43</v>
      </c>
      <c r="AT448" s="80">
        <v>44</v>
      </c>
      <c r="AU448" s="79">
        <v>45</v>
      </c>
      <c r="AV448" s="80">
        <v>46</v>
      </c>
      <c r="AW448" s="79">
        <v>47</v>
      </c>
      <c r="AX448" s="80">
        <v>48</v>
      </c>
    </row>
    <row r="449" spans="1:55" ht="24.95" customHeight="1" x14ac:dyDescent="0.25">
      <c r="C449" s="88">
        <f>--_xlfn.XOR(C441,'Key Generator'!D340)</f>
        <v>1</v>
      </c>
      <c r="D449" s="88">
        <f>--_xlfn.XOR(D441,'Key Generator'!E340)</f>
        <v>1</v>
      </c>
      <c r="E449" s="88">
        <f>--_xlfn.XOR(E441,'Key Generator'!F340)</f>
        <v>0</v>
      </c>
      <c r="F449" s="88">
        <f>--_xlfn.XOR(F441,'Key Generator'!G340)</f>
        <v>1</v>
      </c>
      <c r="G449" s="88">
        <f>--_xlfn.XOR(G441,'Key Generator'!H340)</f>
        <v>0</v>
      </c>
      <c r="H449" s="88">
        <f>--_xlfn.XOR(H441,'Key Generator'!I340)</f>
        <v>1</v>
      </c>
      <c r="I449" s="87">
        <f>--_xlfn.XOR(I441,'Key Generator'!J340)</f>
        <v>0</v>
      </c>
      <c r="J449" s="87">
        <f>--_xlfn.XOR(J441,'Key Generator'!K340)</f>
        <v>0</v>
      </c>
      <c r="K449" s="87">
        <f>--_xlfn.XOR(K441,'Key Generator'!L340)</f>
        <v>1</v>
      </c>
      <c r="L449" s="87">
        <f>--_xlfn.XOR(L441,'Key Generator'!M340)</f>
        <v>1</v>
      </c>
      <c r="M449" s="87">
        <f>--_xlfn.XOR(M441,'Key Generator'!N340)</f>
        <v>1</v>
      </c>
      <c r="N449" s="87">
        <f>--_xlfn.XOR(N441,'Key Generator'!O340)</f>
        <v>0</v>
      </c>
      <c r="O449" s="89">
        <f>--_xlfn.XOR(O441,'Key Generator'!P340)</f>
        <v>1</v>
      </c>
      <c r="P449" s="89">
        <f>--_xlfn.XOR(P441,'Key Generator'!Q340)</f>
        <v>1</v>
      </c>
      <c r="Q449" s="89">
        <f>--_xlfn.XOR(Q441,'Key Generator'!R340)</f>
        <v>1</v>
      </c>
      <c r="R449" s="89">
        <f>--_xlfn.XOR(R441,'Key Generator'!S340)</f>
        <v>1</v>
      </c>
      <c r="S449" s="89">
        <f>--_xlfn.XOR(S441,'Key Generator'!T340)</f>
        <v>1</v>
      </c>
      <c r="T449" s="89">
        <f>--_xlfn.XOR(T441,'Key Generator'!U340)</f>
        <v>1</v>
      </c>
      <c r="U449" s="90">
        <f>--_xlfn.XOR(U441,'Key Generator'!V340)</f>
        <v>1</v>
      </c>
      <c r="V449" s="90">
        <f>--_xlfn.XOR(V441,'Key Generator'!W340)</f>
        <v>1</v>
      </c>
      <c r="W449" s="90">
        <f>--_xlfn.XOR(W441,'Key Generator'!X340)</f>
        <v>1</v>
      </c>
      <c r="X449" s="90">
        <f>--_xlfn.XOR(X441,'Key Generator'!Y340)</f>
        <v>1</v>
      </c>
      <c r="Y449" s="90">
        <f>--_xlfn.XOR(Y441,'Key Generator'!Z340)</f>
        <v>0</v>
      </c>
      <c r="Z449" s="90">
        <f>--_xlfn.XOR(Z441,'Key Generator'!AA340)</f>
        <v>0</v>
      </c>
      <c r="AA449" s="91">
        <f>--_xlfn.XOR(AA441,'Key Generator'!AB340)</f>
        <v>0</v>
      </c>
      <c r="AB449" s="91">
        <f>--_xlfn.XOR(AB441,'Key Generator'!AC340)</f>
        <v>0</v>
      </c>
      <c r="AC449" s="91">
        <f>--_xlfn.XOR(AC441,'Key Generator'!AD340)</f>
        <v>1</v>
      </c>
      <c r="AD449" s="91">
        <f>--_xlfn.XOR(AD441,'Key Generator'!AE340)</f>
        <v>0</v>
      </c>
      <c r="AE449" s="91">
        <f>--_xlfn.XOR(AE441,'Key Generator'!AF340)</f>
        <v>1</v>
      </c>
      <c r="AF449" s="91">
        <f>--_xlfn.XOR(AF441,'Key Generator'!AG340)</f>
        <v>1</v>
      </c>
      <c r="AG449" s="92">
        <f>--_xlfn.XOR(AG441,'Key Generator'!AH340)</f>
        <v>1</v>
      </c>
      <c r="AH449" s="92">
        <f>--_xlfn.XOR(AH441,'Key Generator'!AI340)</f>
        <v>1</v>
      </c>
      <c r="AI449" s="92">
        <f>--_xlfn.XOR(AI441,'Key Generator'!AJ340)</f>
        <v>0</v>
      </c>
      <c r="AJ449" s="92">
        <f>--_xlfn.XOR(AJ441,'Key Generator'!AK340)</f>
        <v>0</v>
      </c>
      <c r="AK449" s="92">
        <f>--_xlfn.XOR(AK441,'Key Generator'!AL340)</f>
        <v>0</v>
      </c>
      <c r="AL449" s="92">
        <f>--_xlfn.XOR(AL441,'Key Generator'!AM340)</f>
        <v>1</v>
      </c>
      <c r="AM449" s="86">
        <f>--_xlfn.XOR(AM441,'Key Generator'!AN340)</f>
        <v>1</v>
      </c>
      <c r="AN449" s="86">
        <f>--_xlfn.XOR(AN441,'Key Generator'!AO340)</f>
        <v>1</v>
      </c>
      <c r="AO449" s="86">
        <f>--_xlfn.XOR(AO441,'Key Generator'!AP340)</f>
        <v>0</v>
      </c>
      <c r="AP449" s="86">
        <f>--_xlfn.XOR(AP441,'Key Generator'!AQ340)</f>
        <v>1</v>
      </c>
      <c r="AQ449" s="86">
        <f>--_xlfn.XOR(AQ441,'Key Generator'!AR340)</f>
        <v>0</v>
      </c>
      <c r="AR449" s="86">
        <f>--_xlfn.XOR(AR441,'Key Generator'!AS340)</f>
        <v>1</v>
      </c>
      <c r="AS449" s="81">
        <f>--_xlfn.XOR(AS441,'Key Generator'!AT340)</f>
        <v>0</v>
      </c>
      <c r="AT449" s="81">
        <f>--_xlfn.XOR(AT441,'Key Generator'!AU340)</f>
        <v>1</v>
      </c>
      <c r="AU449" s="81">
        <f>--_xlfn.XOR(AU441,'Key Generator'!AV340)</f>
        <v>1</v>
      </c>
      <c r="AV449" s="81">
        <f>--_xlfn.XOR(AV441,'Key Generator'!AW340)</f>
        <v>0</v>
      </c>
      <c r="AW449" s="81">
        <f>--_xlfn.XOR(AW441,'Key Generator'!AX340)</f>
        <v>0</v>
      </c>
      <c r="AX449" s="81">
        <f>--_xlfn.XOR(AX441,'Key Generator'!AY340)</f>
        <v>0</v>
      </c>
      <c r="AZ449" s="20"/>
      <c r="BA449" s="20"/>
      <c r="BB449" s="20"/>
      <c r="BC449" s="20"/>
    </row>
    <row r="450" spans="1:55" ht="24.95" customHeight="1" x14ac:dyDescent="0.25">
      <c r="C450" s="93"/>
      <c r="D450" s="94"/>
      <c r="E450" s="94"/>
      <c r="F450" s="94"/>
      <c r="G450" s="94"/>
      <c r="H450" s="94"/>
      <c r="AZ450" s="20"/>
      <c r="BA450" s="20"/>
      <c r="BB450" s="20"/>
      <c r="BC450" s="20"/>
    </row>
    <row r="451" spans="1:55" ht="24.95" customHeight="1" x14ac:dyDescent="0.25">
      <c r="A451" s="96" t="s">
        <v>545</v>
      </c>
      <c r="B451" s="97"/>
      <c r="C451" s="101">
        <f>D449*8+E449*4+F449*2+G449</f>
        <v>10</v>
      </c>
      <c r="D451" s="123" t="s">
        <v>536</v>
      </c>
      <c r="E451" s="97"/>
      <c r="F451" s="97"/>
      <c r="G451" s="97"/>
      <c r="H451" s="97"/>
      <c r="I451" s="101">
        <f>J449*8+K449*4+L449*2+M449</f>
        <v>7</v>
      </c>
      <c r="J451" s="122" t="s">
        <v>537</v>
      </c>
      <c r="K451" s="97"/>
      <c r="L451" s="97"/>
      <c r="M451" s="97"/>
      <c r="N451" s="97"/>
      <c r="O451" s="101">
        <f>P449*8+Q449*4+R449*2+S449</f>
        <v>15</v>
      </c>
      <c r="P451" s="122" t="s">
        <v>538</v>
      </c>
      <c r="Q451" s="97"/>
      <c r="R451" s="97"/>
      <c r="S451" s="97"/>
      <c r="T451" s="97"/>
      <c r="U451" s="101">
        <f>V449*8+W449*4+X449*2+Y449</f>
        <v>14</v>
      </c>
      <c r="V451" s="122" t="s">
        <v>539</v>
      </c>
      <c r="W451" s="97"/>
      <c r="X451" s="97"/>
      <c r="Y451" s="97"/>
      <c r="Z451" s="97"/>
      <c r="AA451" s="101">
        <f>AB449*8+AC449*4+AD449*2+AE449</f>
        <v>5</v>
      </c>
      <c r="AB451" s="122" t="s">
        <v>540</v>
      </c>
      <c r="AC451" s="97"/>
      <c r="AD451" s="97"/>
      <c r="AE451" s="97"/>
      <c r="AF451" s="97"/>
      <c r="AG451" s="101">
        <f>AH449*8+AI449*4+AJ449*2+AK449</f>
        <v>8</v>
      </c>
      <c r="AH451" s="122" t="s">
        <v>541</v>
      </c>
      <c r="AI451" s="97"/>
      <c r="AJ451" s="97"/>
      <c r="AK451" s="97"/>
      <c r="AL451" s="97"/>
      <c r="AM451" s="101">
        <f>AN449*8+AO449*4+AP449*2+AQ449</f>
        <v>10</v>
      </c>
      <c r="AN451" s="122" t="s">
        <v>542</v>
      </c>
      <c r="AO451" s="97"/>
      <c r="AP451" s="97"/>
      <c r="AQ451" s="97"/>
      <c r="AR451" s="97"/>
      <c r="AS451" s="101">
        <f>AT449*8+AU449*4+AV449*2+AW449</f>
        <v>12</v>
      </c>
      <c r="AT451" s="122" t="s">
        <v>543</v>
      </c>
      <c r="AU451" s="97"/>
      <c r="AV451" s="97"/>
      <c r="AW451" s="97"/>
      <c r="AX451" s="97"/>
      <c r="AY451" s="97"/>
      <c r="AZ451" s="20"/>
      <c r="BA451" s="20"/>
      <c r="BB451" s="20"/>
      <c r="BC451" s="20"/>
    </row>
    <row r="452" spans="1:55" ht="24.95" customHeight="1" x14ac:dyDescent="0.25">
      <c r="A452" s="100" t="s">
        <v>546</v>
      </c>
      <c r="B452" s="99"/>
      <c r="C452" s="87">
        <f>C449*2+H449</f>
        <v>3</v>
      </c>
      <c r="D452" s="98"/>
      <c r="E452" s="98"/>
      <c r="F452" s="99"/>
      <c r="G452" s="99"/>
      <c r="H452" s="99"/>
      <c r="I452" s="87">
        <f>I449*2+N449</f>
        <v>0</v>
      </c>
      <c r="J452" s="99"/>
      <c r="K452" s="99"/>
      <c r="L452" s="99"/>
      <c r="M452" s="99"/>
      <c r="N452" s="99"/>
      <c r="O452" s="87">
        <f>O449*2+T449</f>
        <v>3</v>
      </c>
      <c r="P452" s="99"/>
      <c r="Q452" s="99"/>
      <c r="R452" s="99"/>
      <c r="S452" s="99"/>
      <c r="T452" s="99"/>
      <c r="U452" s="87">
        <f>U449*2+Z449</f>
        <v>2</v>
      </c>
      <c r="V452" s="99"/>
      <c r="W452" s="99"/>
      <c r="X452" s="99"/>
      <c r="Y452" s="99"/>
      <c r="Z452" s="99"/>
      <c r="AA452" s="87">
        <f>AA449*2+AF449</f>
        <v>1</v>
      </c>
      <c r="AB452" s="99"/>
      <c r="AC452" s="99"/>
      <c r="AD452" s="99"/>
      <c r="AE452" s="99"/>
      <c r="AF452" s="99"/>
      <c r="AG452" s="87">
        <f>AG449*2+AL449</f>
        <v>3</v>
      </c>
      <c r="AH452" s="99"/>
      <c r="AI452" s="99"/>
      <c r="AJ452" s="99"/>
      <c r="AK452" s="99"/>
      <c r="AL452" s="99"/>
      <c r="AM452" s="87">
        <f>AM449*2+AR449</f>
        <v>3</v>
      </c>
      <c r="AN452" s="99"/>
      <c r="AO452" s="99"/>
      <c r="AP452" s="99"/>
      <c r="AQ452" s="99"/>
      <c r="AR452" s="99"/>
      <c r="AS452" s="87">
        <f>AS449*2+AX449</f>
        <v>0</v>
      </c>
      <c r="AT452" s="99"/>
      <c r="AU452" s="99"/>
      <c r="AV452" s="99"/>
      <c r="AW452" s="99"/>
      <c r="AX452" s="99"/>
      <c r="AY452" s="99"/>
      <c r="AZ452" s="20"/>
      <c r="BA452" s="20"/>
      <c r="BB452" s="20"/>
      <c r="BC452" s="20"/>
    </row>
    <row r="453" spans="1:55" ht="24.95" customHeight="1" x14ac:dyDescent="0.25">
      <c r="AZ453" s="20"/>
      <c r="BA453" s="20"/>
      <c r="BB453" s="20"/>
      <c r="BC453" s="20"/>
    </row>
    <row r="454" spans="1:55" ht="24.95" customHeight="1" x14ac:dyDescent="0.25">
      <c r="A454" s="117" t="s">
        <v>547</v>
      </c>
      <c r="C454" s="72">
        <f>INDEX('S-Box'!D3:S6,'DES-Enc'!C452+1,'DES-Enc'!C451+1)</f>
        <v>3</v>
      </c>
      <c r="I454" s="102">
        <f>INDEX('S-Box'!D9:S12,'DES-Enc'!I452+1,'DES-Enc'!I451+1)</f>
        <v>4</v>
      </c>
      <c r="O454" s="102">
        <f>INDEX('S-Box'!D15:S18,'DES-Enc'!O452+1,'DES-Enc'!O451+1)</f>
        <v>12</v>
      </c>
      <c r="U454" s="102">
        <f>INDEX('S-Box'!D21:S24,'DES-Enc'!U452+1,'DES-Enc'!U451+1)</f>
        <v>8</v>
      </c>
      <c r="AA454" s="102">
        <f>INDEX('S-Box'!D27:S30,'DES-Enc'!AA452+1,'DES-Enc'!AA451+1)</f>
        <v>7</v>
      </c>
      <c r="AG454" s="102">
        <f>INDEX('S-Box'!D33:S36,'DES-Enc'!AG452+1,'DES-Enc'!AG451+1)</f>
        <v>11</v>
      </c>
      <c r="AM454" s="102">
        <f>INDEX('S-Box'!D39:S42,'DES-Enc'!AM452+1,'DES-Enc'!AM451+1)</f>
        <v>0</v>
      </c>
      <c r="AS454" s="102">
        <f>INDEX('S-Box'!D45:S48,'DES-Enc'!AS452+1,'DES-Enc'!AS451+1)</f>
        <v>5</v>
      </c>
      <c r="AZ454" s="20"/>
      <c r="BA454" s="20"/>
      <c r="BB454" s="20"/>
      <c r="BC454" s="20"/>
    </row>
    <row r="455" spans="1:55" ht="24.95" customHeight="1" x14ac:dyDescent="0.25">
      <c r="C455" s="104"/>
      <c r="I455" s="95"/>
      <c r="O455" s="95"/>
      <c r="U455" s="95"/>
      <c r="AA455" s="95"/>
      <c r="AG455" s="95"/>
      <c r="AM455" s="95"/>
      <c r="AS455" s="95"/>
    </row>
    <row r="456" spans="1:55" ht="24.95" customHeight="1" x14ac:dyDescent="0.25">
      <c r="C456" s="105" t="str">
        <f>MID(DEC2BIN(C454,4),1,1)</f>
        <v>0</v>
      </c>
      <c r="D456" s="106" t="str">
        <f>MID(DEC2BIN(C454,4),2,1)</f>
        <v>0</v>
      </c>
      <c r="E456" s="106" t="str">
        <f>MID(DEC2BIN(C454,4),3,1)</f>
        <v>1</v>
      </c>
      <c r="F456" s="107" t="str">
        <f>MID(DEC2BIN(C454,4),4,1)</f>
        <v>1</v>
      </c>
      <c r="I456" s="105" t="str">
        <f>MID(DEC2BIN(I454,4),1,1)</f>
        <v>0</v>
      </c>
      <c r="J456" s="106" t="str">
        <f>MID(DEC2BIN(I454,4),2,1)</f>
        <v>1</v>
      </c>
      <c r="K456" s="106" t="str">
        <f>MID(DEC2BIN(I454,4),3,1)</f>
        <v>0</v>
      </c>
      <c r="L456" s="107" t="str">
        <f>MID(DEC2BIN(I454,4),4,1)</f>
        <v>0</v>
      </c>
      <c r="O456" s="105" t="str">
        <f>MID(DEC2BIN(O454,4),1,1)</f>
        <v>1</v>
      </c>
      <c r="P456" s="106" t="str">
        <f>MID(DEC2BIN(O454,4),2,1)</f>
        <v>1</v>
      </c>
      <c r="Q456" s="106" t="str">
        <f>MID(DEC2BIN(O454,4),3,1)</f>
        <v>0</v>
      </c>
      <c r="R456" s="107" t="str">
        <f>MID(DEC2BIN(O454,4),4,1)</f>
        <v>0</v>
      </c>
      <c r="U456" s="105" t="str">
        <f>MID(DEC2BIN(U454,4),1,1)</f>
        <v>1</v>
      </c>
      <c r="V456" s="106" t="str">
        <f>MID(DEC2BIN(U454,4),2,1)</f>
        <v>0</v>
      </c>
      <c r="W456" s="106" t="str">
        <f>MID(DEC2BIN(U454,4),3,1)</f>
        <v>0</v>
      </c>
      <c r="X456" s="107" t="str">
        <f>MID(DEC2BIN(U454,4),4,1)</f>
        <v>0</v>
      </c>
      <c r="AA456" s="105" t="str">
        <f>MID(DEC2BIN(AA454,4),1,1)</f>
        <v>0</v>
      </c>
      <c r="AB456" s="106" t="str">
        <f>MID(DEC2BIN(AA454,4),2,1)</f>
        <v>1</v>
      </c>
      <c r="AC456" s="106" t="str">
        <f>MID(DEC2BIN(AA454,4),3,1)</f>
        <v>1</v>
      </c>
      <c r="AD456" s="107" t="str">
        <f>MID(DEC2BIN(AA454,4),4,1)</f>
        <v>1</v>
      </c>
      <c r="AG456" s="105" t="str">
        <f>MID(DEC2BIN(AG454,4),1,1)</f>
        <v>1</v>
      </c>
      <c r="AH456" s="106" t="str">
        <f>MID(DEC2BIN(AG454,4),2,1)</f>
        <v>0</v>
      </c>
      <c r="AI456" s="106" t="str">
        <f>MID(DEC2BIN(AG454,4),3,1)</f>
        <v>1</v>
      </c>
      <c r="AJ456" s="107" t="str">
        <f>MID(DEC2BIN(AG454,4),4,1)</f>
        <v>1</v>
      </c>
      <c r="AM456" s="105" t="str">
        <f>MID(DEC2BIN(AM454,4),1,1)</f>
        <v>0</v>
      </c>
      <c r="AN456" s="106" t="str">
        <f>MID(DEC2BIN(AM454,4),2,1)</f>
        <v>0</v>
      </c>
      <c r="AO456" s="106" t="str">
        <f>MID(DEC2BIN(AM454,4),3,1)</f>
        <v>0</v>
      </c>
      <c r="AP456" s="107" t="str">
        <f>MID(DEC2BIN(AM454,4),4,1)</f>
        <v>0</v>
      </c>
      <c r="AS456" s="105" t="str">
        <f>MID(DEC2BIN(AS454,4),1,1)</f>
        <v>0</v>
      </c>
      <c r="AT456" s="106" t="str">
        <f>MID(DEC2BIN(AS454,4),2,1)</f>
        <v>1</v>
      </c>
      <c r="AU456" s="106" t="str">
        <f>MID(DEC2BIN(AS454,4),3,1)</f>
        <v>0</v>
      </c>
      <c r="AV456" s="107" t="str">
        <f>MID(DEC2BIN(AS454,4),4,1)</f>
        <v>1</v>
      </c>
    </row>
    <row r="457" spans="1:55" ht="24.95" customHeight="1" x14ac:dyDescent="0.25">
      <c r="C457" s="21">
        <f>VALUE(C456)</f>
        <v>0</v>
      </c>
      <c r="D457" s="21">
        <f t="shared" ref="D457" si="1248">VALUE(D456)</f>
        <v>0</v>
      </c>
      <c r="E457" s="21">
        <f t="shared" ref="E457" si="1249">VALUE(E456)</f>
        <v>1</v>
      </c>
      <c r="F457" s="21">
        <f t="shared" ref="F457" si="1250">VALUE(F456)</f>
        <v>1</v>
      </c>
      <c r="I457" s="21">
        <f t="shared" ref="I457" si="1251">VALUE(I456)</f>
        <v>0</v>
      </c>
      <c r="J457" s="21">
        <f t="shared" ref="J457" si="1252">VALUE(J456)</f>
        <v>1</v>
      </c>
      <c r="K457" s="21">
        <f t="shared" ref="K457" si="1253">VALUE(K456)</f>
        <v>0</v>
      </c>
      <c r="L457" s="21">
        <f t="shared" ref="L457" si="1254">VALUE(L456)</f>
        <v>0</v>
      </c>
      <c r="O457" s="21">
        <f>VALUE(O456)</f>
        <v>1</v>
      </c>
      <c r="P457" s="21">
        <f t="shared" ref="P457" si="1255">VALUE(P456)</f>
        <v>1</v>
      </c>
      <c r="Q457" s="21">
        <f t="shared" ref="Q457" si="1256">VALUE(Q456)</f>
        <v>0</v>
      </c>
      <c r="R457" s="21">
        <f t="shared" ref="R457" si="1257">VALUE(R456)</f>
        <v>0</v>
      </c>
      <c r="U457" s="21">
        <f>VALUE(U456)</f>
        <v>1</v>
      </c>
      <c r="V457" s="21">
        <f t="shared" ref="V457" si="1258">VALUE(V456)</f>
        <v>0</v>
      </c>
      <c r="W457" s="21">
        <f t="shared" ref="W457" si="1259">VALUE(W456)</f>
        <v>0</v>
      </c>
      <c r="X457" s="21">
        <f t="shared" ref="X457" si="1260">VALUE(X456)</f>
        <v>0</v>
      </c>
      <c r="AA457" s="21">
        <f>VALUE(AA456)</f>
        <v>0</v>
      </c>
      <c r="AB457" s="21">
        <f t="shared" ref="AB457" si="1261">VALUE(AB456)</f>
        <v>1</v>
      </c>
      <c r="AC457" s="21">
        <f t="shared" ref="AC457" si="1262">VALUE(AC456)</f>
        <v>1</v>
      </c>
      <c r="AD457" s="21">
        <f t="shared" ref="AD457" si="1263">VALUE(AD456)</f>
        <v>1</v>
      </c>
      <c r="AG457" s="21">
        <f>VALUE(AG456)</f>
        <v>1</v>
      </c>
      <c r="AH457" s="21">
        <f t="shared" ref="AH457" si="1264">VALUE(AH456)</f>
        <v>0</v>
      </c>
      <c r="AI457" s="21">
        <f t="shared" ref="AI457" si="1265">VALUE(AI456)</f>
        <v>1</v>
      </c>
      <c r="AJ457" s="21">
        <f t="shared" ref="AJ457" si="1266">VALUE(AJ456)</f>
        <v>1</v>
      </c>
      <c r="AM457" s="21">
        <f>VALUE(AM456)</f>
        <v>0</v>
      </c>
      <c r="AN457" s="21">
        <f t="shared" ref="AN457" si="1267">VALUE(AN456)</f>
        <v>0</v>
      </c>
      <c r="AO457" s="21">
        <f t="shared" ref="AO457" si="1268">VALUE(AO456)</f>
        <v>0</v>
      </c>
      <c r="AP457" s="21">
        <f t="shared" ref="AP457" si="1269">VALUE(AP456)</f>
        <v>0</v>
      </c>
      <c r="AS457" s="21">
        <f>VALUE(AS456)</f>
        <v>0</v>
      </c>
      <c r="AT457" s="21">
        <f t="shared" ref="AT457" si="1270">VALUE(AT456)</f>
        <v>1</v>
      </c>
      <c r="AU457" s="21">
        <f t="shared" ref="AU457" si="1271">VALUE(AU456)</f>
        <v>0</v>
      </c>
      <c r="AV457" s="21">
        <f t="shared" ref="AV457" si="1272">VALUE(AV456)</f>
        <v>1</v>
      </c>
    </row>
    <row r="458" spans="1:55" ht="24.95" customHeight="1" x14ac:dyDescent="0.25">
      <c r="A458" s="111" t="s">
        <v>588</v>
      </c>
      <c r="B458" s="111"/>
      <c r="C458" s="111">
        <v>1</v>
      </c>
      <c r="D458" s="76">
        <v>2</v>
      </c>
      <c r="E458" s="111">
        <v>3</v>
      </c>
      <c r="F458" s="76">
        <v>4</v>
      </c>
      <c r="G458" s="111">
        <v>5</v>
      </c>
      <c r="H458" s="76">
        <v>6</v>
      </c>
      <c r="I458" s="111">
        <v>7</v>
      </c>
      <c r="J458" s="76">
        <v>8</v>
      </c>
      <c r="K458" s="111">
        <v>9</v>
      </c>
      <c r="L458" s="76">
        <v>10</v>
      </c>
      <c r="M458" s="111">
        <v>11</v>
      </c>
      <c r="N458" s="76">
        <v>12</v>
      </c>
      <c r="O458" s="111">
        <v>13</v>
      </c>
      <c r="P458" s="76">
        <v>14</v>
      </c>
      <c r="Q458" s="111">
        <v>15</v>
      </c>
      <c r="R458" s="76">
        <v>16</v>
      </c>
      <c r="S458" s="111">
        <v>17</v>
      </c>
      <c r="T458" s="76">
        <v>18</v>
      </c>
      <c r="U458" s="111">
        <v>19</v>
      </c>
      <c r="V458" s="76">
        <v>20</v>
      </c>
      <c r="W458" s="111">
        <v>21</v>
      </c>
      <c r="X458" s="76">
        <v>22</v>
      </c>
      <c r="Y458" s="111">
        <v>23</v>
      </c>
      <c r="Z458" s="76">
        <v>24</v>
      </c>
      <c r="AA458" s="111">
        <v>25</v>
      </c>
      <c r="AB458" s="76">
        <v>26</v>
      </c>
      <c r="AC458" s="111">
        <v>27</v>
      </c>
      <c r="AD458" s="76">
        <v>28</v>
      </c>
      <c r="AE458" s="111">
        <v>29</v>
      </c>
      <c r="AF458" s="76">
        <v>30</v>
      </c>
      <c r="AG458" s="111">
        <v>31</v>
      </c>
      <c r="AH458" s="76">
        <v>32</v>
      </c>
    </row>
    <row r="459" spans="1:55" ht="24.95" customHeight="1" x14ac:dyDescent="0.25">
      <c r="C459" s="108">
        <f>C457</f>
        <v>0</v>
      </c>
      <c r="D459" s="108">
        <f t="shared" ref="D459:F459" si="1273">D457</f>
        <v>0</v>
      </c>
      <c r="E459" s="108">
        <f t="shared" si="1273"/>
        <v>1</v>
      </c>
      <c r="F459" s="108">
        <f t="shared" si="1273"/>
        <v>1</v>
      </c>
      <c r="G459" s="23">
        <f>I457</f>
        <v>0</v>
      </c>
      <c r="H459" s="23">
        <f t="shared" ref="H459" si="1274">J457</f>
        <v>1</v>
      </c>
      <c r="I459" s="23">
        <f t="shared" ref="I459" si="1275">K457</f>
        <v>0</v>
      </c>
      <c r="J459" s="23">
        <f t="shared" ref="J459" si="1276">L457</f>
        <v>0</v>
      </c>
      <c r="K459" s="23">
        <f>O457</f>
        <v>1</v>
      </c>
      <c r="L459" s="23">
        <f t="shared" ref="L459" si="1277">P457</f>
        <v>1</v>
      </c>
      <c r="M459" s="23">
        <f t="shared" ref="M459" si="1278">Q457</f>
        <v>0</v>
      </c>
      <c r="N459" s="23">
        <f t="shared" ref="N459" si="1279">R457</f>
        <v>0</v>
      </c>
      <c r="O459" s="23">
        <f>U457</f>
        <v>1</v>
      </c>
      <c r="P459" s="23">
        <f t="shared" ref="P459" si="1280">V457</f>
        <v>0</v>
      </c>
      <c r="Q459" s="23">
        <f t="shared" ref="Q459" si="1281">W457</f>
        <v>0</v>
      </c>
      <c r="R459" s="23">
        <f t="shared" ref="R459" si="1282">X457</f>
        <v>0</v>
      </c>
      <c r="S459" s="23">
        <f>AA457</f>
        <v>0</v>
      </c>
      <c r="T459" s="23">
        <f t="shared" ref="T459" si="1283">AB457</f>
        <v>1</v>
      </c>
      <c r="U459" s="23">
        <f t="shared" ref="U459" si="1284">AC457</f>
        <v>1</v>
      </c>
      <c r="V459" s="23">
        <f t="shared" ref="V459" si="1285">AD457</f>
        <v>1</v>
      </c>
      <c r="W459" s="23">
        <f>AG457</f>
        <v>1</v>
      </c>
      <c r="X459" s="23">
        <f t="shared" ref="X459" si="1286">AH457</f>
        <v>0</v>
      </c>
      <c r="Y459" s="23">
        <f t="shared" ref="Y459" si="1287">AI457</f>
        <v>1</v>
      </c>
      <c r="Z459" s="23">
        <f t="shared" ref="Z459" si="1288">AJ457</f>
        <v>1</v>
      </c>
      <c r="AA459" s="23">
        <f>AM457</f>
        <v>0</v>
      </c>
      <c r="AB459" s="23">
        <f t="shared" ref="AB459" si="1289">AN457</f>
        <v>0</v>
      </c>
      <c r="AC459" s="23">
        <f t="shared" ref="AC459" si="1290">AO457</f>
        <v>0</v>
      </c>
      <c r="AD459" s="23">
        <f t="shared" ref="AD459" si="1291">AP457</f>
        <v>0</v>
      </c>
      <c r="AE459" s="23">
        <f>AS457</f>
        <v>0</v>
      </c>
      <c r="AF459" s="23">
        <f t="shared" ref="AF459" si="1292">AT457</f>
        <v>1</v>
      </c>
      <c r="AG459" s="23">
        <f t="shared" ref="AG459" si="1293">AU457</f>
        <v>0</v>
      </c>
      <c r="AH459" s="23">
        <f t="shared" ref="AH459" si="1294">AV457</f>
        <v>1</v>
      </c>
    </row>
    <row r="461" spans="1:55" ht="24.95" customHeight="1" x14ac:dyDescent="0.25">
      <c r="A461" s="110" t="s">
        <v>548</v>
      </c>
      <c r="B461" s="110"/>
      <c r="C461" s="109">
        <v>16</v>
      </c>
      <c r="D461" s="110">
        <v>7</v>
      </c>
      <c r="E461" s="110">
        <v>20</v>
      </c>
      <c r="F461" s="110">
        <v>21</v>
      </c>
      <c r="G461" s="110">
        <v>29</v>
      </c>
      <c r="H461" s="110">
        <v>12</v>
      </c>
      <c r="I461" s="110">
        <v>28</v>
      </c>
      <c r="J461" s="110">
        <v>17</v>
      </c>
      <c r="K461" s="110">
        <v>1</v>
      </c>
      <c r="L461" s="110">
        <v>15</v>
      </c>
      <c r="M461" s="110">
        <v>23</v>
      </c>
      <c r="N461" s="110">
        <v>26</v>
      </c>
      <c r="O461" s="110">
        <v>5</v>
      </c>
      <c r="P461" s="110">
        <v>18</v>
      </c>
      <c r="Q461" s="110">
        <v>31</v>
      </c>
      <c r="R461" s="110">
        <v>10</v>
      </c>
      <c r="S461" s="110">
        <v>2</v>
      </c>
      <c r="T461" s="110">
        <v>8</v>
      </c>
      <c r="U461" s="110">
        <v>24</v>
      </c>
      <c r="V461" s="110">
        <v>14</v>
      </c>
      <c r="W461" s="110">
        <v>32</v>
      </c>
      <c r="X461" s="110">
        <v>27</v>
      </c>
      <c r="Y461" s="110">
        <v>3</v>
      </c>
      <c r="Z461" s="110">
        <v>9</v>
      </c>
      <c r="AA461" s="110">
        <v>19</v>
      </c>
      <c r="AB461" s="110">
        <v>13</v>
      </c>
      <c r="AC461" s="110">
        <v>30</v>
      </c>
      <c r="AD461" s="110">
        <v>6</v>
      </c>
      <c r="AE461" s="110">
        <v>22</v>
      </c>
      <c r="AF461" s="110">
        <v>11</v>
      </c>
      <c r="AG461" s="110">
        <v>4</v>
      </c>
      <c r="AH461" s="110">
        <v>25</v>
      </c>
    </row>
    <row r="462" spans="1:55" ht="24.95" customHeight="1" x14ac:dyDescent="0.25">
      <c r="C462" s="103">
        <f>K459</f>
        <v>1</v>
      </c>
      <c r="D462" s="103">
        <f>S459</f>
        <v>0</v>
      </c>
      <c r="E462" s="103">
        <f>Y459</f>
        <v>1</v>
      </c>
      <c r="F462" s="112">
        <f>AG459</f>
        <v>0</v>
      </c>
      <c r="G462" s="103">
        <f>O459</f>
        <v>1</v>
      </c>
      <c r="H462" s="103">
        <f>AD459</f>
        <v>0</v>
      </c>
      <c r="I462" s="103">
        <f>D459</f>
        <v>0</v>
      </c>
      <c r="J462" s="103">
        <f>T459</f>
        <v>1</v>
      </c>
      <c r="K462" s="103">
        <f>Z459</f>
        <v>1</v>
      </c>
      <c r="L462" s="103">
        <f>R459</f>
        <v>0</v>
      </c>
      <c r="M462" s="103">
        <f>AF459</f>
        <v>1</v>
      </c>
      <c r="N462" s="103">
        <f>H459</f>
        <v>1</v>
      </c>
      <c r="O462" s="103">
        <f>AB459</f>
        <v>0</v>
      </c>
      <c r="P462" s="103">
        <f>V459</f>
        <v>1</v>
      </c>
      <c r="Q462" s="103">
        <f>L459</f>
        <v>1</v>
      </c>
      <c r="R462" s="103">
        <f>C459</f>
        <v>0</v>
      </c>
      <c r="S462" s="103">
        <f>J459</f>
        <v>0</v>
      </c>
      <c r="T462" s="103">
        <f>P459</f>
        <v>0</v>
      </c>
      <c r="U462" s="103">
        <f>AA459</f>
        <v>0</v>
      </c>
      <c r="V462" s="103">
        <f>E459</f>
        <v>1</v>
      </c>
      <c r="W462" s="103">
        <f>F459</f>
        <v>1</v>
      </c>
      <c r="X462" s="103">
        <f>AE459</f>
        <v>0</v>
      </c>
      <c r="Y462" s="103">
        <f>M459</f>
        <v>0</v>
      </c>
      <c r="Z462" s="103">
        <f>U459</f>
        <v>1</v>
      </c>
      <c r="AA462" s="103">
        <f>AH459</f>
        <v>1</v>
      </c>
      <c r="AB462" s="103">
        <f>N459</f>
        <v>0</v>
      </c>
      <c r="AC462" s="103">
        <f>X459</f>
        <v>0</v>
      </c>
      <c r="AD462" s="103">
        <f>I459</f>
        <v>0</v>
      </c>
      <c r="AE462" s="103">
        <f>G459</f>
        <v>0</v>
      </c>
      <c r="AF462" s="103">
        <f>AC459</f>
        <v>0</v>
      </c>
      <c r="AG462" s="103">
        <f>Q459</f>
        <v>0</v>
      </c>
      <c r="AH462" s="103">
        <f>W459</f>
        <v>1</v>
      </c>
    </row>
    <row r="463" spans="1:55" ht="24.95" customHeight="1" x14ac:dyDescent="0.25">
      <c r="C463" s="130">
        <v>1</v>
      </c>
      <c r="D463" s="131">
        <v>2</v>
      </c>
      <c r="E463" s="130">
        <v>3</v>
      </c>
      <c r="F463" s="131">
        <v>4</v>
      </c>
      <c r="G463" s="130">
        <v>5</v>
      </c>
      <c r="H463" s="131">
        <v>6</v>
      </c>
      <c r="I463" s="130">
        <v>7</v>
      </c>
      <c r="J463" s="131">
        <v>8</v>
      </c>
      <c r="K463" s="130">
        <v>9</v>
      </c>
      <c r="L463" s="131">
        <v>10</v>
      </c>
      <c r="M463" s="130">
        <v>11</v>
      </c>
      <c r="N463" s="131">
        <v>12</v>
      </c>
      <c r="O463" s="130">
        <v>13</v>
      </c>
      <c r="P463" s="131">
        <v>14</v>
      </c>
      <c r="Q463" s="130">
        <v>15</v>
      </c>
      <c r="R463" s="131">
        <v>16</v>
      </c>
      <c r="S463" s="130">
        <v>17</v>
      </c>
      <c r="T463" s="131">
        <v>18</v>
      </c>
      <c r="U463" s="130">
        <v>19</v>
      </c>
      <c r="V463" s="131">
        <v>20</v>
      </c>
      <c r="W463" s="130">
        <v>21</v>
      </c>
      <c r="X463" s="131">
        <v>22</v>
      </c>
      <c r="Y463" s="130">
        <v>23</v>
      </c>
      <c r="Z463" s="131">
        <v>24</v>
      </c>
      <c r="AA463" s="130">
        <v>25</v>
      </c>
      <c r="AB463" s="131">
        <v>26</v>
      </c>
      <c r="AC463" s="130">
        <v>27</v>
      </c>
      <c r="AD463" s="131">
        <v>28</v>
      </c>
      <c r="AE463" s="130">
        <v>29</v>
      </c>
      <c r="AF463" s="131">
        <v>30</v>
      </c>
      <c r="AG463" s="130">
        <v>31</v>
      </c>
      <c r="AH463" s="131">
        <v>32</v>
      </c>
    </row>
    <row r="467" spans="1:51" ht="24.95" customHeight="1" x14ac:dyDescent="0.25">
      <c r="A467" s="114" t="s">
        <v>563</v>
      </c>
      <c r="B467" s="114"/>
      <c r="C467" s="114"/>
      <c r="D467" s="68">
        <v>1</v>
      </c>
      <c r="E467" s="68">
        <v>2</v>
      </c>
      <c r="F467" s="68">
        <v>3</v>
      </c>
      <c r="G467" s="68">
        <v>4</v>
      </c>
      <c r="H467" s="68">
        <v>5</v>
      </c>
      <c r="I467" s="68">
        <v>6</v>
      </c>
      <c r="J467" s="68">
        <v>7</v>
      </c>
      <c r="K467" s="68">
        <v>8</v>
      </c>
      <c r="L467" s="68">
        <v>9</v>
      </c>
      <c r="M467" s="68">
        <v>10</v>
      </c>
      <c r="N467" s="68">
        <v>11</v>
      </c>
      <c r="O467" s="68">
        <v>12</v>
      </c>
      <c r="P467" s="68">
        <v>13</v>
      </c>
      <c r="Q467" s="68">
        <v>14</v>
      </c>
      <c r="R467" s="68">
        <v>15</v>
      </c>
      <c r="S467" s="68">
        <v>16</v>
      </c>
      <c r="T467" s="68">
        <v>17</v>
      </c>
      <c r="U467" s="68">
        <v>18</v>
      </c>
      <c r="V467" s="68">
        <v>19</v>
      </c>
      <c r="W467" s="68">
        <v>20</v>
      </c>
      <c r="X467" s="68">
        <v>21</v>
      </c>
      <c r="Y467" s="68">
        <v>22</v>
      </c>
      <c r="Z467" s="68">
        <v>23</v>
      </c>
      <c r="AA467" s="68">
        <v>24</v>
      </c>
      <c r="AB467" s="68">
        <v>25</v>
      </c>
      <c r="AC467" s="68">
        <v>26</v>
      </c>
      <c r="AD467" s="68">
        <v>27</v>
      </c>
      <c r="AE467" s="68">
        <v>28</v>
      </c>
      <c r="AF467" s="68">
        <v>29</v>
      </c>
      <c r="AG467" s="68">
        <v>30</v>
      </c>
      <c r="AH467" s="68">
        <v>31</v>
      </c>
      <c r="AI467" s="68">
        <v>32</v>
      </c>
    </row>
    <row r="468" spans="1:51" ht="24.95" customHeight="1" x14ac:dyDescent="0.25">
      <c r="A468" s="64" t="s">
        <v>549</v>
      </c>
      <c r="D468" s="67">
        <f>C426</f>
        <v>1</v>
      </c>
      <c r="E468" s="68">
        <f t="shared" ref="E468" si="1295">D426</f>
        <v>0</v>
      </c>
      <c r="F468" s="68">
        <f t="shared" ref="F468" si="1296">E426</f>
        <v>0</v>
      </c>
      <c r="G468" s="68">
        <f t="shared" ref="G468" si="1297">F426</f>
        <v>0</v>
      </c>
      <c r="H468" s="68">
        <f t="shared" ref="H468" si="1298">G426</f>
        <v>0</v>
      </c>
      <c r="I468" s="68">
        <f t="shared" ref="I468" si="1299">H426</f>
        <v>1</v>
      </c>
      <c r="J468" s="68">
        <f t="shared" ref="J468" si="1300">I426</f>
        <v>1</v>
      </c>
      <c r="K468" s="68">
        <f t="shared" ref="K468" si="1301">J426</f>
        <v>0</v>
      </c>
      <c r="L468" s="68">
        <f t="shared" ref="L468" si="1302">K426</f>
        <v>0</v>
      </c>
      <c r="M468" s="68">
        <f t="shared" ref="M468" si="1303">L426</f>
        <v>1</v>
      </c>
      <c r="N468" s="68">
        <f t="shared" ref="N468" si="1304">M426</f>
        <v>1</v>
      </c>
      <c r="O468" s="68">
        <f t="shared" ref="O468" si="1305">N426</f>
        <v>1</v>
      </c>
      <c r="P468" s="68">
        <f t="shared" ref="P468" si="1306">O426</f>
        <v>1</v>
      </c>
      <c r="Q468" s="68">
        <f t="shared" ref="Q468" si="1307">P426</f>
        <v>1</v>
      </c>
      <c r="R468" s="68">
        <f t="shared" ref="R468" si="1308">Q426</f>
        <v>0</v>
      </c>
      <c r="S468" s="68">
        <f t="shared" ref="S468" si="1309">R426</f>
        <v>1</v>
      </c>
      <c r="T468" s="68">
        <f t="shared" ref="T468" si="1310">S426</f>
        <v>0</v>
      </c>
      <c r="U468" s="68">
        <f t="shared" ref="U468" si="1311">T426</f>
        <v>1</v>
      </c>
      <c r="V468" s="68">
        <f t="shared" ref="V468" si="1312">U426</f>
        <v>1</v>
      </c>
      <c r="W468" s="68">
        <f t="shared" ref="W468" si="1313">V426</f>
        <v>0</v>
      </c>
      <c r="X468" s="68">
        <f t="shared" ref="X468" si="1314">W426</f>
        <v>1</v>
      </c>
      <c r="Y468" s="68">
        <f t="shared" ref="Y468" si="1315">X426</f>
        <v>1</v>
      </c>
      <c r="Z468" s="68">
        <f t="shared" ref="Z468" si="1316">Y426</f>
        <v>1</v>
      </c>
      <c r="AA468" s="68">
        <f t="shared" ref="AA468" si="1317">Z426</f>
        <v>0</v>
      </c>
      <c r="AB468" s="68">
        <f t="shared" ref="AB468" si="1318">AA426</f>
        <v>1</v>
      </c>
      <c r="AC468" s="68">
        <f t="shared" ref="AC468" si="1319">AB426</f>
        <v>1</v>
      </c>
      <c r="AD468" s="68">
        <f t="shared" ref="AD468" si="1320">AC426</f>
        <v>1</v>
      </c>
      <c r="AE468" s="68">
        <f t="shared" ref="AE468" si="1321">AD426</f>
        <v>0</v>
      </c>
      <c r="AF468" s="68">
        <f t="shared" ref="AF468" si="1322">AE426</f>
        <v>0</v>
      </c>
      <c r="AG468" s="68">
        <f t="shared" ref="AG468" si="1323">AF426</f>
        <v>0</v>
      </c>
      <c r="AH468" s="68">
        <f t="shared" ref="AH468" si="1324">AG426</f>
        <v>0</v>
      </c>
      <c r="AI468" s="68">
        <f t="shared" ref="AI468" si="1325">AH426</f>
        <v>1</v>
      </c>
    </row>
    <row r="470" spans="1:51" ht="24.95" customHeight="1" x14ac:dyDescent="0.25">
      <c r="A470" s="114" t="s">
        <v>564</v>
      </c>
      <c r="B470" s="114"/>
      <c r="C470" s="114"/>
      <c r="D470" s="70">
        <v>1</v>
      </c>
      <c r="E470" s="70">
        <v>2</v>
      </c>
      <c r="F470" s="70">
        <v>3</v>
      </c>
      <c r="G470" s="70">
        <v>4</v>
      </c>
      <c r="H470" s="70">
        <v>5</v>
      </c>
      <c r="I470" s="70">
        <v>6</v>
      </c>
      <c r="J470" s="70">
        <v>7</v>
      </c>
      <c r="K470" s="70">
        <v>8</v>
      </c>
      <c r="L470" s="70">
        <v>9</v>
      </c>
      <c r="M470" s="70">
        <v>10</v>
      </c>
      <c r="N470" s="70">
        <v>11</v>
      </c>
      <c r="O470" s="70">
        <v>12</v>
      </c>
      <c r="P470" s="70">
        <v>13</v>
      </c>
      <c r="Q470" s="70">
        <v>14</v>
      </c>
      <c r="R470" s="70">
        <v>15</v>
      </c>
      <c r="S470" s="70">
        <v>16</v>
      </c>
      <c r="T470" s="70">
        <v>17</v>
      </c>
      <c r="U470" s="70">
        <v>18</v>
      </c>
      <c r="V470" s="70">
        <v>19</v>
      </c>
      <c r="W470" s="70">
        <v>20</v>
      </c>
      <c r="X470" s="70">
        <v>21</v>
      </c>
      <c r="Y470" s="70">
        <v>22</v>
      </c>
      <c r="Z470" s="70">
        <v>23</v>
      </c>
      <c r="AA470" s="70">
        <v>24</v>
      </c>
      <c r="AB470" s="70">
        <v>25</v>
      </c>
      <c r="AC470" s="70">
        <v>26</v>
      </c>
      <c r="AD470" s="70">
        <v>27</v>
      </c>
      <c r="AE470" s="70">
        <v>28</v>
      </c>
      <c r="AF470" s="70">
        <v>29</v>
      </c>
      <c r="AG470" s="70">
        <v>30</v>
      </c>
      <c r="AH470" s="70">
        <v>31</v>
      </c>
      <c r="AI470" s="70">
        <v>32</v>
      </c>
    </row>
    <row r="471" spans="1:51" ht="24.95" customHeight="1" x14ac:dyDescent="0.25">
      <c r="A471" s="64" t="s">
        <v>551</v>
      </c>
      <c r="D471" s="70">
        <f>--_xlfn.XOR(C462,D419)</f>
        <v>1</v>
      </c>
      <c r="E471" s="70">
        <f t="shared" ref="E471:AI471" si="1326">--_xlfn.XOR(D462,E419)</f>
        <v>0</v>
      </c>
      <c r="F471" s="70">
        <f t="shared" si="1326"/>
        <v>1</v>
      </c>
      <c r="G471" s="70">
        <f t="shared" si="1326"/>
        <v>1</v>
      </c>
      <c r="H471" s="70">
        <f t="shared" si="1326"/>
        <v>0</v>
      </c>
      <c r="I471" s="70">
        <f t="shared" si="1326"/>
        <v>0</v>
      </c>
      <c r="J471" s="70">
        <f t="shared" si="1326"/>
        <v>1</v>
      </c>
      <c r="K471" s="70">
        <f t="shared" si="1326"/>
        <v>1</v>
      </c>
      <c r="L471" s="70">
        <f t="shared" si="1326"/>
        <v>1</v>
      </c>
      <c r="M471" s="70">
        <f t="shared" si="1326"/>
        <v>1</v>
      </c>
      <c r="N471" s="70">
        <f t="shared" si="1326"/>
        <v>0</v>
      </c>
      <c r="O471" s="70">
        <f t="shared" si="1326"/>
        <v>1</v>
      </c>
      <c r="P471" s="70">
        <f t="shared" si="1326"/>
        <v>0</v>
      </c>
      <c r="Q471" s="70">
        <f t="shared" si="1326"/>
        <v>0</v>
      </c>
      <c r="R471" s="70">
        <f t="shared" si="1326"/>
        <v>1</v>
      </c>
      <c r="S471" s="70">
        <f t="shared" si="1326"/>
        <v>1</v>
      </c>
      <c r="T471" s="70">
        <f t="shared" si="1326"/>
        <v>1</v>
      </c>
      <c r="U471" s="70">
        <f t="shared" si="1326"/>
        <v>0</v>
      </c>
      <c r="V471" s="70">
        <f t="shared" si="1326"/>
        <v>0</v>
      </c>
      <c r="W471" s="70">
        <f t="shared" si="1326"/>
        <v>1</v>
      </c>
      <c r="X471" s="70">
        <f t="shared" si="1326"/>
        <v>1</v>
      </c>
      <c r="Y471" s="70">
        <f t="shared" si="1326"/>
        <v>1</v>
      </c>
      <c r="Z471" s="70">
        <f t="shared" si="1326"/>
        <v>0</v>
      </c>
      <c r="AA471" s="70">
        <f t="shared" si="1326"/>
        <v>1</v>
      </c>
      <c r="AB471" s="70">
        <f t="shared" si="1326"/>
        <v>1</v>
      </c>
      <c r="AC471" s="70">
        <f t="shared" si="1326"/>
        <v>0</v>
      </c>
      <c r="AD471" s="70">
        <f t="shared" si="1326"/>
        <v>1</v>
      </c>
      <c r="AE471" s="70">
        <f t="shared" si="1326"/>
        <v>0</v>
      </c>
      <c r="AF471" s="70">
        <f t="shared" si="1326"/>
        <v>1</v>
      </c>
      <c r="AG471" s="70">
        <f t="shared" si="1326"/>
        <v>0</v>
      </c>
      <c r="AH471" s="70">
        <f t="shared" si="1326"/>
        <v>0</v>
      </c>
      <c r="AI471" s="70">
        <f t="shared" si="1326"/>
        <v>0</v>
      </c>
    </row>
    <row r="472" spans="1:51" ht="24.95" customHeight="1" x14ac:dyDescent="0.25">
      <c r="A472" s="132" t="s">
        <v>611</v>
      </c>
    </row>
    <row r="473" spans="1:51" s="132" customFormat="1" ht="24.95" customHeight="1" x14ac:dyDescent="0.25">
      <c r="B473" s="133"/>
      <c r="C473" s="134"/>
    </row>
    <row r="474" spans="1:51" ht="24.95" customHeight="1" x14ac:dyDescent="0.25">
      <c r="B474" s="21"/>
      <c r="C474" s="70">
        <v>1</v>
      </c>
      <c r="D474" s="70">
        <v>2</v>
      </c>
      <c r="E474" s="70">
        <v>3</v>
      </c>
      <c r="F474" s="70">
        <v>4</v>
      </c>
      <c r="G474" s="70">
        <v>5</v>
      </c>
      <c r="H474" s="70">
        <v>6</v>
      </c>
      <c r="I474" s="70">
        <v>7</v>
      </c>
      <c r="J474" s="70">
        <v>8</v>
      </c>
      <c r="K474" s="70">
        <v>9</v>
      </c>
      <c r="L474" s="70">
        <v>10</v>
      </c>
      <c r="M474" s="70">
        <v>11</v>
      </c>
      <c r="N474" s="70">
        <v>12</v>
      </c>
      <c r="O474" s="70">
        <v>13</v>
      </c>
      <c r="P474" s="70">
        <v>14</v>
      </c>
      <c r="Q474" s="70">
        <v>15</v>
      </c>
      <c r="R474" s="70">
        <v>16</v>
      </c>
      <c r="S474" s="70">
        <v>17</v>
      </c>
      <c r="T474" s="70">
        <v>18</v>
      </c>
      <c r="U474" s="70">
        <v>19</v>
      </c>
      <c r="V474" s="70">
        <v>20</v>
      </c>
      <c r="W474" s="70">
        <v>21</v>
      </c>
      <c r="X474" s="70">
        <v>22</v>
      </c>
      <c r="Y474" s="70">
        <v>23</v>
      </c>
      <c r="Z474" s="70">
        <v>24</v>
      </c>
      <c r="AA474" s="70">
        <v>25</v>
      </c>
      <c r="AB474" s="70">
        <v>26</v>
      </c>
      <c r="AC474" s="70">
        <v>27</v>
      </c>
      <c r="AD474" s="70">
        <v>28</v>
      </c>
      <c r="AE474" s="70">
        <v>29</v>
      </c>
      <c r="AF474" s="70">
        <v>30</v>
      </c>
      <c r="AG474" s="70">
        <v>31</v>
      </c>
      <c r="AH474" s="70">
        <v>32</v>
      </c>
    </row>
    <row r="475" spans="1:51" ht="24.95" customHeight="1" x14ac:dyDescent="0.25">
      <c r="A475" s="114" t="s">
        <v>564</v>
      </c>
      <c r="B475" s="114"/>
      <c r="C475" s="70">
        <f>D471</f>
        <v>1</v>
      </c>
      <c r="D475" s="70">
        <f t="shared" ref="D475:AH475" si="1327">E471</f>
        <v>0</v>
      </c>
      <c r="E475" s="70">
        <f t="shared" si="1327"/>
        <v>1</v>
      </c>
      <c r="F475" s="70">
        <f t="shared" si="1327"/>
        <v>1</v>
      </c>
      <c r="G475" s="70">
        <f t="shared" si="1327"/>
        <v>0</v>
      </c>
      <c r="H475" s="70">
        <f t="shared" si="1327"/>
        <v>0</v>
      </c>
      <c r="I475" s="70">
        <f t="shared" si="1327"/>
        <v>1</v>
      </c>
      <c r="J475" s="70">
        <f t="shared" si="1327"/>
        <v>1</v>
      </c>
      <c r="K475" s="70">
        <f t="shared" si="1327"/>
        <v>1</v>
      </c>
      <c r="L475" s="70">
        <f t="shared" si="1327"/>
        <v>1</v>
      </c>
      <c r="M475" s="70">
        <f t="shared" si="1327"/>
        <v>0</v>
      </c>
      <c r="N475" s="70">
        <f t="shared" si="1327"/>
        <v>1</v>
      </c>
      <c r="O475" s="70">
        <f t="shared" si="1327"/>
        <v>0</v>
      </c>
      <c r="P475" s="70">
        <f t="shared" si="1327"/>
        <v>0</v>
      </c>
      <c r="Q475" s="70">
        <f t="shared" si="1327"/>
        <v>1</v>
      </c>
      <c r="R475" s="70">
        <f t="shared" si="1327"/>
        <v>1</v>
      </c>
      <c r="S475" s="70">
        <f t="shared" si="1327"/>
        <v>1</v>
      </c>
      <c r="T475" s="70">
        <f t="shared" si="1327"/>
        <v>0</v>
      </c>
      <c r="U475" s="70">
        <f t="shared" si="1327"/>
        <v>0</v>
      </c>
      <c r="V475" s="70">
        <f t="shared" si="1327"/>
        <v>1</v>
      </c>
      <c r="W475" s="70">
        <f t="shared" si="1327"/>
        <v>1</v>
      </c>
      <c r="X475" s="70">
        <f t="shared" si="1327"/>
        <v>1</v>
      </c>
      <c r="Y475" s="70">
        <f t="shared" si="1327"/>
        <v>0</v>
      </c>
      <c r="Z475" s="70">
        <f t="shared" si="1327"/>
        <v>1</v>
      </c>
      <c r="AA475" s="70">
        <f t="shared" si="1327"/>
        <v>1</v>
      </c>
      <c r="AB475" s="70">
        <f t="shared" si="1327"/>
        <v>0</v>
      </c>
      <c r="AC475" s="70">
        <f t="shared" si="1327"/>
        <v>1</v>
      </c>
      <c r="AD475" s="70">
        <f t="shared" si="1327"/>
        <v>0</v>
      </c>
      <c r="AE475" s="70">
        <f t="shared" si="1327"/>
        <v>1</v>
      </c>
      <c r="AF475" s="70">
        <f t="shared" si="1327"/>
        <v>0</v>
      </c>
      <c r="AG475" s="70">
        <f t="shared" si="1327"/>
        <v>0</v>
      </c>
      <c r="AH475" s="70">
        <f t="shared" si="1327"/>
        <v>0</v>
      </c>
      <c r="AI475" s="135"/>
    </row>
    <row r="477" spans="1:51" ht="24.95" customHeight="1" x14ac:dyDescent="0.25">
      <c r="A477" s="132"/>
      <c r="B477" s="133"/>
      <c r="C477" s="134"/>
      <c r="D477" s="132"/>
      <c r="E477" s="132"/>
      <c r="F477" s="132"/>
      <c r="G477" s="132"/>
      <c r="H477" s="132"/>
      <c r="I477" s="132"/>
      <c r="J477" s="132"/>
      <c r="K477" s="132"/>
      <c r="L477" s="132"/>
      <c r="M477" s="132"/>
      <c r="N477" s="132"/>
      <c r="O477" s="132"/>
      <c r="P477" s="132"/>
      <c r="Q477" s="132"/>
      <c r="R477" s="132"/>
      <c r="S477" s="132"/>
      <c r="T477" s="132"/>
      <c r="U477" s="132"/>
      <c r="V477" s="132"/>
      <c r="W477" s="132"/>
      <c r="X477" s="132"/>
      <c r="Y477" s="132"/>
      <c r="Z477" s="132"/>
      <c r="AA477" s="132"/>
      <c r="AB477" s="132"/>
      <c r="AC477" s="132"/>
      <c r="AD477" s="132"/>
      <c r="AE477" s="132"/>
      <c r="AF477" s="132"/>
      <c r="AG477" s="132"/>
      <c r="AH477" s="132"/>
      <c r="AI477" s="132"/>
      <c r="AJ477" s="132"/>
      <c r="AK477" s="132"/>
      <c r="AL477" s="132"/>
      <c r="AM477" s="132"/>
      <c r="AN477" s="132"/>
      <c r="AO477" s="132"/>
      <c r="AP477" s="132"/>
      <c r="AQ477" s="132"/>
      <c r="AR477" s="132"/>
      <c r="AS477" s="132"/>
      <c r="AT477" s="132"/>
      <c r="AU477" s="132"/>
      <c r="AV477" s="132"/>
      <c r="AW477" s="132"/>
      <c r="AX477" s="132"/>
      <c r="AY477" s="132"/>
    </row>
    <row r="479" spans="1:51" ht="24.95" customHeight="1" x14ac:dyDescent="0.25">
      <c r="A479" s="118" t="s">
        <v>532</v>
      </c>
      <c r="B479" s="118"/>
      <c r="C479" s="75">
        <v>32</v>
      </c>
      <c r="D479" s="74">
        <v>1</v>
      </c>
      <c r="E479" s="74">
        <v>2</v>
      </c>
      <c r="F479" s="74">
        <v>3</v>
      </c>
      <c r="G479" s="74">
        <v>4</v>
      </c>
      <c r="H479" s="73">
        <v>5</v>
      </c>
      <c r="I479" s="122"/>
      <c r="J479" s="118">
        <f>AH475</f>
        <v>0</v>
      </c>
      <c r="K479" s="118">
        <f>C475</f>
        <v>1</v>
      </c>
      <c r="L479" s="118">
        <f>D475</f>
        <v>0</v>
      </c>
      <c r="M479" s="118">
        <f>E475</f>
        <v>1</v>
      </c>
      <c r="N479" s="69">
        <f>F475</f>
        <v>1</v>
      </c>
      <c r="O479" s="119">
        <f>G475</f>
        <v>0</v>
      </c>
      <c r="P479" s="122"/>
    </row>
    <row r="480" spans="1:51" ht="24.95" customHeight="1" x14ac:dyDescent="0.25">
      <c r="C480" s="75">
        <v>4</v>
      </c>
      <c r="D480" s="74">
        <v>5</v>
      </c>
      <c r="E480" s="74">
        <v>6</v>
      </c>
      <c r="F480" s="74">
        <v>7</v>
      </c>
      <c r="G480" s="74">
        <v>8</v>
      </c>
      <c r="H480" s="73">
        <v>9</v>
      </c>
      <c r="I480" s="122"/>
      <c r="J480" s="118">
        <f t="shared" ref="J480" si="1328">F475</f>
        <v>1</v>
      </c>
      <c r="K480" s="69">
        <f t="shared" ref="K480" si="1329">G475</f>
        <v>0</v>
      </c>
      <c r="L480" s="69">
        <f t="shared" ref="L480" si="1330">H475</f>
        <v>0</v>
      </c>
      <c r="M480" s="69">
        <f t="shared" ref="M480" si="1331">I475</f>
        <v>1</v>
      </c>
      <c r="N480" s="69">
        <f t="shared" ref="N480" si="1332">J475</f>
        <v>1</v>
      </c>
      <c r="O480" s="119">
        <f t="shared" ref="O480" si="1333">K475</f>
        <v>1</v>
      </c>
      <c r="P480" s="122"/>
    </row>
    <row r="481" spans="1:50" ht="24.95" customHeight="1" x14ac:dyDescent="0.25">
      <c r="C481" s="75">
        <v>8</v>
      </c>
      <c r="D481" s="74">
        <v>9</v>
      </c>
      <c r="E481" s="74">
        <v>10</v>
      </c>
      <c r="F481" s="74">
        <v>11</v>
      </c>
      <c r="G481" s="74">
        <v>12</v>
      </c>
      <c r="H481" s="73">
        <v>13</v>
      </c>
      <c r="I481" s="123"/>
      <c r="J481" s="120">
        <f t="shared" ref="J481:O481" si="1334">J475</f>
        <v>1</v>
      </c>
      <c r="K481" s="69">
        <f t="shared" si="1334"/>
        <v>1</v>
      </c>
      <c r="L481" s="69">
        <f t="shared" si="1334"/>
        <v>1</v>
      </c>
      <c r="M481" s="69">
        <f t="shared" si="1334"/>
        <v>0</v>
      </c>
      <c r="N481" s="69">
        <f t="shared" si="1334"/>
        <v>1</v>
      </c>
      <c r="O481" s="119">
        <f t="shared" si="1334"/>
        <v>0</v>
      </c>
      <c r="P481" s="123"/>
    </row>
    <row r="482" spans="1:50" ht="24.95" customHeight="1" x14ac:dyDescent="0.25">
      <c r="C482" s="75">
        <v>12</v>
      </c>
      <c r="D482" s="74">
        <v>13</v>
      </c>
      <c r="E482" s="74">
        <v>14</v>
      </c>
      <c r="F482" s="74">
        <v>15</v>
      </c>
      <c r="G482" s="74">
        <v>16</v>
      </c>
      <c r="H482" s="73">
        <v>17</v>
      </c>
      <c r="I482" s="122"/>
      <c r="J482" s="118">
        <f t="shared" ref="J482" si="1335">N475</f>
        <v>1</v>
      </c>
      <c r="K482" s="69">
        <f t="shared" ref="K482" si="1336">O475</f>
        <v>0</v>
      </c>
      <c r="L482" s="69">
        <f t="shared" ref="L482" si="1337">P475</f>
        <v>0</v>
      </c>
      <c r="M482" s="69">
        <f t="shared" ref="M482" si="1338">Q475</f>
        <v>1</v>
      </c>
      <c r="N482" s="69">
        <f t="shared" ref="N482" si="1339">R475</f>
        <v>1</v>
      </c>
      <c r="O482" s="119">
        <f t="shared" ref="O482" si="1340">S475</f>
        <v>1</v>
      </c>
      <c r="P482" s="122"/>
    </row>
    <row r="483" spans="1:50" ht="24.95" customHeight="1" x14ac:dyDescent="0.25">
      <c r="C483" s="75">
        <v>16</v>
      </c>
      <c r="D483" s="74">
        <v>17</v>
      </c>
      <c r="E483" s="74">
        <v>18</v>
      </c>
      <c r="F483" s="74">
        <v>19</v>
      </c>
      <c r="G483" s="74">
        <v>20</v>
      </c>
      <c r="H483" s="73">
        <v>21</v>
      </c>
      <c r="I483" s="122"/>
      <c r="J483" s="118">
        <f t="shared" ref="J483" si="1341">R475</f>
        <v>1</v>
      </c>
      <c r="K483" s="69">
        <f t="shared" ref="K483" si="1342">S475</f>
        <v>1</v>
      </c>
      <c r="L483" s="69">
        <f t="shared" ref="L483" si="1343">T475</f>
        <v>0</v>
      </c>
      <c r="M483" s="69">
        <f t="shared" ref="M483" si="1344">U475</f>
        <v>0</v>
      </c>
      <c r="N483" s="69">
        <f t="shared" ref="N483" si="1345">V475</f>
        <v>1</v>
      </c>
      <c r="O483" s="119">
        <f t="shared" ref="O483" si="1346">W475</f>
        <v>1</v>
      </c>
      <c r="P483" s="122"/>
    </row>
    <row r="484" spans="1:50" ht="24.95" customHeight="1" x14ac:dyDescent="0.25">
      <c r="C484" s="75">
        <v>20</v>
      </c>
      <c r="D484" s="74">
        <v>21</v>
      </c>
      <c r="E484" s="74">
        <v>22</v>
      </c>
      <c r="F484" s="74">
        <v>23</v>
      </c>
      <c r="G484" s="74">
        <v>24</v>
      </c>
      <c r="H484" s="73">
        <v>25</v>
      </c>
      <c r="I484" s="122"/>
      <c r="J484" s="118">
        <f t="shared" ref="J484" si="1347">V475</f>
        <v>1</v>
      </c>
      <c r="K484" s="69">
        <f t="shared" ref="K484" si="1348">W475</f>
        <v>1</v>
      </c>
      <c r="L484" s="69">
        <f t="shared" ref="L484" si="1349">X475</f>
        <v>1</v>
      </c>
      <c r="M484" s="69">
        <f t="shared" ref="M484" si="1350">Y475</f>
        <v>0</v>
      </c>
      <c r="N484" s="69">
        <f t="shared" ref="N484" si="1351">Z475</f>
        <v>1</v>
      </c>
      <c r="O484" s="119">
        <f t="shared" ref="O484" si="1352">AA475</f>
        <v>1</v>
      </c>
      <c r="P484" s="122"/>
    </row>
    <row r="485" spans="1:50" ht="24.95" customHeight="1" x14ac:dyDescent="0.25">
      <c r="C485" s="75">
        <v>24</v>
      </c>
      <c r="D485" s="74">
        <v>25</v>
      </c>
      <c r="E485" s="74">
        <v>26</v>
      </c>
      <c r="F485" s="74">
        <v>27</v>
      </c>
      <c r="G485" s="74">
        <v>28</v>
      </c>
      <c r="H485" s="73">
        <v>29</v>
      </c>
      <c r="I485" s="122"/>
      <c r="J485" s="118">
        <f t="shared" ref="J485" si="1353">Z475</f>
        <v>1</v>
      </c>
      <c r="K485" s="69">
        <f t="shared" ref="K485" si="1354">AA475</f>
        <v>1</v>
      </c>
      <c r="L485" s="69">
        <f t="shared" ref="L485" si="1355">AB475</f>
        <v>0</v>
      </c>
      <c r="M485" s="69">
        <f t="shared" ref="M485" si="1356">AC475</f>
        <v>1</v>
      </c>
      <c r="N485" s="69">
        <f t="shared" ref="N485" si="1357">AD475</f>
        <v>0</v>
      </c>
      <c r="O485" s="119">
        <f t="shared" ref="O485" si="1358">AE475</f>
        <v>1</v>
      </c>
      <c r="P485" s="122"/>
    </row>
    <row r="486" spans="1:50" ht="24.95" customHeight="1" x14ac:dyDescent="0.25">
      <c r="C486" s="75">
        <v>28</v>
      </c>
      <c r="D486" s="74">
        <v>29</v>
      </c>
      <c r="E486" s="74">
        <v>30</v>
      </c>
      <c r="F486" s="74">
        <v>31</v>
      </c>
      <c r="G486" s="74">
        <v>32</v>
      </c>
      <c r="H486" s="73">
        <v>1</v>
      </c>
      <c r="I486" s="122"/>
      <c r="J486" s="70">
        <f>AD475</f>
        <v>0</v>
      </c>
      <c r="K486" s="71">
        <f>AE475</f>
        <v>1</v>
      </c>
      <c r="L486" s="71">
        <f>AF475</f>
        <v>0</v>
      </c>
      <c r="M486" s="71">
        <f>AG475</f>
        <v>0</v>
      </c>
      <c r="N486" s="71">
        <f>AH475</f>
        <v>0</v>
      </c>
      <c r="O486" s="121">
        <f>C475</f>
        <v>1</v>
      </c>
      <c r="P486" s="122"/>
    </row>
    <row r="489" spans="1:50" ht="24.95" customHeight="1" x14ac:dyDescent="0.25">
      <c r="A489" s="124" t="s">
        <v>533</v>
      </c>
      <c r="B489" s="124"/>
      <c r="C489" s="125">
        <v>1</v>
      </c>
      <c r="D489" s="126">
        <v>2</v>
      </c>
      <c r="E489" s="125">
        <v>3</v>
      </c>
      <c r="F489" s="126">
        <v>4</v>
      </c>
      <c r="G489" s="125">
        <v>5</v>
      </c>
      <c r="H489" s="126">
        <v>6</v>
      </c>
      <c r="I489" s="125">
        <v>7</v>
      </c>
      <c r="J489" s="126">
        <v>8</v>
      </c>
      <c r="K489" s="125">
        <v>9</v>
      </c>
      <c r="L489" s="126">
        <v>10</v>
      </c>
      <c r="M489" s="125">
        <v>11</v>
      </c>
      <c r="N489" s="126">
        <v>12</v>
      </c>
      <c r="O489" s="125">
        <v>13</v>
      </c>
      <c r="P489" s="126">
        <v>14</v>
      </c>
      <c r="Q489" s="125">
        <v>15</v>
      </c>
      <c r="R489" s="126">
        <v>16</v>
      </c>
      <c r="S489" s="125">
        <v>17</v>
      </c>
      <c r="T489" s="126">
        <v>18</v>
      </c>
      <c r="U489" s="125">
        <v>19</v>
      </c>
      <c r="V489" s="126">
        <v>20</v>
      </c>
      <c r="W489" s="125">
        <v>21</v>
      </c>
      <c r="X489" s="126">
        <v>22</v>
      </c>
      <c r="Y489" s="125">
        <v>23</v>
      </c>
      <c r="Z489" s="126">
        <v>24</v>
      </c>
      <c r="AA489" s="125">
        <v>25</v>
      </c>
      <c r="AB489" s="126">
        <v>26</v>
      </c>
      <c r="AC489" s="125">
        <v>27</v>
      </c>
      <c r="AD489" s="126">
        <v>28</v>
      </c>
      <c r="AE489" s="125">
        <v>29</v>
      </c>
      <c r="AF489" s="126">
        <v>30</v>
      </c>
      <c r="AG489" s="125">
        <v>31</v>
      </c>
      <c r="AH489" s="126">
        <v>32</v>
      </c>
      <c r="AI489" s="125">
        <v>33</v>
      </c>
      <c r="AJ489" s="126">
        <v>34</v>
      </c>
      <c r="AK489" s="125">
        <v>35</v>
      </c>
      <c r="AL489" s="126">
        <v>36</v>
      </c>
      <c r="AM489" s="125">
        <v>37</v>
      </c>
      <c r="AN489" s="126">
        <v>38</v>
      </c>
      <c r="AO489" s="125">
        <v>39</v>
      </c>
      <c r="AP489" s="126">
        <v>40</v>
      </c>
      <c r="AQ489" s="125">
        <v>41</v>
      </c>
      <c r="AR489" s="126">
        <v>42</v>
      </c>
      <c r="AS489" s="125">
        <v>43</v>
      </c>
      <c r="AT489" s="126">
        <v>44</v>
      </c>
      <c r="AU489" s="125">
        <v>45</v>
      </c>
      <c r="AV489" s="126">
        <v>46</v>
      </c>
      <c r="AW489" s="125">
        <v>47</v>
      </c>
      <c r="AX489" s="126">
        <v>48</v>
      </c>
    </row>
    <row r="490" spans="1:50" ht="24.95" customHeight="1" x14ac:dyDescent="0.25">
      <c r="C490" s="125">
        <f t="shared" ref="C490" si="1359">J479</f>
        <v>0</v>
      </c>
      <c r="D490" s="125">
        <f t="shared" ref="D490" si="1360">K479</f>
        <v>1</v>
      </c>
      <c r="E490" s="125">
        <f t="shared" ref="E490" si="1361">L479</f>
        <v>0</v>
      </c>
      <c r="F490" s="125">
        <f t="shared" ref="F490" si="1362">M479</f>
        <v>1</v>
      </c>
      <c r="G490" s="126">
        <f t="shared" ref="G490" si="1363">N479</f>
        <v>1</v>
      </c>
      <c r="H490" s="126">
        <f t="shared" ref="H490" si="1364">O479</f>
        <v>0</v>
      </c>
      <c r="I490" s="125">
        <f t="shared" ref="I490" si="1365">J480</f>
        <v>1</v>
      </c>
      <c r="J490" s="125">
        <f t="shared" ref="J490" si="1366">K480</f>
        <v>0</v>
      </c>
      <c r="K490" s="125">
        <f t="shared" ref="K490" si="1367">L480</f>
        <v>0</v>
      </c>
      <c r="L490" s="125">
        <f t="shared" ref="L490" si="1368">M480</f>
        <v>1</v>
      </c>
      <c r="M490" s="125">
        <f t="shared" ref="M490" si="1369">N480</f>
        <v>1</v>
      </c>
      <c r="N490" s="125">
        <f t="shared" ref="N490" si="1370">O480</f>
        <v>1</v>
      </c>
      <c r="O490" s="126">
        <f t="shared" ref="O490" si="1371">J481</f>
        <v>1</v>
      </c>
      <c r="P490" s="126">
        <f t="shared" ref="P490" si="1372">K481</f>
        <v>1</v>
      </c>
      <c r="Q490" s="126">
        <f t="shared" ref="Q490" si="1373">L481</f>
        <v>1</v>
      </c>
      <c r="R490" s="126">
        <f t="shared" ref="R490" si="1374">M481</f>
        <v>0</v>
      </c>
      <c r="S490" s="126">
        <f t="shared" ref="S490" si="1375">N481</f>
        <v>1</v>
      </c>
      <c r="T490" s="126">
        <f t="shared" ref="T490" si="1376">O481</f>
        <v>0</v>
      </c>
      <c r="U490" s="125">
        <f t="shared" ref="U490" si="1377">J482</f>
        <v>1</v>
      </c>
      <c r="V490" s="126">
        <f t="shared" ref="V490" si="1378">K482</f>
        <v>0</v>
      </c>
      <c r="W490" s="125">
        <f t="shared" ref="W490" si="1379">L482</f>
        <v>0</v>
      </c>
      <c r="X490" s="126">
        <f t="shared" ref="X490" si="1380">M482</f>
        <v>1</v>
      </c>
      <c r="Y490" s="125">
        <f t="shared" ref="Y490" si="1381">N482</f>
        <v>1</v>
      </c>
      <c r="Z490" s="126">
        <f t="shared" ref="Z490" si="1382">O482</f>
        <v>1</v>
      </c>
      <c r="AA490" s="125">
        <f t="shared" ref="AA490" si="1383">J483</f>
        <v>1</v>
      </c>
      <c r="AB490" s="126">
        <f t="shared" ref="AB490" si="1384">K483</f>
        <v>1</v>
      </c>
      <c r="AC490" s="125">
        <f t="shared" ref="AC490" si="1385">L483</f>
        <v>0</v>
      </c>
      <c r="AD490" s="126">
        <f t="shared" ref="AD490" si="1386">M483</f>
        <v>0</v>
      </c>
      <c r="AE490" s="125">
        <f t="shared" ref="AE490" si="1387">N483</f>
        <v>1</v>
      </c>
      <c r="AF490" s="126">
        <f t="shared" ref="AF490" si="1388">O483</f>
        <v>1</v>
      </c>
      <c r="AG490" s="125">
        <f t="shared" ref="AG490" si="1389">J484</f>
        <v>1</v>
      </c>
      <c r="AH490" s="126">
        <f t="shared" ref="AH490" si="1390">K484</f>
        <v>1</v>
      </c>
      <c r="AI490" s="125">
        <f t="shared" ref="AI490" si="1391">L484</f>
        <v>1</v>
      </c>
      <c r="AJ490" s="126">
        <f t="shared" ref="AJ490" si="1392">M484</f>
        <v>0</v>
      </c>
      <c r="AK490" s="125">
        <f t="shared" ref="AK490" si="1393">N484</f>
        <v>1</v>
      </c>
      <c r="AL490" s="126">
        <f t="shared" ref="AL490" si="1394">O484</f>
        <v>1</v>
      </c>
      <c r="AM490" s="125">
        <f t="shared" ref="AM490" si="1395">J485</f>
        <v>1</v>
      </c>
      <c r="AN490" s="126">
        <f t="shared" ref="AN490" si="1396">K485</f>
        <v>1</v>
      </c>
      <c r="AO490" s="125">
        <f t="shared" ref="AO490" si="1397">L485</f>
        <v>0</v>
      </c>
      <c r="AP490" s="126">
        <f t="shared" ref="AP490" si="1398">M485</f>
        <v>1</v>
      </c>
      <c r="AQ490" s="125">
        <f t="shared" ref="AQ490" si="1399">N485</f>
        <v>0</v>
      </c>
      <c r="AR490" s="126">
        <f t="shared" ref="AR490" si="1400">O485</f>
        <v>1</v>
      </c>
      <c r="AS490" s="125">
        <f t="shared" ref="AS490" si="1401">J486</f>
        <v>0</v>
      </c>
      <c r="AT490" s="126">
        <f t="shared" ref="AT490" si="1402">K486</f>
        <v>1</v>
      </c>
      <c r="AU490" s="125">
        <f t="shared" ref="AU490" si="1403">L486</f>
        <v>0</v>
      </c>
      <c r="AV490" s="126">
        <f t="shared" ref="AV490" si="1404">M486</f>
        <v>0</v>
      </c>
      <c r="AW490" s="125">
        <f t="shared" ref="AW490" si="1405">N486</f>
        <v>0</v>
      </c>
      <c r="AX490" s="126">
        <f t="shared" ref="AX490" si="1406">O486</f>
        <v>1</v>
      </c>
    </row>
    <row r="493" spans="1:50" ht="24.95" customHeight="1" x14ac:dyDescent="0.25">
      <c r="A493" s="127" t="s">
        <v>612</v>
      </c>
      <c r="B493" s="127"/>
      <c r="C493" s="77">
        <f>'Key Generator'!D374</f>
        <v>1</v>
      </c>
      <c r="D493" s="77">
        <f>'Key Generator'!E374</f>
        <v>2</v>
      </c>
      <c r="E493" s="77">
        <f>'Key Generator'!F374</f>
        <v>3</v>
      </c>
      <c r="F493" s="77">
        <f>'Key Generator'!G374</f>
        <v>4</v>
      </c>
      <c r="G493" s="77">
        <f>'Key Generator'!H374</f>
        <v>5</v>
      </c>
      <c r="H493" s="77">
        <f>'Key Generator'!I374</f>
        <v>6</v>
      </c>
      <c r="I493" s="77">
        <f>'Key Generator'!J374</f>
        <v>7</v>
      </c>
      <c r="J493" s="77">
        <f>'Key Generator'!K374</f>
        <v>8</v>
      </c>
      <c r="K493" s="77">
        <f>'Key Generator'!L374</f>
        <v>9</v>
      </c>
      <c r="L493" s="77">
        <f>'Key Generator'!M374</f>
        <v>10</v>
      </c>
      <c r="M493" s="77">
        <f>'Key Generator'!N374</f>
        <v>11</v>
      </c>
      <c r="N493" s="77">
        <f>'Key Generator'!O374</f>
        <v>12</v>
      </c>
      <c r="O493" s="77">
        <f>'Key Generator'!P374</f>
        <v>13</v>
      </c>
      <c r="P493" s="77">
        <f>'Key Generator'!Q374</f>
        <v>14</v>
      </c>
      <c r="Q493" s="77">
        <f>'Key Generator'!R374</f>
        <v>15</v>
      </c>
      <c r="R493" s="77">
        <f>'Key Generator'!S374</f>
        <v>16</v>
      </c>
      <c r="S493" s="77">
        <f>'Key Generator'!T374</f>
        <v>17</v>
      </c>
      <c r="T493" s="77">
        <f>'Key Generator'!U374</f>
        <v>18</v>
      </c>
      <c r="U493" s="77">
        <f>'Key Generator'!V374</f>
        <v>19</v>
      </c>
      <c r="V493" s="77">
        <f>'Key Generator'!W374</f>
        <v>20</v>
      </c>
      <c r="W493" s="77">
        <f>'Key Generator'!X374</f>
        <v>21</v>
      </c>
      <c r="X493" s="77">
        <f>'Key Generator'!Y374</f>
        <v>22</v>
      </c>
      <c r="Y493" s="77">
        <f>'Key Generator'!Z374</f>
        <v>23</v>
      </c>
      <c r="Z493" s="77">
        <f>'Key Generator'!AA374</f>
        <v>24</v>
      </c>
      <c r="AA493" s="77">
        <f>'Key Generator'!AB374</f>
        <v>25</v>
      </c>
      <c r="AB493" s="77">
        <f>'Key Generator'!AC374</f>
        <v>26</v>
      </c>
      <c r="AC493" s="77">
        <f>'Key Generator'!AD374</f>
        <v>27</v>
      </c>
      <c r="AD493" s="77">
        <f>'Key Generator'!AE374</f>
        <v>28</v>
      </c>
      <c r="AE493" s="77">
        <f>'Key Generator'!AF374</f>
        <v>29</v>
      </c>
      <c r="AF493" s="77">
        <f>'Key Generator'!AG374</f>
        <v>30</v>
      </c>
      <c r="AG493" s="77">
        <f>'Key Generator'!AH374</f>
        <v>31</v>
      </c>
      <c r="AH493" s="77">
        <f>'Key Generator'!AI374</f>
        <v>32</v>
      </c>
      <c r="AI493" s="77">
        <f>'Key Generator'!AJ374</f>
        <v>33</v>
      </c>
      <c r="AJ493" s="77">
        <f>'Key Generator'!AK374</f>
        <v>34</v>
      </c>
      <c r="AK493" s="77">
        <f>'Key Generator'!AL374</f>
        <v>35</v>
      </c>
      <c r="AL493" s="77">
        <f>'Key Generator'!AM374</f>
        <v>36</v>
      </c>
      <c r="AM493" s="77">
        <f>'Key Generator'!AN374</f>
        <v>37</v>
      </c>
      <c r="AN493" s="77">
        <f>'Key Generator'!AO374</f>
        <v>38</v>
      </c>
      <c r="AO493" s="77">
        <f>'Key Generator'!AP374</f>
        <v>39</v>
      </c>
      <c r="AP493" s="77">
        <f>'Key Generator'!AQ374</f>
        <v>40</v>
      </c>
      <c r="AQ493" s="77">
        <f>'Key Generator'!AR374</f>
        <v>41</v>
      </c>
      <c r="AR493" s="77">
        <f>'Key Generator'!AS374</f>
        <v>42</v>
      </c>
      <c r="AS493" s="77">
        <f>'Key Generator'!AT374</f>
        <v>43</v>
      </c>
      <c r="AT493" s="77">
        <f>'Key Generator'!AU374</f>
        <v>44</v>
      </c>
      <c r="AU493" s="77">
        <f>'Key Generator'!AV374</f>
        <v>45</v>
      </c>
      <c r="AV493" s="77">
        <f>'Key Generator'!AW374</f>
        <v>46</v>
      </c>
      <c r="AW493" s="77">
        <f>'Key Generator'!AX374</f>
        <v>47</v>
      </c>
      <c r="AX493" s="77">
        <f>'Key Generator'!AY374</f>
        <v>48</v>
      </c>
    </row>
    <row r="494" spans="1:50" ht="24.95" customHeight="1" x14ac:dyDescent="0.25">
      <c r="C494" s="77">
        <f>'Key Generator'!D375</f>
        <v>0</v>
      </c>
      <c r="D494" s="77">
        <f>'Key Generator'!E375</f>
        <v>1</v>
      </c>
      <c r="E494" s="77">
        <f>'Key Generator'!F375</f>
        <v>0</v>
      </c>
      <c r="F494" s="77">
        <f>'Key Generator'!G375</f>
        <v>1</v>
      </c>
      <c r="G494" s="77">
        <f>'Key Generator'!H375</f>
        <v>0</v>
      </c>
      <c r="H494" s="77">
        <f>'Key Generator'!I375</f>
        <v>0</v>
      </c>
      <c r="I494" s="77">
        <f>'Key Generator'!J375</f>
        <v>0</v>
      </c>
      <c r="J494" s="77">
        <f>'Key Generator'!K375</f>
        <v>0</v>
      </c>
      <c r="K494" s="77">
        <f>'Key Generator'!L375</f>
        <v>1</v>
      </c>
      <c r="L494" s="77">
        <f>'Key Generator'!M375</f>
        <v>0</v>
      </c>
      <c r="M494" s="77">
        <f>'Key Generator'!N375</f>
        <v>1</v>
      </c>
      <c r="N494" s="77">
        <f>'Key Generator'!O375</f>
        <v>0</v>
      </c>
      <c r="O494" s="77">
        <f>'Key Generator'!P375</f>
        <v>1</v>
      </c>
      <c r="P494" s="77">
        <f>'Key Generator'!Q375</f>
        <v>0</v>
      </c>
      <c r="Q494" s="77">
        <f>'Key Generator'!R375</f>
        <v>0</v>
      </c>
      <c r="R494" s="77">
        <f>'Key Generator'!S375</f>
        <v>0</v>
      </c>
      <c r="S494" s="77">
        <f>'Key Generator'!T375</f>
        <v>0</v>
      </c>
      <c r="T494" s="77">
        <f>'Key Generator'!U375</f>
        <v>0</v>
      </c>
      <c r="U494" s="77">
        <f>'Key Generator'!V375</f>
        <v>0</v>
      </c>
      <c r="V494" s="77">
        <f>'Key Generator'!W375</f>
        <v>1</v>
      </c>
      <c r="W494" s="77">
        <f>'Key Generator'!X375</f>
        <v>1</v>
      </c>
      <c r="X494" s="77">
        <f>'Key Generator'!Y375</f>
        <v>1</v>
      </c>
      <c r="Y494" s="77">
        <f>'Key Generator'!Z375</f>
        <v>0</v>
      </c>
      <c r="Z494" s="77">
        <f>'Key Generator'!AA375</f>
        <v>0</v>
      </c>
      <c r="AA494" s="77">
        <f>'Key Generator'!AB375</f>
        <v>1</v>
      </c>
      <c r="AB494" s="77">
        <f>'Key Generator'!AC375</f>
        <v>1</v>
      </c>
      <c r="AC494" s="77">
        <f>'Key Generator'!AD375</f>
        <v>1</v>
      </c>
      <c r="AD494" s="77">
        <f>'Key Generator'!AE375</f>
        <v>1</v>
      </c>
      <c r="AE494" s="77">
        <f>'Key Generator'!AF375</f>
        <v>1</v>
      </c>
      <c r="AF494" s="77">
        <f>'Key Generator'!AG375</f>
        <v>1</v>
      </c>
      <c r="AG494" s="77">
        <f>'Key Generator'!AH375</f>
        <v>1</v>
      </c>
      <c r="AH494" s="77">
        <f>'Key Generator'!AI375</f>
        <v>0</v>
      </c>
      <c r="AI494" s="77">
        <f>'Key Generator'!AJ375</f>
        <v>0</v>
      </c>
      <c r="AJ494" s="77">
        <f>'Key Generator'!AK375</f>
        <v>1</v>
      </c>
      <c r="AK494" s="77">
        <f>'Key Generator'!AL375</f>
        <v>1</v>
      </c>
      <c r="AL494" s="77">
        <f>'Key Generator'!AM375</f>
        <v>0</v>
      </c>
      <c r="AM494" s="77">
        <f>'Key Generator'!AN375</f>
        <v>1</v>
      </c>
      <c r="AN494" s="77">
        <f>'Key Generator'!AO375</f>
        <v>1</v>
      </c>
      <c r="AO494" s="77">
        <f>'Key Generator'!AP375</f>
        <v>1</v>
      </c>
      <c r="AP494" s="77">
        <f>'Key Generator'!AQ375</f>
        <v>0</v>
      </c>
      <c r="AQ494" s="77">
        <f>'Key Generator'!AR375</f>
        <v>0</v>
      </c>
      <c r="AR494" s="77">
        <f>'Key Generator'!AS375</f>
        <v>0</v>
      </c>
      <c r="AS494" s="77">
        <f>'Key Generator'!AT375</f>
        <v>0</v>
      </c>
      <c r="AT494" s="77">
        <f>'Key Generator'!AU375</f>
        <v>1</v>
      </c>
      <c r="AU494" s="77">
        <f>'Key Generator'!AV375</f>
        <v>0</v>
      </c>
      <c r="AV494" s="77">
        <f>'Key Generator'!AW375</f>
        <v>0</v>
      </c>
      <c r="AW494" s="77">
        <f>'Key Generator'!AX375</f>
        <v>0</v>
      </c>
      <c r="AX494" s="77">
        <f>'Key Generator'!AY375</f>
        <v>1</v>
      </c>
    </row>
    <row r="497" spans="1:55" ht="24.95" customHeight="1" x14ac:dyDescent="0.25">
      <c r="A497" s="128" t="s">
        <v>535</v>
      </c>
      <c r="B497" s="129"/>
      <c r="C497" s="79">
        <v>1</v>
      </c>
      <c r="D497" s="80">
        <v>2</v>
      </c>
      <c r="E497" s="79">
        <v>3</v>
      </c>
      <c r="F497" s="80">
        <v>4</v>
      </c>
      <c r="G497" s="79">
        <v>5</v>
      </c>
      <c r="H497" s="80">
        <v>6</v>
      </c>
      <c r="I497" s="79">
        <v>7</v>
      </c>
      <c r="J497" s="80">
        <v>8</v>
      </c>
      <c r="K497" s="79">
        <v>9</v>
      </c>
      <c r="L497" s="80">
        <v>10</v>
      </c>
      <c r="M497" s="79">
        <v>11</v>
      </c>
      <c r="N497" s="80">
        <v>12</v>
      </c>
      <c r="O497" s="79">
        <v>13</v>
      </c>
      <c r="P497" s="80">
        <v>14</v>
      </c>
      <c r="Q497" s="79">
        <v>15</v>
      </c>
      <c r="R497" s="80">
        <v>16</v>
      </c>
      <c r="S497" s="79">
        <v>17</v>
      </c>
      <c r="T497" s="80">
        <v>18</v>
      </c>
      <c r="U497" s="79">
        <v>19</v>
      </c>
      <c r="V497" s="80">
        <v>20</v>
      </c>
      <c r="W497" s="79">
        <v>21</v>
      </c>
      <c r="X497" s="80">
        <v>22</v>
      </c>
      <c r="Y497" s="79">
        <v>23</v>
      </c>
      <c r="Z497" s="80">
        <v>24</v>
      </c>
      <c r="AA497" s="79">
        <v>25</v>
      </c>
      <c r="AB497" s="80">
        <v>26</v>
      </c>
      <c r="AC497" s="79">
        <v>27</v>
      </c>
      <c r="AD497" s="80">
        <v>28</v>
      </c>
      <c r="AE497" s="79">
        <v>29</v>
      </c>
      <c r="AF497" s="80">
        <v>30</v>
      </c>
      <c r="AG497" s="79">
        <v>31</v>
      </c>
      <c r="AH497" s="80">
        <v>32</v>
      </c>
      <c r="AI497" s="79">
        <v>33</v>
      </c>
      <c r="AJ497" s="80">
        <v>34</v>
      </c>
      <c r="AK497" s="79">
        <v>35</v>
      </c>
      <c r="AL497" s="80">
        <v>36</v>
      </c>
      <c r="AM497" s="79">
        <v>37</v>
      </c>
      <c r="AN497" s="80">
        <v>38</v>
      </c>
      <c r="AO497" s="79">
        <v>39</v>
      </c>
      <c r="AP497" s="80">
        <v>40</v>
      </c>
      <c r="AQ497" s="79">
        <v>41</v>
      </c>
      <c r="AR497" s="80">
        <v>42</v>
      </c>
      <c r="AS497" s="79">
        <v>43</v>
      </c>
      <c r="AT497" s="80">
        <v>44</v>
      </c>
      <c r="AU497" s="79">
        <v>45</v>
      </c>
      <c r="AV497" s="80">
        <v>46</v>
      </c>
      <c r="AW497" s="79">
        <v>47</v>
      </c>
      <c r="AX497" s="80">
        <v>48</v>
      </c>
    </row>
    <row r="498" spans="1:55" ht="24.95" customHeight="1" x14ac:dyDescent="0.25">
      <c r="C498" s="88">
        <f>--_xlfn.XOR(C490,'Key Generator'!D375)</f>
        <v>0</v>
      </c>
      <c r="D498" s="88">
        <f>--_xlfn.XOR(D490,'Key Generator'!E375)</f>
        <v>0</v>
      </c>
      <c r="E498" s="88">
        <f>--_xlfn.XOR(E490,'Key Generator'!F375)</f>
        <v>0</v>
      </c>
      <c r="F498" s="88">
        <f>--_xlfn.XOR(F490,'Key Generator'!G375)</f>
        <v>0</v>
      </c>
      <c r="G498" s="88">
        <f>--_xlfn.XOR(G490,'Key Generator'!H375)</f>
        <v>1</v>
      </c>
      <c r="H498" s="88">
        <f>--_xlfn.XOR(H490,'Key Generator'!I375)</f>
        <v>0</v>
      </c>
      <c r="I498" s="87">
        <f>--_xlfn.XOR(I490,'Key Generator'!J375)</f>
        <v>1</v>
      </c>
      <c r="J498" s="87">
        <f>--_xlfn.XOR(J490,'Key Generator'!K375)</f>
        <v>0</v>
      </c>
      <c r="K498" s="87">
        <f>--_xlfn.XOR(K490,'Key Generator'!L375)</f>
        <v>1</v>
      </c>
      <c r="L498" s="87">
        <f>--_xlfn.XOR(L490,'Key Generator'!M375)</f>
        <v>1</v>
      </c>
      <c r="M498" s="87">
        <f>--_xlfn.XOR(M490,'Key Generator'!N375)</f>
        <v>0</v>
      </c>
      <c r="N498" s="87">
        <f>--_xlfn.XOR(N490,'Key Generator'!O375)</f>
        <v>1</v>
      </c>
      <c r="O498" s="89">
        <f>--_xlfn.XOR(O490,'Key Generator'!P375)</f>
        <v>0</v>
      </c>
      <c r="P498" s="89">
        <f>--_xlfn.XOR(P490,'Key Generator'!Q375)</f>
        <v>1</v>
      </c>
      <c r="Q498" s="89">
        <f>--_xlfn.XOR(Q490,'Key Generator'!R375)</f>
        <v>1</v>
      </c>
      <c r="R498" s="89">
        <f>--_xlfn.XOR(R490,'Key Generator'!S375)</f>
        <v>0</v>
      </c>
      <c r="S498" s="89">
        <f>--_xlfn.XOR(S490,'Key Generator'!T375)</f>
        <v>1</v>
      </c>
      <c r="T498" s="89">
        <f>--_xlfn.XOR(T490,'Key Generator'!U375)</f>
        <v>0</v>
      </c>
      <c r="U498" s="90">
        <f>--_xlfn.XOR(U490,'Key Generator'!V375)</f>
        <v>1</v>
      </c>
      <c r="V498" s="90">
        <f>--_xlfn.XOR(V490,'Key Generator'!W375)</f>
        <v>1</v>
      </c>
      <c r="W498" s="90">
        <f>--_xlfn.XOR(W490,'Key Generator'!X375)</f>
        <v>1</v>
      </c>
      <c r="X498" s="90">
        <f>--_xlfn.XOR(X490,'Key Generator'!Y375)</f>
        <v>0</v>
      </c>
      <c r="Y498" s="90">
        <f>--_xlfn.XOR(Y490,'Key Generator'!Z375)</f>
        <v>1</v>
      </c>
      <c r="Z498" s="90">
        <f>--_xlfn.XOR(Z490,'Key Generator'!AA375)</f>
        <v>1</v>
      </c>
      <c r="AA498" s="91">
        <f>--_xlfn.XOR(AA490,'Key Generator'!AB375)</f>
        <v>0</v>
      </c>
      <c r="AB498" s="91">
        <f>--_xlfn.XOR(AB490,'Key Generator'!AC375)</f>
        <v>0</v>
      </c>
      <c r="AC498" s="91">
        <f>--_xlfn.XOR(AC490,'Key Generator'!AD375)</f>
        <v>1</v>
      </c>
      <c r="AD498" s="91">
        <f>--_xlfn.XOR(AD490,'Key Generator'!AE375)</f>
        <v>1</v>
      </c>
      <c r="AE498" s="91">
        <f>--_xlfn.XOR(AE490,'Key Generator'!AF375)</f>
        <v>0</v>
      </c>
      <c r="AF498" s="91">
        <f>--_xlfn.XOR(AF490,'Key Generator'!AG375)</f>
        <v>0</v>
      </c>
      <c r="AG498" s="92">
        <f>--_xlfn.XOR(AG490,'Key Generator'!AH375)</f>
        <v>0</v>
      </c>
      <c r="AH498" s="92">
        <f>--_xlfn.XOR(AH490,'Key Generator'!AI375)</f>
        <v>1</v>
      </c>
      <c r="AI498" s="92">
        <f>--_xlfn.XOR(AI490,'Key Generator'!AJ375)</f>
        <v>1</v>
      </c>
      <c r="AJ498" s="92">
        <f>--_xlfn.XOR(AJ490,'Key Generator'!AK375)</f>
        <v>1</v>
      </c>
      <c r="AK498" s="92">
        <f>--_xlfn.XOR(AK490,'Key Generator'!AL375)</f>
        <v>0</v>
      </c>
      <c r="AL498" s="92">
        <f>--_xlfn.XOR(AL490,'Key Generator'!AM375)</f>
        <v>1</v>
      </c>
      <c r="AM498" s="86">
        <f>--_xlfn.XOR(AM490,'Key Generator'!AN375)</f>
        <v>0</v>
      </c>
      <c r="AN498" s="86">
        <f>--_xlfn.XOR(AN490,'Key Generator'!AO375)</f>
        <v>0</v>
      </c>
      <c r="AO498" s="86">
        <f>--_xlfn.XOR(AO490,'Key Generator'!AP375)</f>
        <v>1</v>
      </c>
      <c r="AP498" s="86">
        <f>--_xlfn.XOR(AP490,'Key Generator'!AQ375)</f>
        <v>1</v>
      </c>
      <c r="AQ498" s="86">
        <f>--_xlfn.XOR(AQ490,'Key Generator'!AR375)</f>
        <v>0</v>
      </c>
      <c r="AR498" s="86">
        <f>--_xlfn.XOR(AR490,'Key Generator'!AS375)</f>
        <v>1</v>
      </c>
      <c r="AS498" s="81">
        <f>--_xlfn.XOR(AS490,'Key Generator'!AT375)</f>
        <v>0</v>
      </c>
      <c r="AT498" s="81">
        <f>--_xlfn.XOR(AT490,'Key Generator'!AU375)</f>
        <v>0</v>
      </c>
      <c r="AU498" s="81">
        <f>--_xlfn.XOR(AU490,'Key Generator'!AV375)</f>
        <v>0</v>
      </c>
      <c r="AV498" s="81">
        <f>--_xlfn.XOR(AV490,'Key Generator'!AW375)</f>
        <v>0</v>
      </c>
      <c r="AW498" s="81">
        <f>--_xlfn.XOR(AW490,'Key Generator'!AX375)</f>
        <v>0</v>
      </c>
      <c r="AX498" s="81">
        <f>--_xlfn.XOR(AX490,'Key Generator'!AY375)</f>
        <v>0</v>
      </c>
      <c r="AZ498" s="20"/>
      <c r="BA498" s="20"/>
      <c r="BB498" s="20"/>
      <c r="BC498" s="20"/>
    </row>
    <row r="499" spans="1:55" ht="24.95" customHeight="1" x14ac:dyDescent="0.25">
      <c r="C499" s="93"/>
      <c r="D499" s="94"/>
      <c r="E499" s="94"/>
      <c r="F499" s="94"/>
      <c r="G499" s="94"/>
      <c r="H499" s="94"/>
      <c r="AZ499" s="20"/>
      <c r="BA499" s="20"/>
      <c r="BB499" s="20"/>
      <c r="BC499" s="20"/>
    </row>
    <row r="500" spans="1:55" ht="24.95" customHeight="1" x14ac:dyDescent="0.25">
      <c r="A500" s="96" t="s">
        <v>545</v>
      </c>
      <c r="B500" s="97"/>
      <c r="C500" s="101">
        <f>D498*8+E498*4+F498*2+G498</f>
        <v>1</v>
      </c>
      <c r="D500" s="123" t="s">
        <v>536</v>
      </c>
      <c r="E500" s="97"/>
      <c r="F500" s="97"/>
      <c r="G500" s="97"/>
      <c r="H500" s="97"/>
      <c r="I500" s="101">
        <f>J498*8+K498*4+L498*2+M498</f>
        <v>6</v>
      </c>
      <c r="J500" s="122" t="s">
        <v>537</v>
      </c>
      <c r="K500" s="97"/>
      <c r="L500" s="97"/>
      <c r="M500" s="97"/>
      <c r="N500" s="97"/>
      <c r="O500" s="101">
        <f>P498*8+Q498*4+R498*2+S498</f>
        <v>13</v>
      </c>
      <c r="P500" s="122" t="s">
        <v>538</v>
      </c>
      <c r="Q500" s="97"/>
      <c r="R500" s="97"/>
      <c r="S500" s="97"/>
      <c r="T500" s="97"/>
      <c r="U500" s="101">
        <f>V498*8+W498*4+X498*2+Y498</f>
        <v>13</v>
      </c>
      <c r="V500" s="122" t="s">
        <v>539</v>
      </c>
      <c r="W500" s="97"/>
      <c r="X500" s="97"/>
      <c r="Y500" s="97"/>
      <c r="Z500" s="97"/>
      <c r="AA500" s="101">
        <f>AB498*8+AC498*4+AD498*2+AE498</f>
        <v>6</v>
      </c>
      <c r="AB500" s="122" t="s">
        <v>540</v>
      </c>
      <c r="AC500" s="97"/>
      <c r="AD500" s="97"/>
      <c r="AE500" s="97"/>
      <c r="AF500" s="97"/>
      <c r="AG500" s="101">
        <f>AH498*8+AI498*4+AJ498*2+AK498</f>
        <v>14</v>
      </c>
      <c r="AH500" s="122" t="s">
        <v>541</v>
      </c>
      <c r="AI500" s="97"/>
      <c r="AJ500" s="97"/>
      <c r="AK500" s="97"/>
      <c r="AL500" s="97"/>
      <c r="AM500" s="101">
        <f>AN498*8+AO498*4+AP498*2+AQ498</f>
        <v>6</v>
      </c>
      <c r="AN500" s="122" t="s">
        <v>542</v>
      </c>
      <c r="AO500" s="97"/>
      <c r="AP500" s="97"/>
      <c r="AQ500" s="97"/>
      <c r="AR500" s="97"/>
      <c r="AS500" s="101">
        <f>AT498*8+AU498*4+AV498*2+AW498</f>
        <v>0</v>
      </c>
      <c r="AT500" s="122" t="s">
        <v>543</v>
      </c>
      <c r="AU500" s="97"/>
      <c r="AV500" s="97"/>
      <c r="AW500" s="97"/>
      <c r="AX500" s="97"/>
      <c r="AY500" s="97"/>
      <c r="AZ500" s="20"/>
      <c r="BA500" s="20"/>
      <c r="BB500" s="20"/>
      <c r="BC500" s="20"/>
    </row>
    <row r="501" spans="1:55" ht="24.95" customHeight="1" x14ac:dyDescent="0.25">
      <c r="A501" s="100" t="s">
        <v>546</v>
      </c>
      <c r="B501" s="99"/>
      <c r="C501" s="87">
        <f>C498*2+H498</f>
        <v>0</v>
      </c>
      <c r="D501" s="98"/>
      <c r="E501" s="98"/>
      <c r="F501" s="99"/>
      <c r="G501" s="99"/>
      <c r="H501" s="99"/>
      <c r="I501" s="87">
        <f>I498*2+N498</f>
        <v>3</v>
      </c>
      <c r="J501" s="99"/>
      <c r="K501" s="99"/>
      <c r="L501" s="99"/>
      <c r="M501" s="99"/>
      <c r="N501" s="99"/>
      <c r="O501" s="87">
        <f>O498*2+T498</f>
        <v>0</v>
      </c>
      <c r="P501" s="99"/>
      <c r="Q501" s="99"/>
      <c r="R501" s="99"/>
      <c r="S501" s="99"/>
      <c r="T501" s="99"/>
      <c r="U501" s="87">
        <f>U498*2+Z498</f>
        <v>3</v>
      </c>
      <c r="V501" s="99"/>
      <c r="W501" s="99"/>
      <c r="X501" s="99"/>
      <c r="Y501" s="99"/>
      <c r="Z501" s="99"/>
      <c r="AA501" s="87">
        <f>AA498*2+AF498</f>
        <v>0</v>
      </c>
      <c r="AB501" s="99"/>
      <c r="AC501" s="99"/>
      <c r="AD501" s="99"/>
      <c r="AE501" s="99"/>
      <c r="AF501" s="99"/>
      <c r="AG501" s="87">
        <f>AG498*2+AL498</f>
        <v>1</v>
      </c>
      <c r="AH501" s="99"/>
      <c r="AI501" s="99"/>
      <c r="AJ501" s="99"/>
      <c r="AK501" s="99"/>
      <c r="AL501" s="99"/>
      <c r="AM501" s="87">
        <f>AM498*2+AR498</f>
        <v>1</v>
      </c>
      <c r="AN501" s="99"/>
      <c r="AO501" s="99"/>
      <c r="AP501" s="99"/>
      <c r="AQ501" s="99"/>
      <c r="AR501" s="99"/>
      <c r="AS501" s="87">
        <f>AS498*2+AX498</f>
        <v>0</v>
      </c>
      <c r="AT501" s="99"/>
      <c r="AU501" s="99"/>
      <c r="AV501" s="99"/>
      <c r="AW501" s="99"/>
      <c r="AX501" s="99"/>
      <c r="AY501" s="99"/>
      <c r="AZ501" s="20"/>
      <c r="BA501" s="20"/>
      <c r="BB501" s="20"/>
      <c r="BC501" s="20"/>
    </row>
    <row r="502" spans="1:55" ht="24.95" customHeight="1" x14ac:dyDescent="0.25">
      <c r="AZ502" s="20"/>
      <c r="BA502" s="20"/>
      <c r="BB502" s="20"/>
      <c r="BC502" s="20"/>
    </row>
    <row r="503" spans="1:55" ht="24.95" customHeight="1" x14ac:dyDescent="0.25">
      <c r="A503" s="117" t="s">
        <v>547</v>
      </c>
      <c r="C503" s="72">
        <f>INDEX('S-Box'!D3:S6,'DES-Enc'!C501+1,'DES-Enc'!C500+1)</f>
        <v>4</v>
      </c>
      <c r="I503" s="102">
        <f>INDEX('S-Box'!D9:S12,'DES-Enc'!I501+1,'DES-Enc'!I500+1)</f>
        <v>4</v>
      </c>
      <c r="O503" s="102">
        <f>INDEX('S-Box'!D15:S18,'DES-Enc'!O501+1,'DES-Enc'!O500+1)</f>
        <v>4</v>
      </c>
      <c r="U503" s="102">
        <f>INDEX('S-Box'!D21:S24,'DES-Enc'!U501+1,'DES-Enc'!U500+1)</f>
        <v>7</v>
      </c>
      <c r="AA503" s="102">
        <f>INDEX('S-Box'!D27:S30,'DES-Enc'!AA501+1,'DES-Enc'!AA500+1)</f>
        <v>11</v>
      </c>
      <c r="AG503" s="102">
        <f>INDEX('S-Box'!D33:S36,'DES-Enc'!AG501+1,'DES-Enc'!AG500+1)</f>
        <v>3</v>
      </c>
      <c r="AM503" s="102">
        <f>INDEX('S-Box'!D39:S42,'DES-Enc'!AM501+1,'DES-Enc'!AM500+1)</f>
        <v>1</v>
      </c>
      <c r="AS503" s="102">
        <f>INDEX('S-Box'!D45:S48,'DES-Enc'!AS501+1,'DES-Enc'!AS500+1)</f>
        <v>13</v>
      </c>
      <c r="AZ503" s="20"/>
      <c r="BA503" s="20"/>
      <c r="BB503" s="20"/>
      <c r="BC503" s="20"/>
    </row>
    <row r="504" spans="1:55" ht="24.95" customHeight="1" x14ac:dyDescent="0.25">
      <c r="C504" s="104"/>
      <c r="I504" s="95"/>
      <c r="O504" s="95"/>
      <c r="U504" s="95"/>
      <c r="AA504" s="95"/>
      <c r="AG504" s="95"/>
      <c r="AM504" s="95"/>
      <c r="AS504" s="95"/>
    </row>
    <row r="505" spans="1:55" ht="24.95" customHeight="1" x14ac:dyDescent="0.25">
      <c r="C505" s="105" t="str">
        <f>MID(DEC2BIN(C503,4),1,1)</f>
        <v>0</v>
      </c>
      <c r="D505" s="106" t="str">
        <f>MID(DEC2BIN(C503,4),2,1)</f>
        <v>1</v>
      </c>
      <c r="E505" s="106" t="str">
        <f>MID(DEC2BIN(C503,4),3,1)</f>
        <v>0</v>
      </c>
      <c r="F505" s="107" t="str">
        <f>MID(DEC2BIN(C503,4),4,1)</f>
        <v>0</v>
      </c>
      <c r="I505" s="105" t="str">
        <f>MID(DEC2BIN(I503,4),1,1)</f>
        <v>0</v>
      </c>
      <c r="J505" s="106" t="str">
        <f>MID(DEC2BIN(I503,4),2,1)</f>
        <v>1</v>
      </c>
      <c r="K505" s="106" t="str">
        <f>MID(DEC2BIN(I503,4),3,1)</f>
        <v>0</v>
      </c>
      <c r="L505" s="107" t="str">
        <f>MID(DEC2BIN(I503,4),4,1)</f>
        <v>0</v>
      </c>
      <c r="O505" s="105" t="str">
        <f>MID(DEC2BIN(O503,4),1,1)</f>
        <v>0</v>
      </c>
      <c r="P505" s="106" t="str">
        <f>MID(DEC2BIN(O503,4),2,1)</f>
        <v>1</v>
      </c>
      <c r="Q505" s="106" t="str">
        <f>MID(DEC2BIN(O503,4),3,1)</f>
        <v>0</v>
      </c>
      <c r="R505" s="107" t="str">
        <f>MID(DEC2BIN(O503,4),4,1)</f>
        <v>0</v>
      </c>
      <c r="U505" s="105" t="str">
        <f>MID(DEC2BIN(U503,4),1,1)</f>
        <v>0</v>
      </c>
      <c r="V505" s="106" t="str">
        <f>MID(DEC2BIN(U503,4),2,1)</f>
        <v>1</v>
      </c>
      <c r="W505" s="106" t="str">
        <f>MID(DEC2BIN(U503,4),3,1)</f>
        <v>1</v>
      </c>
      <c r="X505" s="107" t="str">
        <f>MID(DEC2BIN(U503,4),4,1)</f>
        <v>1</v>
      </c>
      <c r="AA505" s="105" t="str">
        <f>MID(DEC2BIN(AA503,4),1,1)</f>
        <v>1</v>
      </c>
      <c r="AB505" s="106" t="str">
        <f>MID(DEC2BIN(AA503,4),2,1)</f>
        <v>0</v>
      </c>
      <c r="AC505" s="106" t="str">
        <f>MID(DEC2BIN(AA503,4),3,1)</f>
        <v>1</v>
      </c>
      <c r="AD505" s="107" t="str">
        <f>MID(DEC2BIN(AA503,4),4,1)</f>
        <v>1</v>
      </c>
      <c r="AG505" s="105" t="str">
        <f>MID(DEC2BIN(AG503,4),1,1)</f>
        <v>0</v>
      </c>
      <c r="AH505" s="106" t="str">
        <f>MID(DEC2BIN(AG503,4),2,1)</f>
        <v>0</v>
      </c>
      <c r="AI505" s="106" t="str">
        <f>MID(DEC2BIN(AG503,4),3,1)</f>
        <v>1</v>
      </c>
      <c r="AJ505" s="107" t="str">
        <f>MID(DEC2BIN(AG503,4),4,1)</f>
        <v>1</v>
      </c>
      <c r="AM505" s="105" t="str">
        <f>MID(DEC2BIN(AM503,4),1,1)</f>
        <v>0</v>
      </c>
      <c r="AN505" s="106" t="str">
        <f>MID(DEC2BIN(AM503,4),2,1)</f>
        <v>0</v>
      </c>
      <c r="AO505" s="106" t="str">
        <f>MID(DEC2BIN(AM503,4),3,1)</f>
        <v>0</v>
      </c>
      <c r="AP505" s="107" t="str">
        <f>MID(DEC2BIN(AM503,4),4,1)</f>
        <v>1</v>
      </c>
      <c r="AS505" s="105" t="str">
        <f>MID(DEC2BIN(AS503,4),1,1)</f>
        <v>1</v>
      </c>
      <c r="AT505" s="106" t="str">
        <f>MID(DEC2BIN(AS503,4),2,1)</f>
        <v>1</v>
      </c>
      <c r="AU505" s="106" t="str">
        <f>MID(DEC2BIN(AS503,4),3,1)</f>
        <v>0</v>
      </c>
      <c r="AV505" s="107" t="str">
        <f>MID(DEC2BIN(AS503,4),4,1)</f>
        <v>1</v>
      </c>
    </row>
    <row r="506" spans="1:55" ht="24.95" customHeight="1" x14ac:dyDescent="0.25">
      <c r="C506" s="21">
        <f>VALUE(C505)</f>
        <v>0</v>
      </c>
      <c r="D506" s="21">
        <f t="shared" ref="D506" si="1407">VALUE(D505)</f>
        <v>1</v>
      </c>
      <c r="E506" s="21">
        <f t="shared" ref="E506" si="1408">VALUE(E505)</f>
        <v>0</v>
      </c>
      <c r="F506" s="21">
        <f t="shared" ref="F506" si="1409">VALUE(F505)</f>
        <v>0</v>
      </c>
      <c r="I506" s="21">
        <f t="shared" ref="I506" si="1410">VALUE(I505)</f>
        <v>0</v>
      </c>
      <c r="J506" s="21">
        <f t="shared" ref="J506" si="1411">VALUE(J505)</f>
        <v>1</v>
      </c>
      <c r="K506" s="21">
        <f t="shared" ref="K506" si="1412">VALUE(K505)</f>
        <v>0</v>
      </c>
      <c r="L506" s="21">
        <f t="shared" ref="L506" si="1413">VALUE(L505)</f>
        <v>0</v>
      </c>
      <c r="O506" s="21">
        <f>VALUE(O505)</f>
        <v>0</v>
      </c>
      <c r="P506" s="21">
        <f t="shared" ref="P506" si="1414">VALUE(P505)</f>
        <v>1</v>
      </c>
      <c r="Q506" s="21">
        <f t="shared" ref="Q506" si="1415">VALUE(Q505)</f>
        <v>0</v>
      </c>
      <c r="R506" s="21">
        <f t="shared" ref="R506" si="1416">VALUE(R505)</f>
        <v>0</v>
      </c>
      <c r="U506" s="21">
        <f>VALUE(U505)</f>
        <v>0</v>
      </c>
      <c r="V506" s="21">
        <f t="shared" ref="V506" si="1417">VALUE(V505)</f>
        <v>1</v>
      </c>
      <c r="W506" s="21">
        <f t="shared" ref="W506" si="1418">VALUE(W505)</f>
        <v>1</v>
      </c>
      <c r="X506" s="21">
        <f t="shared" ref="X506" si="1419">VALUE(X505)</f>
        <v>1</v>
      </c>
      <c r="AA506" s="21">
        <f>VALUE(AA505)</f>
        <v>1</v>
      </c>
      <c r="AB506" s="21">
        <f t="shared" ref="AB506" si="1420">VALUE(AB505)</f>
        <v>0</v>
      </c>
      <c r="AC506" s="21">
        <f t="shared" ref="AC506" si="1421">VALUE(AC505)</f>
        <v>1</v>
      </c>
      <c r="AD506" s="21">
        <f t="shared" ref="AD506" si="1422">VALUE(AD505)</f>
        <v>1</v>
      </c>
      <c r="AG506" s="21">
        <f>VALUE(AG505)</f>
        <v>0</v>
      </c>
      <c r="AH506" s="21">
        <f t="shared" ref="AH506" si="1423">VALUE(AH505)</f>
        <v>0</v>
      </c>
      <c r="AI506" s="21">
        <f t="shared" ref="AI506" si="1424">VALUE(AI505)</f>
        <v>1</v>
      </c>
      <c r="AJ506" s="21">
        <f t="shared" ref="AJ506" si="1425">VALUE(AJ505)</f>
        <v>1</v>
      </c>
      <c r="AM506" s="21">
        <f>VALUE(AM505)</f>
        <v>0</v>
      </c>
      <c r="AN506" s="21">
        <f t="shared" ref="AN506" si="1426">VALUE(AN505)</f>
        <v>0</v>
      </c>
      <c r="AO506" s="21">
        <f t="shared" ref="AO506" si="1427">VALUE(AO505)</f>
        <v>0</v>
      </c>
      <c r="AP506" s="21">
        <f t="shared" ref="AP506" si="1428">VALUE(AP505)</f>
        <v>1</v>
      </c>
      <c r="AS506" s="21">
        <f>VALUE(AS505)</f>
        <v>1</v>
      </c>
      <c r="AT506" s="21">
        <f t="shared" ref="AT506" si="1429">VALUE(AT505)</f>
        <v>1</v>
      </c>
      <c r="AU506" s="21">
        <f t="shared" ref="AU506" si="1430">VALUE(AU505)</f>
        <v>0</v>
      </c>
      <c r="AV506" s="21">
        <f t="shared" ref="AV506" si="1431">VALUE(AV505)</f>
        <v>1</v>
      </c>
    </row>
    <row r="507" spans="1:55" ht="24.95" customHeight="1" x14ac:dyDescent="0.25">
      <c r="A507" s="111" t="s">
        <v>588</v>
      </c>
      <c r="B507" s="111"/>
      <c r="C507" s="111">
        <v>1</v>
      </c>
      <c r="D507" s="76">
        <v>2</v>
      </c>
      <c r="E507" s="111">
        <v>3</v>
      </c>
      <c r="F507" s="76">
        <v>4</v>
      </c>
      <c r="G507" s="111">
        <v>5</v>
      </c>
      <c r="H507" s="76">
        <v>6</v>
      </c>
      <c r="I507" s="111">
        <v>7</v>
      </c>
      <c r="J507" s="76">
        <v>8</v>
      </c>
      <c r="K507" s="111">
        <v>9</v>
      </c>
      <c r="L507" s="76">
        <v>10</v>
      </c>
      <c r="M507" s="111">
        <v>11</v>
      </c>
      <c r="N507" s="76">
        <v>12</v>
      </c>
      <c r="O507" s="111">
        <v>13</v>
      </c>
      <c r="P507" s="76">
        <v>14</v>
      </c>
      <c r="Q507" s="111">
        <v>15</v>
      </c>
      <c r="R507" s="76">
        <v>16</v>
      </c>
      <c r="S507" s="111">
        <v>17</v>
      </c>
      <c r="T507" s="76">
        <v>18</v>
      </c>
      <c r="U507" s="111">
        <v>19</v>
      </c>
      <c r="V507" s="76">
        <v>20</v>
      </c>
      <c r="W507" s="111">
        <v>21</v>
      </c>
      <c r="X507" s="76">
        <v>22</v>
      </c>
      <c r="Y507" s="111">
        <v>23</v>
      </c>
      <c r="Z507" s="76">
        <v>24</v>
      </c>
      <c r="AA507" s="111">
        <v>25</v>
      </c>
      <c r="AB507" s="76">
        <v>26</v>
      </c>
      <c r="AC507" s="111">
        <v>27</v>
      </c>
      <c r="AD507" s="76">
        <v>28</v>
      </c>
      <c r="AE507" s="111">
        <v>29</v>
      </c>
      <c r="AF507" s="76">
        <v>30</v>
      </c>
      <c r="AG507" s="111">
        <v>31</v>
      </c>
      <c r="AH507" s="76">
        <v>32</v>
      </c>
    </row>
    <row r="508" spans="1:55" ht="24.95" customHeight="1" x14ac:dyDescent="0.25">
      <c r="C508" s="108">
        <f>C506</f>
        <v>0</v>
      </c>
      <c r="D508" s="108">
        <f t="shared" ref="D508:F508" si="1432">D506</f>
        <v>1</v>
      </c>
      <c r="E508" s="108">
        <f t="shared" si="1432"/>
        <v>0</v>
      </c>
      <c r="F508" s="108">
        <f t="shared" si="1432"/>
        <v>0</v>
      </c>
      <c r="G508" s="23">
        <f>I506</f>
        <v>0</v>
      </c>
      <c r="H508" s="23">
        <f t="shared" ref="H508" si="1433">J506</f>
        <v>1</v>
      </c>
      <c r="I508" s="23">
        <f t="shared" ref="I508" si="1434">K506</f>
        <v>0</v>
      </c>
      <c r="J508" s="23">
        <f t="shared" ref="J508" si="1435">L506</f>
        <v>0</v>
      </c>
      <c r="K508" s="23">
        <f>O506</f>
        <v>0</v>
      </c>
      <c r="L508" s="23">
        <f t="shared" ref="L508" si="1436">P506</f>
        <v>1</v>
      </c>
      <c r="M508" s="23">
        <f t="shared" ref="M508" si="1437">Q506</f>
        <v>0</v>
      </c>
      <c r="N508" s="23">
        <f t="shared" ref="N508" si="1438">R506</f>
        <v>0</v>
      </c>
      <c r="O508" s="23">
        <f>U506</f>
        <v>0</v>
      </c>
      <c r="P508" s="23">
        <f t="shared" ref="P508" si="1439">V506</f>
        <v>1</v>
      </c>
      <c r="Q508" s="23">
        <f t="shared" ref="Q508" si="1440">W506</f>
        <v>1</v>
      </c>
      <c r="R508" s="23">
        <f t="shared" ref="R508" si="1441">X506</f>
        <v>1</v>
      </c>
      <c r="S508" s="23">
        <f>AA506</f>
        <v>1</v>
      </c>
      <c r="T508" s="23">
        <f t="shared" ref="T508" si="1442">AB506</f>
        <v>0</v>
      </c>
      <c r="U508" s="23">
        <f t="shared" ref="U508" si="1443">AC506</f>
        <v>1</v>
      </c>
      <c r="V508" s="23">
        <f t="shared" ref="V508" si="1444">AD506</f>
        <v>1</v>
      </c>
      <c r="W508" s="23">
        <f>AG506</f>
        <v>0</v>
      </c>
      <c r="X508" s="23">
        <f t="shared" ref="X508" si="1445">AH506</f>
        <v>0</v>
      </c>
      <c r="Y508" s="23">
        <f t="shared" ref="Y508" si="1446">AI506</f>
        <v>1</v>
      </c>
      <c r="Z508" s="23">
        <f t="shared" ref="Z508" si="1447">AJ506</f>
        <v>1</v>
      </c>
      <c r="AA508" s="23">
        <f>AM506</f>
        <v>0</v>
      </c>
      <c r="AB508" s="23">
        <f t="shared" ref="AB508" si="1448">AN506</f>
        <v>0</v>
      </c>
      <c r="AC508" s="23">
        <f t="shared" ref="AC508" si="1449">AO506</f>
        <v>0</v>
      </c>
      <c r="AD508" s="23">
        <f t="shared" ref="AD508" si="1450">AP506</f>
        <v>1</v>
      </c>
      <c r="AE508" s="23">
        <f>AS506</f>
        <v>1</v>
      </c>
      <c r="AF508" s="23">
        <f t="shared" ref="AF508" si="1451">AT506</f>
        <v>1</v>
      </c>
      <c r="AG508" s="23">
        <f t="shared" ref="AG508" si="1452">AU506</f>
        <v>0</v>
      </c>
      <c r="AH508" s="23">
        <f t="shared" ref="AH508" si="1453">AV506</f>
        <v>1</v>
      </c>
    </row>
    <row r="510" spans="1:55" ht="24.95" customHeight="1" x14ac:dyDescent="0.25">
      <c r="A510" s="110" t="s">
        <v>548</v>
      </c>
      <c r="B510" s="110"/>
      <c r="C510" s="109">
        <v>16</v>
      </c>
      <c r="D510" s="110">
        <v>7</v>
      </c>
      <c r="E510" s="110">
        <v>20</v>
      </c>
      <c r="F510" s="110">
        <v>21</v>
      </c>
      <c r="G510" s="110">
        <v>29</v>
      </c>
      <c r="H510" s="110">
        <v>12</v>
      </c>
      <c r="I510" s="110">
        <v>28</v>
      </c>
      <c r="J510" s="110">
        <v>17</v>
      </c>
      <c r="K510" s="110">
        <v>1</v>
      </c>
      <c r="L510" s="110">
        <v>15</v>
      </c>
      <c r="M510" s="110">
        <v>23</v>
      </c>
      <c r="N510" s="110">
        <v>26</v>
      </c>
      <c r="O510" s="110">
        <v>5</v>
      </c>
      <c r="P510" s="110">
        <v>18</v>
      </c>
      <c r="Q510" s="110">
        <v>31</v>
      </c>
      <c r="R510" s="110">
        <v>10</v>
      </c>
      <c r="S510" s="110">
        <v>2</v>
      </c>
      <c r="T510" s="110">
        <v>8</v>
      </c>
      <c r="U510" s="110">
        <v>24</v>
      </c>
      <c r="V510" s="110">
        <v>14</v>
      </c>
      <c r="W510" s="110">
        <v>32</v>
      </c>
      <c r="X510" s="110">
        <v>27</v>
      </c>
      <c r="Y510" s="110">
        <v>3</v>
      </c>
      <c r="Z510" s="110">
        <v>9</v>
      </c>
      <c r="AA510" s="110">
        <v>19</v>
      </c>
      <c r="AB510" s="110">
        <v>13</v>
      </c>
      <c r="AC510" s="110">
        <v>30</v>
      </c>
      <c r="AD510" s="110">
        <v>6</v>
      </c>
      <c r="AE510" s="110">
        <v>22</v>
      </c>
      <c r="AF510" s="110">
        <v>11</v>
      </c>
      <c r="AG510" s="110">
        <v>4</v>
      </c>
      <c r="AH510" s="110">
        <v>25</v>
      </c>
    </row>
    <row r="511" spans="1:55" ht="24.95" customHeight="1" x14ac:dyDescent="0.25">
      <c r="C511" s="103">
        <f>K508</f>
        <v>0</v>
      </c>
      <c r="D511" s="103">
        <f>S508</f>
        <v>1</v>
      </c>
      <c r="E511" s="103">
        <f>Y508</f>
        <v>1</v>
      </c>
      <c r="F511" s="112">
        <f>AG508</f>
        <v>0</v>
      </c>
      <c r="G511" s="103">
        <f>O508</f>
        <v>0</v>
      </c>
      <c r="H511" s="103">
        <f>AD508</f>
        <v>1</v>
      </c>
      <c r="I511" s="103">
        <f>D508</f>
        <v>1</v>
      </c>
      <c r="J511" s="103">
        <f>T508</f>
        <v>0</v>
      </c>
      <c r="K511" s="103">
        <f>Z508</f>
        <v>1</v>
      </c>
      <c r="L511" s="103">
        <f>R508</f>
        <v>1</v>
      </c>
      <c r="M511" s="103">
        <f>AF508</f>
        <v>1</v>
      </c>
      <c r="N511" s="103">
        <f>H508</f>
        <v>1</v>
      </c>
      <c r="O511" s="103">
        <f>AB508</f>
        <v>0</v>
      </c>
      <c r="P511" s="103">
        <f>V508</f>
        <v>1</v>
      </c>
      <c r="Q511" s="103">
        <f>L508</f>
        <v>1</v>
      </c>
      <c r="R511" s="103">
        <f>C508</f>
        <v>0</v>
      </c>
      <c r="S511" s="103">
        <f>J508</f>
        <v>0</v>
      </c>
      <c r="T511" s="103">
        <f>P508</f>
        <v>1</v>
      </c>
      <c r="U511" s="103">
        <f>AA508</f>
        <v>0</v>
      </c>
      <c r="V511" s="103">
        <f>E508</f>
        <v>0</v>
      </c>
      <c r="W511" s="103">
        <f>F508</f>
        <v>0</v>
      </c>
      <c r="X511" s="103">
        <f>AE508</f>
        <v>1</v>
      </c>
      <c r="Y511" s="103">
        <f>M508</f>
        <v>0</v>
      </c>
      <c r="Z511" s="103">
        <f>U508</f>
        <v>1</v>
      </c>
      <c r="AA511" s="103">
        <f>AH508</f>
        <v>1</v>
      </c>
      <c r="AB511" s="103">
        <f>N508</f>
        <v>0</v>
      </c>
      <c r="AC511" s="103">
        <f>X508</f>
        <v>0</v>
      </c>
      <c r="AD511" s="103">
        <f>I508</f>
        <v>0</v>
      </c>
      <c r="AE511" s="103">
        <f>G508</f>
        <v>0</v>
      </c>
      <c r="AF511" s="103">
        <f>AC508</f>
        <v>0</v>
      </c>
      <c r="AG511" s="103">
        <f>Q508</f>
        <v>1</v>
      </c>
      <c r="AH511" s="103">
        <f>W508</f>
        <v>0</v>
      </c>
    </row>
    <row r="512" spans="1:55" ht="24.95" customHeight="1" x14ac:dyDescent="0.25">
      <c r="C512" s="130">
        <v>1</v>
      </c>
      <c r="D512" s="131">
        <v>2</v>
      </c>
      <c r="E512" s="130">
        <v>3</v>
      </c>
      <c r="F512" s="131">
        <v>4</v>
      </c>
      <c r="G512" s="130">
        <v>5</v>
      </c>
      <c r="H512" s="131">
        <v>6</v>
      </c>
      <c r="I512" s="130">
        <v>7</v>
      </c>
      <c r="J512" s="131">
        <v>8</v>
      </c>
      <c r="K512" s="130">
        <v>9</v>
      </c>
      <c r="L512" s="131">
        <v>10</v>
      </c>
      <c r="M512" s="130">
        <v>11</v>
      </c>
      <c r="N512" s="131">
        <v>12</v>
      </c>
      <c r="O512" s="130">
        <v>13</v>
      </c>
      <c r="P512" s="131">
        <v>14</v>
      </c>
      <c r="Q512" s="130">
        <v>15</v>
      </c>
      <c r="R512" s="131">
        <v>16</v>
      </c>
      <c r="S512" s="130">
        <v>17</v>
      </c>
      <c r="T512" s="131">
        <v>18</v>
      </c>
      <c r="U512" s="130">
        <v>19</v>
      </c>
      <c r="V512" s="131">
        <v>20</v>
      </c>
      <c r="W512" s="130">
        <v>21</v>
      </c>
      <c r="X512" s="131">
        <v>22</v>
      </c>
      <c r="Y512" s="130">
        <v>23</v>
      </c>
      <c r="Z512" s="131">
        <v>24</v>
      </c>
      <c r="AA512" s="130">
        <v>25</v>
      </c>
      <c r="AB512" s="131">
        <v>26</v>
      </c>
      <c r="AC512" s="130">
        <v>27</v>
      </c>
      <c r="AD512" s="131">
        <v>28</v>
      </c>
      <c r="AE512" s="130">
        <v>29</v>
      </c>
      <c r="AF512" s="131">
        <v>30</v>
      </c>
      <c r="AG512" s="130">
        <v>31</v>
      </c>
      <c r="AH512" s="131">
        <v>32</v>
      </c>
    </row>
    <row r="516" spans="1:51" ht="24.95" customHeight="1" x14ac:dyDescent="0.25">
      <c r="A516" s="114" t="s">
        <v>566</v>
      </c>
      <c r="B516" s="114"/>
      <c r="C516" s="114"/>
      <c r="D516" s="68">
        <v>1</v>
      </c>
      <c r="E516" s="68">
        <v>2</v>
      </c>
      <c r="F516" s="68">
        <v>3</v>
      </c>
      <c r="G516" s="68">
        <v>4</v>
      </c>
      <c r="H516" s="68">
        <v>5</v>
      </c>
      <c r="I516" s="68">
        <v>6</v>
      </c>
      <c r="J516" s="68">
        <v>7</v>
      </c>
      <c r="K516" s="68">
        <v>8</v>
      </c>
      <c r="L516" s="68">
        <v>9</v>
      </c>
      <c r="M516" s="68">
        <v>10</v>
      </c>
      <c r="N516" s="68">
        <v>11</v>
      </c>
      <c r="O516" s="68">
        <v>12</v>
      </c>
      <c r="P516" s="68">
        <v>13</v>
      </c>
      <c r="Q516" s="68">
        <v>14</v>
      </c>
      <c r="R516" s="68">
        <v>15</v>
      </c>
      <c r="S516" s="68">
        <v>16</v>
      </c>
      <c r="T516" s="68">
        <v>17</v>
      </c>
      <c r="U516" s="68">
        <v>18</v>
      </c>
      <c r="V516" s="68">
        <v>19</v>
      </c>
      <c r="W516" s="68">
        <v>20</v>
      </c>
      <c r="X516" s="68">
        <v>21</v>
      </c>
      <c r="Y516" s="68">
        <v>22</v>
      </c>
      <c r="Z516" s="68">
        <v>23</v>
      </c>
      <c r="AA516" s="68">
        <v>24</v>
      </c>
      <c r="AB516" s="68">
        <v>25</v>
      </c>
      <c r="AC516" s="68">
        <v>26</v>
      </c>
      <c r="AD516" s="68">
        <v>27</v>
      </c>
      <c r="AE516" s="68">
        <v>28</v>
      </c>
      <c r="AF516" s="68">
        <v>29</v>
      </c>
      <c r="AG516" s="68">
        <v>30</v>
      </c>
      <c r="AH516" s="68">
        <v>31</v>
      </c>
      <c r="AI516" s="68">
        <v>32</v>
      </c>
    </row>
    <row r="517" spans="1:51" ht="24.95" customHeight="1" x14ac:dyDescent="0.25">
      <c r="A517" s="64" t="s">
        <v>549</v>
      </c>
      <c r="D517" s="67">
        <f>C475</f>
        <v>1</v>
      </c>
      <c r="E517" s="68">
        <f t="shared" ref="E517" si="1454">D475</f>
        <v>0</v>
      </c>
      <c r="F517" s="68">
        <f t="shared" ref="F517" si="1455">E475</f>
        <v>1</v>
      </c>
      <c r="G517" s="68">
        <f t="shared" ref="G517" si="1456">F475</f>
        <v>1</v>
      </c>
      <c r="H517" s="68">
        <f t="shared" ref="H517" si="1457">G475</f>
        <v>0</v>
      </c>
      <c r="I517" s="68">
        <f t="shared" ref="I517" si="1458">H475</f>
        <v>0</v>
      </c>
      <c r="J517" s="68">
        <f t="shared" ref="J517" si="1459">I475</f>
        <v>1</v>
      </c>
      <c r="K517" s="68">
        <f t="shared" ref="K517" si="1460">J475</f>
        <v>1</v>
      </c>
      <c r="L517" s="68">
        <f t="shared" ref="L517" si="1461">K475</f>
        <v>1</v>
      </c>
      <c r="M517" s="68">
        <f t="shared" ref="M517" si="1462">L475</f>
        <v>1</v>
      </c>
      <c r="N517" s="68">
        <f t="shared" ref="N517" si="1463">M475</f>
        <v>0</v>
      </c>
      <c r="O517" s="68">
        <f t="shared" ref="O517" si="1464">N475</f>
        <v>1</v>
      </c>
      <c r="P517" s="68">
        <f t="shared" ref="P517" si="1465">O475</f>
        <v>0</v>
      </c>
      <c r="Q517" s="68">
        <f t="shared" ref="Q517" si="1466">P475</f>
        <v>0</v>
      </c>
      <c r="R517" s="68">
        <f t="shared" ref="R517" si="1467">Q475</f>
        <v>1</v>
      </c>
      <c r="S517" s="68">
        <f t="shared" ref="S517" si="1468">R475</f>
        <v>1</v>
      </c>
      <c r="T517" s="68">
        <f t="shared" ref="T517" si="1469">S475</f>
        <v>1</v>
      </c>
      <c r="U517" s="68">
        <f t="shared" ref="U517" si="1470">T475</f>
        <v>0</v>
      </c>
      <c r="V517" s="68">
        <f t="shared" ref="V517" si="1471">U475</f>
        <v>0</v>
      </c>
      <c r="W517" s="68">
        <f t="shared" ref="W517" si="1472">V475</f>
        <v>1</v>
      </c>
      <c r="X517" s="68">
        <f t="shared" ref="X517" si="1473">W475</f>
        <v>1</v>
      </c>
      <c r="Y517" s="68">
        <f t="shared" ref="Y517" si="1474">X475</f>
        <v>1</v>
      </c>
      <c r="Z517" s="68">
        <f t="shared" ref="Z517" si="1475">Y475</f>
        <v>0</v>
      </c>
      <c r="AA517" s="68">
        <f t="shared" ref="AA517" si="1476">Z475</f>
        <v>1</v>
      </c>
      <c r="AB517" s="68">
        <f t="shared" ref="AB517" si="1477">AA475</f>
        <v>1</v>
      </c>
      <c r="AC517" s="68">
        <f t="shared" ref="AC517" si="1478">AB475</f>
        <v>0</v>
      </c>
      <c r="AD517" s="68">
        <f t="shared" ref="AD517" si="1479">AC475</f>
        <v>1</v>
      </c>
      <c r="AE517" s="68">
        <f t="shared" ref="AE517" si="1480">AD475</f>
        <v>0</v>
      </c>
      <c r="AF517" s="68">
        <f t="shared" ref="AF517" si="1481">AE475</f>
        <v>1</v>
      </c>
      <c r="AG517" s="68">
        <f t="shared" ref="AG517" si="1482">AF475</f>
        <v>0</v>
      </c>
      <c r="AH517" s="68">
        <f t="shared" ref="AH517" si="1483">AG475</f>
        <v>0</v>
      </c>
      <c r="AI517" s="68">
        <f t="shared" ref="AI517" si="1484">AH475</f>
        <v>0</v>
      </c>
    </row>
    <row r="519" spans="1:51" ht="24.95" customHeight="1" x14ac:dyDescent="0.25">
      <c r="A519" s="114" t="s">
        <v>567</v>
      </c>
      <c r="B519" s="114"/>
      <c r="C519" s="114"/>
      <c r="D519" s="70">
        <v>1</v>
      </c>
      <c r="E519" s="70">
        <v>2</v>
      </c>
      <c r="F519" s="70">
        <v>3</v>
      </c>
      <c r="G519" s="70">
        <v>4</v>
      </c>
      <c r="H519" s="70">
        <v>5</v>
      </c>
      <c r="I519" s="70">
        <v>6</v>
      </c>
      <c r="J519" s="70">
        <v>7</v>
      </c>
      <c r="K519" s="70">
        <v>8</v>
      </c>
      <c r="L519" s="70">
        <v>9</v>
      </c>
      <c r="M519" s="70">
        <v>10</v>
      </c>
      <c r="N519" s="70">
        <v>11</v>
      </c>
      <c r="O519" s="70">
        <v>12</v>
      </c>
      <c r="P519" s="70">
        <v>13</v>
      </c>
      <c r="Q519" s="70">
        <v>14</v>
      </c>
      <c r="R519" s="70">
        <v>15</v>
      </c>
      <c r="S519" s="70">
        <v>16</v>
      </c>
      <c r="T519" s="70">
        <v>17</v>
      </c>
      <c r="U519" s="70">
        <v>18</v>
      </c>
      <c r="V519" s="70">
        <v>19</v>
      </c>
      <c r="W519" s="70">
        <v>20</v>
      </c>
      <c r="X519" s="70">
        <v>21</v>
      </c>
      <c r="Y519" s="70">
        <v>22</v>
      </c>
      <c r="Z519" s="70">
        <v>23</v>
      </c>
      <c r="AA519" s="70">
        <v>24</v>
      </c>
      <c r="AB519" s="70">
        <v>25</v>
      </c>
      <c r="AC519" s="70">
        <v>26</v>
      </c>
      <c r="AD519" s="70">
        <v>27</v>
      </c>
      <c r="AE519" s="70">
        <v>28</v>
      </c>
      <c r="AF519" s="70">
        <v>29</v>
      </c>
      <c r="AG519" s="70">
        <v>30</v>
      </c>
      <c r="AH519" s="70">
        <v>31</v>
      </c>
      <c r="AI519" s="70">
        <v>32</v>
      </c>
    </row>
    <row r="520" spans="1:51" ht="24.95" customHeight="1" x14ac:dyDescent="0.25">
      <c r="A520" s="64" t="s">
        <v>551</v>
      </c>
      <c r="D520" s="70">
        <f>--_xlfn.XOR(C511,D468)</f>
        <v>1</v>
      </c>
      <c r="E520" s="70">
        <f t="shared" ref="E520:AI520" si="1485">--_xlfn.XOR(D511,E468)</f>
        <v>1</v>
      </c>
      <c r="F520" s="70">
        <f t="shared" si="1485"/>
        <v>1</v>
      </c>
      <c r="G520" s="70">
        <f t="shared" si="1485"/>
        <v>0</v>
      </c>
      <c r="H520" s="70">
        <f t="shared" si="1485"/>
        <v>0</v>
      </c>
      <c r="I520" s="70">
        <f t="shared" si="1485"/>
        <v>0</v>
      </c>
      <c r="J520" s="70">
        <f t="shared" si="1485"/>
        <v>0</v>
      </c>
      <c r="K520" s="70">
        <f t="shared" si="1485"/>
        <v>0</v>
      </c>
      <c r="L520" s="70">
        <f t="shared" si="1485"/>
        <v>1</v>
      </c>
      <c r="M520" s="70">
        <f t="shared" si="1485"/>
        <v>0</v>
      </c>
      <c r="N520" s="70">
        <f t="shared" si="1485"/>
        <v>0</v>
      </c>
      <c r="O520" s="70">
        <f t="shared" si="1485"/>
        <v>0</v>
      </c>
      <c r="P520" s="70">
        <f t="shared" si="1485"/>
        <v>1</v>
      </c>
      <c r="Q520" s="70">
        <f t="shared" si="1485"/>
        <v>0</v>
      </c>
      <c r="R520" s="70">
        <f t="shared" si="1485"/>
        <v>1</v>
      </c>
      <c r="S520" s="70">
        <f t="shared" si="1485"/>
        <v>1</v>
      </c>
      <c r="T520" s="70">
        <f t="shared" si="1485"/>
        <v>0</v>
      </c>
      <c r="U520" s="70">
        <f t="shared" si="1485"/>
        <v>0</v>
      </c>
      <c r="V520" s="70">
        <f t="shared" si="1485"/>
        <v>1</v>
      </c>
      <c r="W520" s="70">
        <f t="shared" si="1485"/>
        <v>0</v>
      </c>
      <c r="X520" s="70">
        <f t="shared" si="1485"/>
        <v>1</v>
      </c>
      <c r="Y520" s="70">
        <f t="shared" si="1485"/>
        <v>0</v>
      </c>
      <c r="Z520" s="70">
        <f t="shared" si="1485"/>
        <v>1</v>
      </c>
      <c r="AA520" s="70">
        <f t="shared" si="1485"/>
        <v>1</v>
      </c>
      <c r="AB520" s="70">
        <f t="shared" si="1485"/>
        <v>0</v>
      </c>
      <c r="AC520" s="70">
        <f t="shared" si="1485"/>
        <v>1</v>
      </c>
      <c r="AD520" s="70">
        <f t="shared" si="1485"/>
        <v>1</v>
      </c>
      <c r="AE520" s="70">
        <f t="shared" si="1485"/>
        <v>0</v>
      </c>
      <c r="AF520" s="70">
        <f t="shared" si="1485"/>
        <v>0</v>
      </c>
      <c r="AG520" s="70">
        <f t="shared" si="1485"/>
        <v>0</v>
      </c>
      <c r="AH520" s="70">
        <f t="shared" si="1485"/>
        <v>1</v>
      </c>
      <c r="AI520" s="70">
        <f t="shared" si="1485"/>
        <v>1</v>
      </c>
    </row>
    <row r="521" spans="1:51" ht="24.95" customHeight="1" x14ac:dyDescent="0.25">
      <c r="A521" s="132" t="s">
        <v>613</v>
      </c>
    </row>
    <row r="522" spans="1:51" s="132" customFormat="1" ht="24.95" customHeight="1" x14ac:dyDescent="0.25">
      <c r="B522" s="133"/>
      <c r="C522" s="134"/>
    </row>
    <row r="523" spans="1:51" ht="24.95" customHeight="1" x14ac:dyDescent="0.25">
      <c r="B523" s="21"/>
      <c r="C523" s="70">
        <v>1</v>
      </c>
      <c r="D523" s="70">
        <v>2</v>
      </c>
      <c r="E523" s="70">
        <v>3</v>
      </c>
      <c r="F523" s="70">
        <v>4</v>
      </c>
      <c r="G523" s="70">
        <v>5</v>
      </c>
      <c r="H523" s="70">
        <v>6</v>
      </c>
      <c r="I523" s="70">
        <v>7</v>
      </c>
      <c r="J523" s="70">
        <v>8</v>
      </c>
      <c r="K523" s="70">
        <v>9</v>
      </c>
      <c r="L523" s="70">
        <v>10</v>
      </c>
      <c r="M523" s="70">
        <v>11</v>
      </c>
      <c r="N523" s="70">
        <v>12</v>
      </c>
      <c r="O523" s="70">
        <v>13</v>
      </c>
      <c r="P523" s="70">
        <v>14</v>
      </c>
      <c r="Q523" s="70">
        <v>15</v>
      </c>
      <c r="R523" s="70">
        <v>16</v>
      </c>
      <c r="S523" s="70">
        <v>17</v>
      </c>
      <c r="T523" s="70">
        <v>18</v>
      </c>
      <c r="U523" s="70">
        <v>19</v>
      </c>
      <c r="V523" s="70">
        <v>20</v>
      </c>
      <c r="W523" s="70">
        <v>21</v>
      </c>
      <c r="X523" s="70">
        <v>22</v>
      </c>
      <c r="Y523" s="70">
        <v>23</v>
      </c>
      <c r="Z523" s="70">
        <v>24</v>
      </c>
      <c r="AA523" s="70">
        <v>25</v>
      </c>
      <c r="AB523" s="70">
        <v>26</v>
      </c>
      <c r="AC523" s="70">
        <v>27</v>
      </c>
      <c r="AD523" s="70">
        <v>28</v>
      </c>
      <c r="AE523" s="70">
        <v>29</v>
      </c>
      <c r="AF523" s="70">
        <v>30</v>
      </c>
      <c r="AG523" s="70">
        <v>31</v>
      </c>
      <c r="AH523" s="70">
        <v>32</v>
      </c>
    </row>
    <row r="524" spans="1:51" ht="24.95" customHeight="1" x14ac:dyDescent="0.25">
      <c r="A524" s="114" t="s">
        <v>567</v>
      </c>
      <c r="B524" s="114"/>
      <c r="C524" s="70">
        <f>D520</f>
        <v>1</v>
      </c>
      <c r="D524" s="70">
        <f t="shared" ref="D524:AH524" si="1486">E520</f>
        <v>1</v>
      </c>
      <c r="E524" s="70">
        <f t="shared" si="1486"/>
        <v>1</v>
      </c>
      <c r="F524" s="70">
        <f t="shared" si="1486"/>
        <v>0</v>
      </c>
      <c r="G524" s="70">
        <f t="shared" si="1486"/>
        <v>0</v>
      </c>
      <c r="H524" s="70">
        <f t="shared" si="1486"/>
        <v>0</v>
      </c>
      <c r="I524" s="70">
        <f t="shared" si="1486"/>
        <v>0</v>
      </c>
      <c r="J524" s="70">
        <f t="shared" si="1486"/>
        <v>0</v>
      </c>
      <c r="K524" s="70">
        <f t="shared" si="1486"/>
        <v>1</v>
      </c>
      <c r="L524" s="70">
        <f t="shared" si="1486"/>
        <v>0</v>
      </c>
      <c r="M524" s="70">
        <f t="shared" si="1486"/>
        <v>0</v>
      </c>
      <c r="N524" s="70">
        <f t="shared" si="1486"/>
        <v>0</v>
      </c>
      <c r="O524" s="70">
        <f t="shared" si="1486"/>
        <v>1</v>
      </c>
      <c r="P524" s="70">
        <f t="shared" si="1486"/>
        <v>0</v>
      </c>
      <c r="Q524" s="70">
        <f t="shared" si="1486"/>
        <v>1</v>
      </c>
      <c r="R524" s="70">
        <f t="shared" si="1486"/>
        <v>1</v>
      </c>
      <c r="S524" s="70">
        <f t="shared" si="1486"/>
        <v>0</v>
      </c>
      <c r="T524" s="70">
        <f t="shared" si="1486"/>
        <v>0</v>
      </c>
      <c r="U524" s="70">
        <f t="shared" si="1486"/>
        <v>1</v>
      </c>
      <c r="V524" s="70">
        <f t="shared" si="1486"/>
        <v>0</v>
      </c>
      <c r="W524" s="70">
        <f t="shared" si="1486"/>
        <v>1</v>
      </c>
      <c r="X524" s="70">
        <f t="shared" si="1486"/>
        <v>0</v>
      </c>
      <c r="Y524" s="70">
        <f t="shared" si="1486"/>
        <v>1</v>
      </c>
      <c r="Z524" s="70">
        <f t="shared" si="1486"/>
        <v>1</v>
      </c>
      <c r="AA524" s="70">
        <f t="shared" si="1486"/>
        <v>0</v>
      </c>
      <c r="AB524" s="70">
        <f t="shared" si="1486"/>
        <v>1</v>
      </c>
      <c r="AC524" s="70">
        <f t="shared" si="1486"/>
        <v>1</v>
      </c>
      <c r="AD524" s="70">
        <f t="shared" si="1486"/>
        <v>0</v>
      </c>
      <c r="AE524" s="70">
        <f t="shared" si="1486"/>
        <v>0</v>
      </c>
      <c r="AF524" s="70">
        <f t="shared" si="1486"/>
        <v>0</v>
      </c>
      <c r="AG524" s="70">
        <f t="shared" si="1486"/>
        <v>1</v>
      </c>
      <c r="AH524" s="70">
        <f t="shared" si="1486"/>
        <v>1</v>
      </c>
      <c r="AI524" s="135"/>
    </row>
    <row r="526" spans="1:51" ht="24.95" customHeight="1" x14ac:dyDescent="0.25">
      <c r="A526" s="132"/>
      <c r="B526" s="133"/>
      <c r="C526" s="134"/>
      <c r="D526" s="132"/>
      <c r="E526" s="132"/>
      <c r="F526" s="132"/>
      <c r="G526" s="132"/>
      <c r="H526" s="132"/>
      <c r="I526" s="132"/>
      <c r="J526" s="132"/>
      <c r="K526" s="132"/>
      <c r="L526" s="132"/>
      <c r="M526" s="132"/>
      <c r="N526" s="132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  <c r="Y526" s="132"/>
      <c r="Z526" s="132"/>
      <c r="AA526" s="132"/>
      <c r="AB526" s="132"/>
      <c r="AC526" s="132"/>
      <c r="AD526" s="132"/>
      <c r="AE526" s="132"/>
      <c r="AF526" s="132"/>
      <c r="AG526" s="132"/>
      <c r="AH526" s="132"/>
      <c r="AI526" s="132"/>
      <c r="AJ526" s="132"/>
      <c r="AK526" s="132"/>
      <c r="AL526" s="132"/>
      <c r="AM526" s="132"/>
      <c r="AN526" s="132"/>
      <c r="AO526" s="132"/>
      <c r="AP526" s="132"/>
      <c r="AQ526" s="132"/>
      <c r="AR526" s="132"/>
      <c r="AS526" s="132"/>
      <c r="AT526" s="132"/>
      <c r="AU526" s="132"/>
      <c r="AV526" s="132"/>
      <c r="AW526" s="132"/>
      <c r="AX526" s="132"/>
      <c r="AY526" s="132"/>
    </row>
    <row r="528" spans="1:51" ht="24.95" customHeight="1" x14ac:dyDescent="0.25">
      <c r="A528" s="118" t="s">
        <v>532</v>
      </c>
      <c r="B528" s="118"/>
      <c r="C528" s="75">
        <v>32</v>
      </c>
      <c r="D528" s="74">
        <v>1</v>
      </c>
      <c r="E528" s="74">
        <v>2</v>
      </c>
      <c r="F528" s="74">
        <v>3</v>
      </c>
      <c r="G528" s="74">
        <v>4</v>
      </c>
      <c r="H528" s="73">
        <v>5</v>
      </c>
      <c r="I528" s="122"/>
      <c r="J528" s="118">
        <f>AH524</f>
        <v>1</v>
      </c>
      <c r="K528" s="118">
        <f>C524</f>
        <v>1</v>
      </c>
      <c r="L528" s="118">
        <f>D524</f>
        <v>1</v>
      </c>
      <c r="M528" s="118">
        <f>E524</f>
        <v>1</v>
      </c>
      <c r="N528" s="69">
        <f>F524</f>
        <v>0</v>
      </c>
      <c r="O528" s="119">
        <f>G524</f>
        <v>0</v>
      </c>
      <c r="P528" s="122"/>
    </row>
    <row r="529" spans="1:50" ht="24.95" customHeight="1" x14ac:dyDescent="0.25">
      <c r="C529" s="75">
        <v>4</v>
      </c>
      <c r="D529" s="74">
        <v>5</v>
      </c>
      <c r="E529" s="74">
        <v>6</v>
      </c>
      <c r="F529" s="74">
        <v>7</v>
      </c>
      <c r="G529" s="74">
        <v>8</v>
      </c>
      <c r="H529" s="73">
        <v>9</v>
      </c>
      <c r="I529" s="122"/>
      <c r="J529" s="118">
        <f t="shared" ref="J529" si="1487">F524</f>
        <v>0</v>
      </c>
      <c r="K529" s="69">
        <f t="shared" ref="K529" si="1488">G524</f>
        <v>0</v>
      </c>
      <c r="L529" s="69">
        <f t="shared" ref="L529" si="1489">H524</f>
        <v>0</v>
      </c>
      <c r="M529" s="69">
        <f t="shared" ref="M529" si="1490">I524</f>
        <v>0</v>
      </c>
      <c r="N529" s="69">
        <f t="shared" ref="N529" si="1491">J524</f>
        <v>0</v>
      </c>
      <c r="O529" s="119">
        <f t="shared" ref="O529" si="1492">K524</f>
        <v>1</v>
      </c>
      <c r="P529" s="122"/>
    </row>
    <row r="530" spans="1:50" ht="24.95" customHeight="1" x14ac:dyDescent="0.25">
      <c r="C530" s="75">
        <v>8</v>
      </c>
      <c r="D530" s="74">
        <v>9</v>
      </c>
      <c r="E530" s="74">
        <v>10</v>
      </c>
      <c r="F530" s="74">
        <v>11</v>
      </c>
      <c r="G530" s="74">
        <v>12</v>
      </c>
      <c r="H530" s="73">
        <v>13</v>
      </c>
      <c r="I530" s="123"/>
      <c r="J530" s="120">
        <f t="shared" ref="J530:O530" si="1493">J524</f>
        <v>0</v>
      </c>
      <c r="K530" s="69">
        <f t="shared" si="1493"/>
        <v>1</v>
      </c>
      <c r="L530" s="69">
        <f t="shared" si="1493"/>
        <v>0</v>
      </c>
      <c r="M530" s="69">
        <f t="shared" si="1493"/>
        <v>0</v>
      </c>
      <c r="N530" s="69">
        <f t="shared" si="1493"/>
        <v>0</v>
      </c>
      <c r="O530" s="119">
        <f t="shared" si="1493"/>
        <v>1</v>
      </c>
      <c r="P530" s="123"/>
    </row>
    <row r="531" spans="1:50" ht="24.95" customHeight="1" x14ac:dyDescent="0.25">
      <c r="C531" s="75">
        <v>12</v>
      </c>
      <c r="D531" s="74">
        <v>13</v>
      </c>
      <c r="E531" s="74">
        <v>14</v>
      </c>
      <c r="F531" s="74">
        <v>15</v>
      </c>
      <c r="G531" s="74">
        <v>16</v>
      </c>
      <c r="H531" s="73">
        <v>17</v>
      </c>
      <c r="I531" s="122"/>
      <c r="J531" s="118">
        <f t="shared" ref="J531" si="1494">N524</f>
        <v>0</v>
      </c>
      <c r="K531" s="69">
        <f t="shared" ref="K531" si="1495">O524</f>
        <v>1</v>
      </c>
      <c r="L531" s="69">
        <f t="shared" ref="L531" si="1496">P524</f>
        <v>0</v>
      </c>
      <c r="M531" s="69">
        <f t="shared" ref="M531" si="1497">Q524</f>
        <v>1</v>
      </c>
      <c r="N531" s="69">
        <f t="shared" ref="N531" si="1498">R524</f>
        <v>1</v>
      </c>
      <c r="O531" s="119">
        <f t="shared" ref="O531" si="1499">S524</f>
        <v>0</v>
      </c>
      <c r="P531" s="122"/>
    </row>
    <row r="532" spans="1:50" ht="24.95" customHeight="1" x14ac:dyDescent="0.25">
      <c r="C532" s="75">
        <v>16</v>
      </c>
      <c r="D532" s="74">
        <v>17</v>
      </c>
      <c r="E532" s="74">
        <v>18</v>
      </c>
      <c r="F532" s="74">
        <v>19</v>
      </c>
      <c r="G532" s="74">
        <v>20</v>
      </c>
      <c r="H532" s="73">
        <v>21</v>
      </c>
      <c r="I532" s="122"/>
      <c r="J532" s="118">
        <f t="shared" ref="J532" si="1500">R524</f>
        <v>1</v>
      </c>
      <c r="K532" s="69">
        <f t="shared" ref="K532" si="1501">S524</f>
        <v>0</v>
      </c>
      <c r="L532" s="69">
        <f t="shared" ref="L532" si="1502">T524</f>
        <v>0</v>
      </c>
      <c r="M532" s="69">
        <f t="shared" ref="M532" si="1503">U524</f>
        <v>1</v>
      </c>
      <c r="N532" s="69">
        <f t="shared" ref="N532" si="1504">V524</f>
        <v>0</v>
      </c>
      <c r="O532" s="119">
        <f t="shared" ref="O532" si="1505">W524</f>
        <v>1</v>
      </c>
      <c r="P532" s="122"/>
    </row>
    <row r="533" spans="1:50" ht="24.95" customHeight="1" x14ac:dyDescent="0.25">
      <c r="C533" s="75">
        <v>20</v>
      </c>
      <c r="D533" s="74">
        <v>21</v>
      </c>
      <c r="E533" s="74">
        <v>22</v>
      </c>
      <c r="F533" s="74">
        <v>23</v>
      </c>
      <c r="G533" s="74">
        <v>24</v>
      </c>
      <c r="H533" s="73">
        <v>25</v>
      </c>
      <c r="I533" s="122"/>
      <c r="J533" s="118">
        <f t="shared" ref="J533" si="1506">V524</f>
        <v>0</v>
      </c>
      <c r="K533" s="69">
        <f t="shared" ref="K533" si="1507">W524</f>
        <v>1</v>
      </c>
      <c r="L533" s="69">
        <f t="shared" ref="L533" si="1508">X524</f>
        <v>0</v>
      </c>
      <c r="M533" s="69">
        <f t="shared" ref="M533" si="1509">Y524</f>
        <v>1</v>
      </c>
      <c r="N533" s="69">
        <f t="shared" ref="N533" si="1510">Z524</f>
        <v>1</v>
      </c>
      <c r="O533" s="119">
        <f t="shared" ref="O533" si="1511">AA524</f>
        <v>0</v>
      </c>
      <c r="P533" s="122"/>
    </row>
    <row r="534" spans="1:50" ht="24.95" customHeight="1" x14ac:dyDescent="0.25">
      <c r="C534" s="75">
        <v>24</v>
      </c>
      <c r="D534" s="74">
        <v>25</v>
      </c>
      <c r="E534" s="74">
        <v>26</v>
      </c>
      <c r="F534" s="74">
        <v>27</v>
      </c>
      <c r="G534" s="74">
        <v>28</v>
      </c>
      <c r="H534" s="73">
        <v>29</v>
      </c>
      <c r="I534" s="122"/>
      <c r="J534" s="118">
        <f t="shared" ref="J534" si="1512">Z524</f>
        <v>1</v>
      </c>
      <c r="K534" s="69">
        <f t="shared" ref="K534" si="1513">AA524</f>
        <v>0</v>
      </c>
      <c r="L534" s="69">
        <f t="shared" ref="L534" si="1514">AB524</f>
        <v>1</v>
      </c>
      <c r="M534" s="69">
        <f t="shared" ref="M534" si="1515">AC524</f>
        <v>1</v>
      </c>
      <c r="N534" s="69">
        <f t="shared" ref="N534" si="1516">AD524</f>
        <v>0</v>
      </c>
      <c r="O534" s="119">
        <f t="shared" ref="O534" si="1517">AE524</f>
        <v>0</v>
      </c>
      <c r="P534" s="122"/>
    </row>
    <row r="535" spans="1:50" ht="24.95" customHeight="1" x14ac:dyDescent="0.25">
      <c r="C535" s="75">
        <v>28</v>
      </c>
      <c r="D535" s="74">
        <v>29</v>
      </c>
      <c r="E535" s="74">
        <v>30</v>
      </c>
      <c r="F535" s="74">
        <v>31</v>
      </c>
      <c r="G535" s="74">
        <v>32</v>
      </c>
      <c r="H535" s="73">
        <v>1</v>
      </c>
      <c r="I535" s="122"/>
      <c r="J535" s="70">
        <f>AD524</f>
        <v>0</v>
      </c>
      <c r="K535" s="71">
        <f>AE524</f>
        <v>0</v>
      </c>
      <c r="L535" s="71">
        <f>AF524</f>
        <v>0</v>
      </c>
      <c r="M535" s="71">
        <f>AG524</f>
        <v>1</v>
      </c>
      <c r="N535" s="71">
        <f>AH524</f>
        <v>1</v>
      </c>
      <c r="O535" s="121">
        <f>C524</f>
        <v>1</v>
      </c>
      <c r="P535" s="122"/>
    </row>
    <row r="538" spans="1:50" ht="24.95" customHeight="1" x14ac:dyDescent="0.25">
      <c r="A538" s="124" t="s">
        <v>533</v>
      </c>
      <c r="B538" s="124"/>
      <c r="C538" s="125">
        <v>1</v>
      </c>
      <c r="D538" s="126">
        <v>2</v>
      </c>
      <c r="E538" s="125">
        <v>3</v>
      </c>
      <c r="F538" s="126">
        <v>4</v>
      </c>
      <c r="G538" s="125">
        <v>5</v>
      </c>
      <c r="H538" s="126">
        <v>6</v>
      </c>
      <c r="I538" s="125">
        <v>7</v>
      </c>
      <c r="J538" s="126">
        <v>8</v>
      </c>
      <c r="K538" s="125">
        <v>9</v>
      </c>
      <c r="L538" s="126">
        <v>10</v>
      </c>
      <c r="M538" s="125">
        <v>11</v>
      </c>
      <c r="N538" s="126">
        <v>12</v>
      </c>
      <c r="O538" s="125">
        <v>13</v>
      </c>
      <c r="P538" s="126">
        <v>14</v>
      </c>
      <c r="Q538" s="125">
        <v>15</v>
      </c>
      <c r="R538" s="126">
        <v>16</v>
      </c>
      <c r="S538" s="125">
        <v>17</v>
      </c>
      <c r="T538" s="126">
        <v>18</v>
      </c>
      <c r="U538" s="125">
        <v>19</v>
      </c>
      <c r="V538" s="126">
        <v>20</v>
      </c>
      <c r="W538" s="125">
        <v>21</v>
      </c>
      <c r="X538" s="126">
        <v>22</v>
      </c>
      <c r="Y538" s="125">
        <v>23</v>
      </c>
      <c r="Z538" s="126">
        <v>24</v>
      </c>
      <c r="AA538" s="125">
        <v>25</v>
      </c>
      <c r="AB538" s="126">
        <v>26</v>
      </c>
      <c r="AC538" s="125">
        <v>27</v>
      </c>
      <c r="AD538" s="126">
        <v>28</v>
      </c>
      <c r="AE538" s="125">
        <v>29</v>
      </c>
      <c r="AF538" s="126">
        <v>30</v>
      </c>
      <c r="AG538" s="125">
        <v>31</v>
      </c>
      <c r="AH538" s="126">
        <v>32</v>
      </c>
      <c r="AI538" s="125">
        <v>33</v>
      </c>
      <c r="AJ538" s="126">
        <v>34</v>
      </c>
      <c r="AK538" s="125">
        <v>35</v>
      </c>
      <c r="AL538" s="126">
        <v>36</v>
      </c>
      <c r="AM538" s="125">
        <v>37</v>
      </c>
      <c r="AN538" s="126">
        <v>38</v>
      </c>
      <c r="AO538" s="125">
        <v>39</v>
      </c>
      <c r="AP538" s="126">
        <v>40</v>
      </c>
      <c r="AQ538" s="125">
        <v>41</v>
      </c>
      <c r="AR538" s="126">
        <v>42</v>
      </c>
      <c r="AS538" s="125">
        <v>43</v>
      </c>
      <c r="AT538" s="126">
        <v>44</v>
      </c>
      <c r="AU538" s="125">
        <v>45</v>
      </c>
      <c r="AV538" s="126">
        <v>46</v>
      </c>
      <c r="AW538" s="125">
        <v>47</v>
      </c>
      <c r="AX538" s="126">
        <v>48</v>
      </c>
    </row>
    <row r="539" spans="1:50" ht="24.95" customHeight="1" x14ac:dyDescent="0.25">
      <c r="C539" s="125">
        <f t="shared" ref="C539" si="1518">J528</f>
        <v>1</v>
      </c>
      <c r="D539" s="125">
        <f t="shared" ref="D539" si="1519">K528</f>
        <v>1</v>
      </c>
      <c r="E539" s="125">
        <f t="shared" ref="E539" si="1520">L528</f>
        <v>1</v>
      </c>
      <c r="F539" s="125">
        <f t="shared" ref="F539" si="1521">M528</f>
        <v>1</v>
      </c>
      <c r="G539" s="126">
        <f t="shared" ref="G539" si="1522">N528</f>
        <v>0</v>
      </c>
      <c r="H539" s="126">
        <f t="shared" ref="H539" si="1523">O528</f>
        <v>0</v>
      </c>
      <c r="I539" s="125">
        <f t="shared" ref="I539" si="1524">J529</f>
        <v>0</v>
      </c>
      <c r="J539" s="125">
        <f t="shared" ref="J539" si="1525">K529</f>
        <v>0</v>
      </c>
      <c r="K539" s="125">
        <f t="shared" ref="K539" si="1526">L529</f>
        <v>0</v>
      </c>
      <c r="L539" s="125">
        <f t="shared" ref="L539" si="1527">M529</f>
        <v>0</v>
      </c>
      <c r="M539" s="125">
        <f t="shared" ref="M539" si="1528">N529</f>
        <v>0</v>
      </c>
      <c r="N539" s="125">
        <f t="shared" ref="N539" si="1529">O529</f>
        <v>1</v>
      </c>
      <c r="O539" s="126">
        <f t="shared" ref="O539" si="1530">J530</f>
        <v>0</v>
      </c>
      <c r="P539" s="126">
        <f t="shared" ref="P539" si="1531">K530</f>
        <v>1</v>
      </c>
      <c r="Q539" s="126">
        <f t="shared" ref="Q539" si="1532">L530</f>
        <v>0</v>
      </c>
      <c r="R539" s="126">
        <f t="shared" ref="R539" si="1533">M530</f>
        <v>0</v>
      </c>
      <c r="S539" s="126">
        <f t="shared" ref="S539" si="1534">N530</f>
        <v>0</v>
      </c>
      <c r="T539" s="126">
        <f t="shared" ref="T539" si="1535">O530</f>
        <v>1</v>
      </c>
      <c r="U539" s="125">
        <f t="shared" ref="U539" si="1536">J531</f>
        <v>0</v>
      </c>
      <c r="V539" s="126">
        <f t="shared" ref="V539" si="1537">K531</f>
        <v>1</v>
      </c>
      <c r="W539" s="125">
        <f t="shared" ref="W539" si="1538">L531</f>
        <v>0</v>
      </c>
      <c r="X539" s="126">
        <f t="shared" ref="X539" si="1539">M531</f>
        <v>1</v>
      </c>
      <c r="Y539" s="125">
        <f t="shared" ref="Y539" si="1540">N531</f>
        <v>1</v>
      </c>
      <c r="Z539" s="126">
        <f t="shared" ref="Z539" si="1541">O531</f>
        <v>0</v>
      </c>
      <c r="AA539" s="125">
        <f t="shared" ref="AA539" si="1542">J532</f>
        <v>1</v>
      </c>
      <c r="AB539" s="126">
        <f t="shared" ref="AB539" si="1543">K532</f>
        <v>0</v>
      </c>
      <c r="AC539" s="125">
        <f t="shared" ref="AC539" si="1544">L532</f>
        <v>0</v>
      </c>
      <c r="AD539" s="126">
        <f t="shared" ref="AD539" si="1545">M532</f>
        <v>1</v>
      </c>
      <c r="AE539" s="125">
        <f t="shared" ref="AE539" si="1546">N532</f>
        <v>0</v>
      </c>
      <c r="AF539" s="126">
        <f t="shared" ref="AF539" si="1547">O532</f>
        <v>1</v>
      </c>
      <c r="AG539" s="125">
        <f t="shared" ref="AG539" si="1548">J533</f>
        <v>0</v>
      </c>
      <c r="AH539" s="126">
        <f t="shared" ref="AH539" si="1549">K533</f>
        <v>1</v>
      </c>
      <c r="AI539" s="125">
        <f t="shared" ref="AI539" si="1550">L533</f>
        <v>0</v>
      </c>
      <c r="AJ539" s="126">
        <f t="shared" ref="AJ539" si="1551">M533</f>
        <v>1</v>
      </c>
      <c r="AK539" s="125">
        <f t="shared" ref="AK539" si="1552">N533</f>
        <v>1</v>
      </c>
      <c r="AL539" s="126">
        <f t="shared" ref="AL539" si="1553">O533</f>
        <v>0</v>
      </c>
      <c r="AM539" s="125">
        <f t="shared" ref="AM539" si="1554">J534</f>
        <v>1</v>
      </c>
      <c r="AN539" s="126">
        <f t="shared" ref="AN539" si="1555">K534</f>
        <v>0</v>
      </c>
      <c r="AO539" s="125">
        <f t="shared" ref="AO539" si="1556">L534</f>
        <v>1</v>
      </c>
      <c r="AP539" s="126">
        <f t="shared" ref="AP539" si="1557">M534</f>
        <v>1</v>
      </c>
      <c r="AQ539" s="125">
        <f t="shared" ref="AQ539" si="1558">N534</f>
        <v>0</v>
      </c>
      <c r="AR539" s="126">
        <f t="shared" ref="AR539" si="1559">O534</f>
        <v>0</v>
      </c>
      <c r="AS539" s="125">
        <f t="shared" ref="AS539" si="1560">J535</f>
        <v>0</v>
      </c>
      <c r="AT539" s="126">
        <f t="shared" ref="AT539" si="1561">K535</f>
        <v>0</v>
      </c>
      <c r="AU539" s="125">
        <f t="shared" ref="AU539" si="1562">L535</f>
        <v>0</v>
      </c>
      <c r="AV539" s="126">
        <f t="shared" ref="AV539" si="1563">M535</f>
        <v>1</v>
      </c>
      <c r="AW539" s="125">
        <f t="shared" ref="AW539" si="1564">N535</f>
        <v>1</v>
      </c>
      <c r="AX539" s="126">
        <f t="shared" ref="AX539" si="1565">O535</f>
        <v>1</v>
      </c>
    </row>
    <row r="542" spans="1:50" ht="24.95" customHeight="1" x14ac:dyDescent="0.25">
      <c r="A542" s="127" t="s">
        <v>614</v>
      </c>
      <c r="B542" s="127"/>
      <c r="C542" s="77">
        <f>'Key Generator'!D409</f>
        <v>1</v>
      </c>
      <c r="D542" s="77">
        <f>'Key Generator'!E409</f>
        <v>2</v>
      </c>
      <c r="E542" s="77">
        <f>'Key Generator'!F409</f>
        <v>3</v>
      </c>
      <c r="F542" s="77">
        <f>'Key Generator'!G409</f>
        <v>4</v>
      </c>
      <c r="G542" s="77">
        <f>'Key Generator'!H409</f>
        <v>5</v>
      </c>
      <c r="H542" s="77">
        <f>'Key Generator'!I409</f>
        <v>6</v>
      </c>
      <c r="I542" s="77">
        <f>'Key Generator'!J409</f>
        <v>7</v>
      </c>
      <c r="J542" s="77">
        <f>'Key Generator'!K409</f>
        <v>8</v>
      </c>
      <c r="K542" s="77">
        <f>'Key Generator'!L409</f>
        <v>9</v>
      </c>
      <c r="L542" s="77">
        <f>'Key Generator'!M409</f>
        <v>10</v>
      </c>
      <c r="M542" s="77">
        <f>'Key Generator'!N409</f>
        <v>11</v>
      </c>
      <c r="N542" s="77">
        <f>'Key Generator'!O409</f>
        <v>12</v>
      </c>
      <c r="O542" s="77">
        <f>'Key Generator'!P409</f>
        <v>13</v>
      </c>
      <c r="P542" s="77">
        <f>'Key Generator'!Q409</f>
        <v>14</v>
      </c>
      <c r="Q542" s="77">
        <f>'Key Generator'!R409</f>
        <v>15</v>
      </c>
      <c r="R542" s="77">
        <f>'Key Generator'!S409</f>
        <v>16</v>
      </c>
      <c r="S542" s="77">
        <f>'Key Generator'!T409</f>
        <v>17</v>
      </c>
      <c r="T542" s="77">
        <f>'Key Generator'!U409</f>
        <v>18</v>
      </c>
      <c r="U542" s="77">
        <f>'Key Generator'!V409</f>
        <v>19</v>
      </c>
      <c r="V542" s="77">
        <f>'Key Generator'!W409</f>
        <v>20</v>
      </c>
      <c r="W542" s="77">
        <f>'Key Generator'!X409</f>
        <v>21</v>
      </c>
      <c r="X542" s="77">
        <f>'Key Generator'!Y409</f>
        <v>22</v>
      </c>
      <c r="Y542" s="77">
        <f>'Key Generator'!Z409</f>
        <v>23</v>
      </c>
      <c r="Z542" s="77">
        <f>'Key Generator'!AA409</f>
        <v>24</v>
      </c>
      <c r="AA542" s="77">
        <f>'Key Generator'!AB409</f>
        <v>25</v>
      </c>
      <c r="AB542" s="77">
        <f>'Key Generator'!AC409</f>
        <v>26</v>
      </c>
      <c r="AC542" s="77">
        <f>'Key Generator'!AD409</f>
        <v>27</v>
      </c>
      <c r="AD542" s="77">
        <f>'Key Generator'!AE409</f>
        <v>28</v>
      </c>
      <c r="AE542" s="77">
        <f>'Key Generator'!AF409</f>
        <v>29</v>
      </c>
      <c r="AF542" s="77">
        <f>'Key Generator'!AG409</f>
        <v>30</v>
      </c>
      <c r="AG542" s="77">
        <f>'Key Generator'!AH409</f>
        <v>31</v>
      </c>
      <c r="AH542" s="77">
        <f>'Key Generator'!AI409</f>
        <v>32</v>
      </c>
      <c r="AI542" s="77">
        <f>'Key Generator'!AJ409</f>
        <v>33</v>
      </c>
      <c r="AJ542" s="77">
        <f>'Key Generator'!AK409</f>
        <v>34</v>
      </c>
      <c r="AK542" s="77">
        <f>'Key Generator'!AL409</f>
        <v>35</v>
      </c>
      <c r="AL542" s="77">
        <f>'Key Generator'!AM409</f>
        <v>36</v>
      </c>
      <c r="AM542" s="77">
        <f>'Key Generator'!AN409</f>
        <v>37</v>
      </c>
      <c r="AN542" s="77">
        <f>'Key Generator'!AO409</f>
        <v>38</v>
      </c>
      <c r="AO542" s="77">
        <f>'Key Generator'!AP409</f>
        <v>39</v>
      </c>
      <c r="AP542" s="77">
        <f>'Key Generator'!AQ409</f>
        <v>40</v>
      </c>
      <c r="AQ542" s="77">
        <f>'Key Generator'!AR409</f>
        <v>41</v>
      </c>
      <c r="AR542" s="77">
        <f>'Key Generator'!AS409</f>
        <v>42</v>
      </c>
      <c r="AS542" s="77">
        <f>'Key Generator'!AT409</f>
        <v>43</v>
      </c>
      <c r="AT542" s="77">
        <f>'Key Generator'!AU409</f>
        <v>44</v>
      </c>
      <c r="AU542" s="77">
        <f>'Key Generator'!AV409</f>
        <v>45</v>
      </c>
      <c r="AV542" s="77">
        <f>'Key Generator'!AW409</f>
        <v>46</v>
      </c>
      <c r="AW542" s="77">
        <f>'Key Generator'!AX409</f>
        <v>47</v>
      </c>
      <c r="AX542" s="77">
        <f>'Key Generator'!AY409</f>
        <v>48</v>
      </c>
    </row>
    <row r="543" spans="1:50" ht="24.95" customHeight="1" x14ac:dyDescent="0.25">
      <c r="C543" s="77">
        <f>'Key Generator'!D410</f>
        <v>0</v>
      </c>
      <c r="D543" s="77">
        <f>'Key Generator'!E410</f>
        <v>0</v>
      </c>
      <c r="E543" s="77">
        <f>'Key Generator'!F410</f>
        <v>0</v>
      </c>
      <c r="F543" s="77">
        <f>'Key Generator'!G410</f>
        <v>1</v>
      </c>
      <c r="G543" s="77">
        <f>'Key Generator'!H410</f>
        <v>0</v>
      </c>
      <c r="H543" s="77">
        <f>'Key Generator'!I410</f>
        <v>1</v>
      </c>
      <c r="I543" s="77">
        <f>'Key Generator'!J410</f>
        <v>0</v>
      </c>
      <c r="J543" s="77">
        <f>'Key Generator'!K410</f>
        <v>0</v>
      </c>
      <c r="K543" s="77">
        <f>'Key Generator'!L410</f>
        <v>0</v>
      </c>
      <c r="L543" s="77">
        <f>'Key Generator'!M410</f>
        <v>0</v>
      </c>
      <c r="M543" s="77">
        <f>'Key Generator'!N410</f>
        <v>1</v>
      </c>
      <c r="N543" s="77">
        <f>'Key Generator'!O410</f>
        <v>0</v>
      </c>
      <c r="O543" s="77">
        <f>'Key Generator'!P410</f>
        <v>1</v>
      </c>
      <c r="P543" s="77">
        <f>'Key Generator'!Q410</f>
        <v>1</v>
      </c>
      <c r="Q543" s="77">
        <f>'Key Generator'!R410</f>
        <v>0</v>
      </c>
      <c r="R543" s="77">
        <f>'Key Generator'!S410</f>
        <v>0</v>
      </c>
      <c r="S543" s="77">
        <f>'Key Generator'!T410</f>
        <v>0</v>
      </c>
      <c r="T543" s="77">
        <f>'Key Generator'!U410</f>
        <v>0</v>
      </c>
      <c r="U543" s="77">
        <f>'Key Generator'!V410</f>
        <v>0</v>
      </c>
      <c r="V543" s="77">
        <f>'Key Generator'!W410</f>
        <v>0</v>
      </c>
      <c r="W543" s="77">
        <f>'Key Generator'!X410</f>
        <v>0</v>
      </c>
      <c r="X543" s="77">
        <f>'Key Generator'!Y410</f>
        <v>1</v>
      </c>
      <c r="Y543" s="77">
        <f>'Key Generator'!Z410</f>
        <v>1</v>
      </c>
      <c r="Z543" s="77">
        <f>'Key Generator'!AA410</f>
        <v>0</v>
      </c>
      <c r="AA543" s="77">
        <f>'Key Generator'!AB410</f>
        <v>1</v>
      </c>
      <c r="AB543" s="77">
        <f>'Key Generator'!AC410</f>
        <v>0</v>
      </c>
      <c r="AC543" s="77">
        <f>'Key Generator'!AD410</f>
        <v>0</v>
      </c>
      <c r="AD543" s="77">
        <f>'Key Generator'!AE410</f>
        <v>1</v>
      </c>
      <c r="AE543" s="77">
        <f>'Key Generator'!AF410</f>
        <v>1</v>
      </c>
      <c r="AF543" s="77">
        <f>'Key Generator'!AG410</f>
        <v>0</v>
      </c>
      <c r="AG543" s="77">
        <f>'Key Generator'!AH410</f>
        <v>1</v>
      </c>
      <c r="AH543" s="77">
        <f>'Key Generator'!AI410</f>
        <v>0</v>
      </c>
      <c r="AI543" s="77">
        <f>'Key Generator'!AJ410</f>
        <v>1</v>
      </c>
      <c r="AJ543" s="77">
        <f>'Key Generator'!AK410</f>
        <v>1</v>
      </c>
      <c r="AK543" s="77">
        <f>'Key Generator'!AL410</f>
        <v>0</v>
      </c>
      <c r="AL543" s="77">
        <f>'Key Generator'!AM410</f>
        <v>0</v>
      </c>
      <c r="AM543" s="77">
        <f>'Key Generator'!AN410</f>
        <v>1</v>
      </c>
      <c r="AN543" s="77">
        <f>'Key Generator'!AO410</f>
        <v>0</v>
      </c>
      <c r="AO543" s="77">
        <f>'Key Generator'!AP410</f>
        <v>1</v>
      </c>
      <c r="AP543" s="77">
        <f>'Key Generator'!AQ410</f>
        <v>0</v>
      </c>
      <c r="AQ543" s="77">
        <f>'Key Generator'!AR410</f>
        <v>0</v>
      </c>
      <c r="AR543" s="77">
        <f>'Key Generator'!AS410</f>
        <v>1</v>
      </c>
      <c r="AS543" s="77">
        <f>'Key Generator'!AT410</f>
        <v>0</v>
      </c>
      <c r="AT543" s="77">
        <f>'Key Generator'!AU410</f>
        <v>1</v>
      </c>
      <c r="AU543" s="77">
        <f>'Key Generator'!AV410</f>
        <v>1</v>
      </c>
      <c r="AV543" s="77">
        <f>'Key Generator'!AW410</f>
        <v>0</v>
      </c>
      <c r="AW543" s="77">
        <f>'Key Generator'!AX410</f>
        <v>1</v>
      </c>
      <c r="AX543" s="77">
        <f>'Key Generator'!AY410</f>
        <v>1</v>
      </c>
    </row>
    <row r="546" spans="1:55" ht="24.95" customHeight="1" x14ac:dyDescent="0.25">
      <c r="A546" s="128" t="s">
        <v>535</v>
      </c>
      <c r="B546" s="129"/>
      <c r="C546" s="79">
        <v>1</v>
      </c>
      <c r="D546" s="80">
        <v>2</v>
      </c>
      <c r="E546" s="79">
        <v>3</v>
      </c>
      <c r="F546" s="80">
        <v>4</v>
      </c>
      <c r="G546" s="79">
        <v>5</v>
      </c>
      <c r="H546" s="80">
        <v>6</v>
      </c>
      <c r="I546" s="79">
        <v>7</v>
      </c>
      <c r="J546" s="80">
        <v>8</v>
      </c>
      <c r="K546" s="79">
        <v>9</v>
      </c>
      <c r="L546" s="80">
        <v>10</v>
      </c>
      <c r="M546" s="79">
        <v>11</v>
      </c>
      <c r="N546" s="80">
        <v>12</v>
      </c>
      <c r="O546" s="79">
        <v>13</v>
      </c>
      <c r="P546" s="80">
        <v>14</v>
      </c>
      <c r="Q546" s="79">
        <v>15</v>
      </c>
      <c r="R546" s="80">
        <v>16</v>
      </c>
      <c r="S546" s="79">
        <v>17</v>
      </c>
      <c r="T546" s="80">
        <v>18</v>
      </c>
      <c r="U546" s="79">
        <v>19</v>
      </c>
      <c r="V546" s="80">
        <v>20</v>
      </c>
      <c r="W546" s="79">
        <v>21</v>
      </c>
      <c r="X546" s="80">
        <v>22</v>
      </c>
      <c r="Y546" s="79">
        <v>23</v>
      </c>
      <c r="Z546" s="80">
        <v>24</v>
      </c>
      <c r="AA546" s="79">
        <v>25</v>
      </c>
      <c r="AB546" s="80">
        <v>26</v>
      </c>
      <c r="AC546" s="79">
        <v>27</v>
      </c>
      <c r="AD546" s="80">
        <v>28</v>
      </c>
      <c r="AE546" s="79">
        <v>29</v>
      </c>
      <c r="AF546" s="80">
        <v>30</v>
      </c>
      <c r="AG546" s="79">
        <v>31</v>
      </c>
      <c r="AH546" s="80">
        <v>32</v>
      </c>
      <c r="AI546" s="79">
        <v>33</v>
      </c>
      <c r="AJ546" s="80">
        <v>34</v>
      </c>
      <c r="AK546" s="79">
        <v>35</v>
      </c>
      <c r="AL546" s="80">
        <v>36</v>
      </c>
      <c r="AM546" s="79">
        <v>37</v>
      </c>
      <c r="AN546" s="80">
        <v>38</v>
      </c>
      <c r="AO546" s="79">
        <v>39</v>
      </c>
      <c r="AP546" s="80">
        <v>40</v>
      </c>
      <c r="AQ546" s="79">
        <v>41</v>
      </c>
      <c r="AR546" s="80">
        <v>42</v>
      </c>
      <c r="AS546" s="79">
        <v>43</v>
      </c>
      <c r="AT546" s="80">
        <v>44</v>
      </c>
      <c r="AU546" s="79">
        <v>45</v>
      </c>
      <c r="AV546" s="80">
        <v>46</v>
      </c>
      <c r="AW546" s="79">
        <v>47</v>
      </c>
      <c r="AX546" s="80">
        <v>48</v>
      </c>
    </row>
    <row r="547" spans="1:55" ht="24.95" customHeight="1" x14ac:dyDescent="0.25">
      <c r="C547" s="88">
        <f>--_xlfn.XOR(C539,'Key Generator'!D410)</f>
        <v>1</v>
      </c>
      <c r="D547" s="88">
        <f>--_xlfn.XOR(D539,'Key Generator'!E410)</f>
        <v>1</v>
      </c>
      <c r="E547" s="88">
        <f>--_xlfn.XOR(E539,'Key Generator'!F410)</f>
        <v>1</v>
      </c>
      <c r="F547" s="88">
        <f>--_xlfn.XOR(F539,'Key Generator'!G410)</f>
        <v>0</v>
      </c>
      <c r="G547" s="88">
        <f>--_xlfn.XOR(G539,'Key Generator'!H410)</f>
        <v>0</v>
      </c>
      <c r="H547" s="88">
        <f>--_xlfn.XOR(H539,'Key Generator'!I410)</f>
        <v>1</v>
      </c>
      <c r="I547" s="87">
        <f>--_xlfn.XOR(I539,'Key Generator'!J410)</f>
        <v>0</v>
      </c>
      <c r="J547" s="87">
        <f>--_xlfn.XOR(J539,'Key Generator'!K410)</f>
        <v>0</v>
      </c>
      <c r="K547" s="87">
        <f>--_xlfn.XOR(K539,'Key Generator'!L410)</f>
        <v>0</v>
      </c>
      <c r="L547" s="87">
        <f>--_xlfn.XOR(L539,'Key Generator'!M410)</f>
        <v>0</v>
      </c>
      <c r="M547" s="87">
        <f>--_xlfn.XOR(M539,'Key Generator'!N410)</f>
        <v>1</v>
      </c>
      <c r="N547" s="87">
        <f>--_xlfn.XOR(N539,'Key Generator'!O410)</f>
        <v>1</v>
      </c>
      <c r="O547" s="89">
        <f>--_xlfn.XOR(O539,'Key Generator'!P410)</f>
        <v>1</v>
      </c>
      <c r="P547" s="89">
        <f>--_xlfn.XOR(P539,'Key Generator'!Q410)</f>
        <v>0</v>
      </c>
      <c r="Q547" s="89">
        <f>--_xlfn.XOR(Q539,'Key Generator'!R410)</f>
        <v>0</v>
      </c>
      <c r="R547" s="89">
        <f>--_xlfn.XOR(R539,'Key Generator'!S410)</f>
        <v>0</v>
      </c>
      <c r="S547" s="89">
        <f>--_xlfn.XOR(S539,'Key Generator'!T410)</f>
        <v>0</v>
      </c>
      <c r="T547" s="89">
        <f>--_xlfn.XOR(T539,'Key Generator'!U410)</f>
        <v>1</v>
      </c>
      <c r="U547" s="90">
        <f>--_xlfn.XOR(U539,'Key Generator'!V410)</f>
        <v>0</v>
      </c>
      <c r="V547" s="90">
        <f>--_xlfn.XOR(V539,'Key Generator'!W410)</f>
        <v>1</v>
      </c>
      <c r="W547" s="90">
        <f>--_xlfn.XOR(W539,'Key Generator'!X410)</f>
        <v>0</v>
      </c>
      <c r="X547" s="90">
        <f>--_xlfn.XOR(X539,'Key Generator'!Y410)</f>
        <v>0</v>
      </c>
      <c r="Y547" s="90">
        <f>--_xlfn.XOR(Y539,'Key Generator'!Z410)</f>
        <v>0</v>
      </c>
      <c r="Z547" s="90">
        <f>--_xlfn.XOR(Z539,'Key Generator'!AA410)</f>
        <v>0</v>
      </c>
      <c r="AA547" s="91">
        <f>--_xlfn.XOR(AA539,'Key Generator'!AB410)</f>
        <v>0</v>
      </c>
      <c r="AB547" s="91">
        <f>--_xlfn.XOR(AB539,'Key Generator'!AC410)</f>
        <v>0</v>
      </c>
      <c r="AC547" s="91">
        <f>--_xlfn.XOR(AC539,'Key Generator'!AD410)</f>
        <v>0</v>
      </c>
      <c r="AD547" s="91">
        <f>--_xlfn.XOR(AD539,'Key Generator'!AE410)</f>
        <v>0</v>
      </c>
      <c r="AE547" s="91">
        <f>--_xlfn.XOR(AE539,'Key Generator'!AF410)</f>
        <v>1</v>
      </c>
      <c r="AF547" s="91">
        <f>--_xlfn.XOR(AF539,'Key Generator'!AG410)</f>
        <v>1</v>
      </c>
      <c r="AG547" s="92">
        <f>--_xlfn.XOR(AG539,'Key Generator'!AH410)</f>
        <v>1</v>
      </c>
      <c r="AH547" s="92">
        <f>--_xlfn.XOR(AH539,'Key Generator'!AI410)</f>
        <v>1</v>
      </c>
      <c r="AI547" s="92">
        <f>--_xlfn.XOR(AI539,'Key Generator'!AJ410)</f>
        <v>1</v>
      </c>
      <c r="AJ547" s="92">
        <f>--_xlfn.XOR(AJ539,'Key Generator'!AK410)</f>
        <v>0</v>
      </c>
      <c r="AK547" s="92">
        <f>--_xlfn.XOR(AK539,'Key Generator'!AL410)</f>
        <v>1</v>
      </c>
      <c r="AL547" s="92">
        <f>--_xlfn.XOR(AL539,'Key Generator'!AM410)</f>
        <v>0</v>
      </c>
      <c r="AM547" s="86">
        <f>--_xlfn.XOR(AM539,'Key Generator'!AN410)</f>
        <v>0</v>
      </c>
      <c r="AN547" s="86">
        <f>--_xlfn.XOR(AN539,'Key Generator'!AO410)</f>
        <v>0</v>
      </c>
      <c r="AO547" s="86">
        <f>--_xlfn.XOR(AO539,'Key Generator'!AP410)</f>
        <v>0</v>
      </c>
      <c r="AP547" s="86">
        <f>--_xlfn.XOR(AP539,'Key Generator'!AQ410)</f>
        <v>1</v>
      </c>
      <c r="AQ547" s="86">
        <f>--_xlfn.XOR(AQ539,'Key Generator'!AR410)</f>
        <v>0</v>
      </c>
      <c r="AR547" s="86">
        <f>--_xlfn.XOR(AR539,'Key Generator'!AS410)</f>
        <v>1</v>
      </c>
      <c r="AS547" s="81">
        <f>--_xlfn.XOR(AS539,'Key Generator'!AT410)</f>
        <v>0</v>
      </c>
      <c r="AT547" s="81">
        <f>--_xlfn.XOR(AT539,'Key Generator'!AU410)</f>
        <v>1</v>
      </c>
      <c r="AU547" s="81">
        <f>--_xlfn.XOR(AU539,'Key Generator'!AV410)</f>
        <v>1</v>
      </c>
      <c r="AV547" s="81">
        <f>--_xlfn.XOR(AV539,'Key Generator'!AW410)</f>
        <v>1</v>
      </c>
      <c r="AW547" s="81">
        <f>--_xlfn.XOR(AW539,'Key Generator'!AX410)</f>
        <v>0</v>
      </c>
      <c r="AX547" s="81">
        <f>--_xlfn.XOR(AX539,'Key Generator'!AY410)</f>
        <v>0</v>
      </c>
      <c r="AZ547" s="20"/>
      <c r="BA547" s="20"/>
      <c r="BB547" s="20"/>
      <c r="BC547" s="20"/>
    </row>
    <row r="548" spans="1:55" ht="24.95" customHeight="1" x14ac:dyDescent="0.25">
      <c r="C548" s="93"/>
      <c r="D548" s="94"/>
      <c r="E548" s="94"/>
      <c r="F548" s="94"/>
      <c r="G548" s="94"/>
      <c r="H548" s="94"/>
      <c r="AZ548" s="20"/>
      <c r="BA548" s="20"/>
      <c r="BB548" s="20"/>
      <c r="BC548" s="20"/>
    </row>
    <row r="549" spans="1:55" ht="24.95" customHeight="1" x14ac:dyDescent="0.25">
      <c r="A549" s="96" t="s">
        <v>545</v>
      </c>
      <c r="B549" s="97"/>
      <c r="C549" s="101">
        <f>D547*8+E547*4+F547*2+G547</f>
        <v>12</v>
      </c>
      <c r="D549" s="123" t="s">
        <v>536</v>
      </c>
      <c r="E549" s="97"/>
      <c r="F549" s="97"/>
      <c r="G549" s="97"/>
      <c r="H549" s="97"/>
      <c r="I549" s="101">
        <f>J547*8+K547*4+L547*2+M547</f>
        <v>1</v>
      </c>
      <c r="J549" s="122" t="s">
        <v>537</v>
      </c>
      <c r="K549" s="97"/>
      <c r="L549" s="97"/>
      <c r="M549" s="97"/>
      <c r="N549" s="97"/>
      <c r="O549" s="101">
        <f>P547*8+Q547*4+R547*2+S547</f>
        <v>0</v>
      </c>
      <c r="P549" s="122" t="s">
        <v>538</v>
      </c>
      <c r="Q549" s="97"/>
      <c r="R549" s="97"/>
      <c r="S549" s="97"/>
      <c r="T549" s="97"/>
      <c r="U549" s="101">
        <f>V547*8+W547*4+X547*2+Y547</f>
        <v>8</v>
      </c>
      <c r="V549" s="122" t="s">
        <v>539</v>
      </c>
      <c r="W549" s="97"/>
      <c r="X549" s="97"/>
      <c r="Y549" s="97"/>
      <c r="Z549" s="97"/>
      <c r="AA549" s="101">
        <f>AB547*8+AC547*4+AD547*2+AE547</f>
        <v>1</v>
      </c>
      <c r="AB549" s="122" t="s">
        <v>540</v>
      </c>
      <c r="AC549" s="97"/>
      <c r="AD549" s="97"/>
      <c r="AE549" s="97"/>
      <c r="AF549" s="97"/>
      <c r="AG549" s="101">
        <f>AH547*8+AI547*4+AJ547*2+AK547</f>
        <v>13</v>
      </c>
      <c r="AH549" s="122" t="s">
        <v>541</v>
      </c>
      <c r="AI549" s="97"/>
      <c r="AJ549" s="97"/>
      <c r="AK549" s="97"/>
      <c r="AL549" s="97"/>
      <c r="AM549" s="101">
        <f>AN547*8+AO547*4+AP547*2+AQ547</f>
        <v>2</v>
      </c>
      <c r="AN549" s="122" t="s">
        <v>542</v>
      </c>
      <c r="AO549" s="97"/>
      <c r="AP549" s="97"/>
      <c r="AQ549" s="97"/>
      <c r="AR549" s="97"/>
      <c r="AS549" s="101">
        <f>AT547*8+AU547*4+AV547*2+AW547</f>
        <v>14</v>
      </c>
      <c r="AT549" s="122" t="s">
        <v>543</v>
      </c>
      <c r="AU549" s="97"/>
      <c r="AV549" s="97"/>
      <c r="AW549" s="97"/>
      <c r="AX549" s="97"/>
      <c r="AY549" s="97"/>
      <c r="AZ549" s="20"/>
      <c r="BA549" s="20"/>
      <c r="BB549" s="20"/>
      <c r="BC549" s="20"/>
    </row>
    <row r="550" spans="1:55" ht="24.95" customHeight="1" x14ac:dyDescent="0.25">
      <c r="A550" s="100" t="s">
        <v>546</v>
      </c>
      <c r="B550" s="99"/>
      <c r="C550" s="87">
        <f>C547*2+H547</f>
        <v>3</v>
      </c>
      <c r="D550" s="98"/>
      <c r="E550" s="98"/>
      <c r="F550" s="99"/>
      <c r="G550" s="99"/>
      <c r="H550" s="99"/>
      <c r="I550" s="87">
        <f>I547*2+N547</f>
        <v>1</v>
      </c>
      <c r="J550" s="99"/>
      <c r="K550" s="99"/>
      <c r="L550" s="99"/>
      <c r="M550" s="99"/>
      <c r="N550" s="99"/>
      <c r="O550" s="87">
        <f>O547*2+T547</f>
        <v>3</v>
      </c>
      <c r="P550" s="99"/>
      <c r="Q550" s="99"/>
      <c r="R550" s="99"/>
      <c r="S550" s="99"/>
      <c r="T550" s="99"/>
      <c r="U550" s="87">
        <f>U547*2+Z547</f>
        <v>0</v>
      </c>
      <c r="V550" s="99"/>
      <c r="W550" s="99"/>
      <c r="X550" s="99"/>
      <c r="Y550" s="99"/>
      <c r="Z550" s="99"/>
      <c r="AA550" s="87">
        <f>AA547*2+AF547</f>
        <v>1</v>
      </c>
      <c r="AB550" s="99"/>
      <c r="AC550" s="99"/>
      <c r="AD550" s="99"/>
      <c r="AE550" s="99"/>
      <c r="AF550" s="99"/>
      <c r="AG550" s="87">
        <f>AG547*2+AL547</f>
        <v>2</v>
      </c>
      <c r="AH550" s="99"/>
      <c r="AI550" s="99"/>
      <c r="AJ550" s="99"/>
      <c r="AK550" s="99"/>
      <c r="AL550" s="99"/>
      <c r="AM550" s="87">
        <f>AM547*2+AR547</f>
        <v>1</v>
      </c>
      <c r="AN550" s="99"/>
      <c r="AO550" s="99"/>
      <c r="AP550" s="99"/>
      <c r="AQ550" s="99"/>
      <c r="AR550" s="99"/>
      <c r="AS550" s="87">
        <f>AS547*2+AX547</f>
        <v>0</v>
      </c>
      <c r="AT550" s="99"/>
      <c r="AU550" s="99"/>
      <c r="AV550" s="99"/>
      <c r="AW550" s="99"/>
      <c r="AX550" s="99"/>
      <c r="AY550" s="99"/>
      <c r="AZ550" s="20"/>
      <c r="BA550" s="20"/>
      <c r="BB550" s="20"/>
      <c r="BC550" s="20"/>
    </row>
    <row r="551" spans="1:55" ht="24.95" customHeight="1" x14ac:dyDescent="0.25">
      <c r="AZ551" s="20"/>
      <c r="BA551" s="20"/>
      <c r="BB551" s="20"/>
      <c r="BC551" s="20"/>
    </row>
    <row r="552" spans="1:55" ht="24.95" customHeight="1" x14ac:dyDescent="0.25">
      <c r="A552" s="117" t="s">
        <v>547</v>
      </c>
      <c r="C552" s="72">
        <f>INDEX('S-Box'!D3:S6,'DES-Enc'!C550+1,'DES-Enc'!C549+1)</f>
        <v>10</v>
      </c>
      <c r="I552" s="102">
        <f>INDEX('S-Box'!D9:S12,'DES-Enc'!I550+1,'DES-Enc'!I549+1)</f>
        <v>13</v>
      </c>
      <c r="O552" s="102">
        <f>INDEX('S-Box'!D15:S18,'DES-Enc'!O550+1,'DES-Enc'!O549+1)</f>
        <v>1</v>
      </c>
      <c r="U552" s="102">
        <f>INDEX('S-Box'!D21:S24,'DES-Enc'!U550+1,'DES-Enc'!U549+1)</f>
        <v>1</v>
      </c>
      <c r="AA552" s="102">
        <f>INDEX('S-Box'!D27:S30,'DES-Enc'!AA550+1,'DES-Enc'!AA549+1)</f>
        <v>11</v>
      </c>
      <c r="AG552" s="102">
        <f>INDEX('S-Box'!D33:S36,'DES-Enc'!AG550+1,'DES-Enc'!AG549+1)</f>
        <v>13</v>
      </c>
      <c r="AM552" s="102">
        <f>INDEX('S-Box'!D39:S42,'DES-Enc'!AM550+1,'DES-Enc'!AM549+1)</f>
        <v>11</v>
      </c>
      <c r="AS552" s="102">
        <f>INDEX('S-Box'!D45:S48,'DES-Enc'!AS550+1,'DES-Enc'!AS549+1)</f>
        <v>12</v>
      </c>
      <c r="AZ552" s="20"/>
      <c r="BA552" s="20"/>
      <c r="BB552" s="20"/>
      <c r="BC552" s="20"/>
    </row>
    <row r="553" spans="1:55" ht="24.95" customHeight="1" x14ac:dyDescent="0.25">
      <c r="C553" s="104"/>
      <c r="I553" s="95"/>
      <c r="O553" s="95"/>
      <c r="U553" s="95"/>
      <c r="AA553" s="95"/>
      <c r="AG553" s="95"/>
      <c r="AM553" s="95"/>
      <c r="AS553" s="95"/>
    </row>
    <row r="554" spans="1:55" ht="24.95" customHeight="1" x14ac:dyDescent="0.25">
      <c r="C554" s="105" t="str">
        <f>MID(DEC2BIN(C552,4),1,1)</f>
        <v>1</v>
      </c>
      <c r="D554" s="106" t="str">
        <f>MID(DEC2BIN(C552,4),2,1)</f>
        <v>0</v>
      </c>
      <c r="E554" s="106" t="str">
        <f>MID(DEC2BIN(C552,4),3,1)</f>
        <v>1</v>
      </c>
      <c r="F554" s="107" t="str">
        <f>MID(DEC2BIN(C552,4),4,1)</f>
        <v>0</v>
      </c>
      <c r="I554" s="105" t="str">
        <f>MID(DEC2BIN(I552,4),1,1)</f>
        <v>1</v>
      </c>
      <c r="J554" s="106" t="str">
        <f>MID(DEC2BIN(I552,4),2,1)</f>
        <v>1</v>
      </c>
      <c r="K554" s="106" t="str">
        <f>MID(DEC2BIN(I552,4),3,1)</f>
        <v>0</v>
      </c>
      <c r="L554" s="107" t="str">
        <f>MID(DEC2BIN(I552,4),4,1)</f>
        <v>1</v>
      </c>
      <c r="O554" s="105" t="str">
        <f>MID(DEC2BIN(O552,4),1,1)</f>
        <v>0</v>
      </c>
      <c r="P554" s="106" t="str">
        <f>MID(DEC2BIN(O552,4),2,1)</f>
        <v>0</v>
      </c>
      <c r="Q554" s="106" t="str">
        <f>MID(DEC2BIN(O552,4),3,1)</f>
        <v>0</v>
      </c>
      <c r="R554" s="107" t="str">
        <f>MID(DEC2BIN(O552,4),4,1)</f>
        <v>1</v>
      </c>
      <c r="U554" s="105" t="str">
        <f>MID(DEC2BIN(U552,4),1,1)</f>
        <v>0</v>
      </c>
      <c r="V554" s="106" t="str">
        <f>MID(DEC2BIN(U552,4),2,1)</f>
        <v>0</v>
      </c>
      <c r="W554" s="106" t="str">
        <f>MID(DEC2BIN(U552,4),3,1)</f>
        <v>0</v>
      </c>
      <c r="X554" s="107" t="str">
        <f>MID(DEC2BIN(U552,4),4,1)</f>
        <v>1</v>
      </c>
      <c r="AA554" s="105" t="str">
        <f>MID(DEC2BIN(AA552,4),1,1)</f>
        <v>1</v>
      </c>
      <c r="AB554" s="106" t="str">
        <f>MID(DEC2BIN(AA552,4),2,1)</f>
        <v>0</v>
      </c>
      <c r="AC554" s="106" t="str">
        <f>MID(DEC2BIN(AA552,4),3,1)</f>
        <v>1</v>
      </c>
      <c r="AD554" s="107" t="str">
        <f>MID(DEC2BIN(AA552,4),4,1)</f>
        <v>1</v>
      </c>
      <c r="AG554" s="105" t="str">
        <f>MID(DEC2BIN(AG552,4),1,1)</f>
        <v>1</v>
      </c>
      <c r="AH554" s="106" t="str">
        <f>MID(DEC2BIN(AG552,4),2,1)</f>
        <v>1</v>
      </c>
      <c r="AI554" s="106" t="str">
        <f>MID(DEC2BIN(AG552,4),3,1)</f>
        <v>0</v>
      </c>
      <c r="AJ554" s="107" t="str">
        <f>MID(DEC2BIN(AG552,4),4,1)</f>
        <v>1</v>
      </c>
      <c r="AM554" s="105" t="str">
        <f>MID(DEC2BIN(AM552,4),1,1)</f>
        <v>1</v>
      </c>
      <c r="AN554" s="106" t="str">
        <f>MID(DEC2BIN(AM552,4),2,1)</f>
        <v>0</v>
      </c>
      <c r="AO554" s="106" t="str">
        <f>MID(DEC2BIN(AM552,4),3,1)</f>
        <v>1</v>
      </c>
      <c r="AP554" s="107" t="str">
        <f>MID(DEC2BIN(AM552,4),4,1)</f>
        <v>1</v>
      </c>
      <c r="AS554" s="105" t="str">
        <f>MID(DEC2BIN(AS552,4),1,1)</f>
        <v>1</v>
      </c>
      <c r="AT554" s="106" t="str">
        <f>MID(DEC2BIN(AS552,4),2,1)</f>
        <v>1</v>
      </c>
      <c r="AU554" s="106" t="str">
        <f>MID(DEC2BIN(AS552,4),3,1)</f>
        <v>0</v>
      </c>
      <c r="AV554" s="107" t="str">
        <f>MID(DEC2BIN(AS552,4),4,1)</f>
        <v>0</v>
      </c>
    </row>
    <row r="555" spans="1:55" ht="24.95" customHeight="1" x14ac:dyDescent="0.25">
      <c r="C555" s="21">
        <f>VALUE(C554)</f>
        <v>1</v>
      </c>
      <c r="D555" s="21">
        <f t="shared" ref="D555" si="1566">VALUE(D554)</f>
        <v>0</v>
      </c>
      <c r="E555" s="21">
        <f t="shared" ref="E555" si="1567">VALUE(E554)</f>
        <v>1</v>
      </c>
      <c r="F555" s="21">
        <f t="shared" ref="F555" si="1568">VALUE(F554)</f>
        <v>0</v>
      </c>
      <c r="I555" s="21">
        <f t="shared" ref="I555" si="1569">VALUE(I554)</f>
        <v>1</v>
      </c>
      <c r="J555" s="21">
        <f t="shared" ref="J555" si="1570">VALUE(J554)</f>
        <v>1</v>
      </c>
      <c r="K555" s="21">
        <f t="shared" ref="K555" si="1571">VALUE(K554)</f>
        <v>0</v>
      </c>
      <c r="L555" s="21">
        <f t="shared" ref="L555" si="1572">VALUE(L554)</f>
        <v>1</v>
      </c>
      <c r="O555" s="21">
        <f>VALUE(O554)</f>
        <v>0</v>
      </c>
      <c r="P555" s="21">
        <f t="shared" ref="P555" si="1573">VALUE(P554)</f>
        <v>0</v>
      </c>
      <c r="Q555" s="21">
        <f t="shared" ref="Q555" si="1574">VALUE(Q554)</f>
        <v>0</v>
      </c>
      <c r="R555" s="21">
        <f t="shared" ref="R555" si="1575">VALUE(R554)</f>
        <v>1</v>
      </c>
      <c r="U555" s="21">
        <f>VALUE(U554)</f>
        <v>0</v>
      </c>
      <c r="V555" s="21">
        <f t="shared" ref="V555" si="1576">VALUE(V554)</f>
        <v>0</v>
      </c>
      <c r="W555" s="21">
        <f t="shared" ref="W555" si="1577">VALUE(W554)</f>
        <v>0</v>
      </c>
      <c r="X555" s="21">
        <f t="shared" ref="X555" si="1578">VALUE(X554)</f>
        <v>1</v>
      </c>
      <c r="AA555" s="21">
        <f>VALUE(AA554)</f>
        <v>1</v>
      </c>
      <c r="AB555" s="21">
        <f t="shared" ref="AB555" si="1579">VALUE(AB554)</f>
        <v>0</v>
      </c>
      <c r="AC555" s="21">
        <f t="shared" ref="AC555" si="1580">VALUE(AC554)</f>
        <v>1</v>
      </c>
      <c r="AD555" s="21">
        <f t="shared" ref="AD555" si="1581">VALUE(AD554)</f>
        <v>1</v>
      </c>
      <c r="AG555" s="21">
        <f>VALUE(AG554)</f>
        <v>1</v>
      </c>
      <c r="AH555" s="21">
        <f t="shared" ref="AH555" si="1582">VALUE(AH554)</f>
        <v>1</v>
      </c>
      <c r="AI555" s="21">
        <f t="shared" ref="AI555" si="1583">VALUE(AI554)</f>
        <v>0</v>
      </c>
      <c r="AJ555" s="21">
        <f t="shared" ref="AJ555" si="1584">VALUE(AJ554)</f>
        <v>1</v>
      </c>
      <c r="AM555" s="21">
        <f>VALUE(AM554)</f>
        <v>1</v>
      </c>
      <c r="AN555" s="21">
        <f t="shared" ref="AN555" si="1585">VALUE(AN554)</f>
        <v>0</v>
      </c>
      <c r="AO555" s="21">
        <f t="shared" ref="AO555" si="1586">VALUE(AO554)</f>
        <v>1</v>
      </c>
      <c r="AP555" s="21">
        <f t="shared" ref="AP555" si="1587">VALUE(AP554)</f>
        <v>1</v>
      </c>
      <c r="AS555" s="21">
        <f>VALUE(AS554)</f>
        <v>1</v>
      </c>
      <c r="AT555" s="21">
        <f t="shared" ref="AT555" si="1588">VALUE(AT554)</f>
        <v>1</v>
      </c>
      <c r="AU555" s="21">
        <f t="shared" ref="AU555" si="1589">VALUE(AU554)</f>
        <v>0</v>
      </c>
      <c r="AV555" s="21">
        <f t="shared" ref="AV555" si="1590">VALUE(AV554)</f>
        <v>0</v>
      </c>
    </row>
    <row r="556" spans="1:55" ht="24.95" customHeight="1" x14ac:dyDescent="0.25">
      <c r="A556" s="111" t="s">
        <v>588</v>
      </c>
      <c r="B556" s="111"/>
      <c r="C556" s="111">
        <v>1</v>
      </c>
      <c r="D556" s="76">
        <v>2</v>
      </c>
      <c r="E556" s="111">
        <v>3</v>
      </c>
      <c r="F556" s="76">
        <v>4</v>
      </c>
      <c r="G556" s="111">
        <v>5</v>
      </c>
      <c r="H556" s="76">
        <v>6</v>
      </c>
      <c r="I556" s="111">
        <v>7</v>
      </c>
      <c r="J556" s="76">
        <v>8</v>
      </c>
      <c r="K556" s="111">
        <v>9</v>
      </c>
      <c r="L556" s="76">
        <v>10</v>
      </c>
      <c r="M556" s="111">
        <v>11</v>
      </c>
      <c r="N556" s="76">
        <v>12</v>
      </c>
      <c r="O556" s="111">
        <v>13</v>
      </c>
      <c r="P556" s="76">
        <v>14</v>
      </c>
      <c r="Q556" s="111">
        <v>15</v>
      </c>
      <c r="R556" s="76">
        <v>16</v>
      </c>
      <c r="S556" s="111">
        <v>17</v>
      </c>
      <c r="T556" s="76">
        <v>18</v>
      </c>
      <c r="U556" s="111">
        <v>19</v>
      </c>
      <c r="V556" s="76">
        <v>20</v>
      </c>
      <c r="W556" s="111">
        <v>21</v>
      </c>
      <c r="X556" s="76">
        <v>22</v>
      </c>
      <c r="Y556" s="111">
        <v>23</v>
      </c>
      <c r="Z556" s="76">
        <v>24</v>
      </c>
      <c r="AA556" s="111">
        <v>25</v>
      </c>
      <c r="AB556" s="76">
        <v>26</v>
      </c>
      <c r="AC556" s="111">
        <v>27</v>
      </c>
      <c r="AD556" s="76">
        <v>28</v>
      </c>
      <c r="AE556" s="111">
        <v>29</v>
      </c>
      <c r="AF556" s="76">
        <v>30</v>
      </c>
      <c r="AG556" s="111">
        <v>31</v>
      </c>
      <c r="AH556" s="76">
        <v>32</v>
      </c>
    </row>
    <row r="557" spans="1:55" ht="24.95" customHeight="1" x14ac:dyDescent="0.25">
      <c r="C557" s="108">
        <f>C555</f>
        <v>1</v>
      </c>
      <c r="D557" s="108">
        <f t="shared" ref="D557:F557" si="1591">D555</f>
        <v>0</v>
      </c>
      <c r="E557" s="108">
        <f t="shared" si="1591"/>
        <v>1</v>
      </c>
      <c r="F557" s="108">
        <f t="shared" si="1591"/>
        <v>0</v>
      </c>
      <c r="G557" s="23">
        <f>I555</f>
        <v>1</v>
      </c>
      <c r="H557" s="23">
        <f t="shared" ref="H557" si="1592">J555</f>
        <v>1</v>
      </c>
      <c r="I557" s="23">
        <f t="shared" ref="I557" si="1593">K555</f>
        <v>0</v>
      </c>
      <c r="J557" s="23">
        <f t="shared" ref="J557" si="1594">L555</f>
        <v>1</v>
      </c>
      <c r="K557" s="23">
        <f>O555</f>
        <v>0</v>
      </c>
      <c r="L557" s="23">
        <f t="shared" ref="L557" si="1595">P555</f>
        <v>0</v>
      </c>
      <c r="M557" s="23">
        <f t="shared" ref="M557" si="1596">Q555</f>
        <v>0</v>
      </c>
      <c r="N557" s="23">
        <f t="shared" ref="N557" si="1597">R555</f>
        <v>1</v>
      </c>
      <c r="O557" s="23">
        <f>U555</f>
        <v>0</v>
      </c>
      <c r="P557" s="23">
        <f t="shared" ref="P557" si="1598">V555</f>
        <v>0</v>
      </c>
      <c r="Q557" s="23">
        <f t="shared" ref="Q557" si="1599">W555</f>
        <v>0</v>
      </c>
      <c r="R557" s="23">
        <f t="shared" ref="R557" si="1600">X555</f>
        <v>1</v>
      </c>
      <c r="S557" s="23">
        <f>AA555</f>
        <v>1</v>
      </c>
      <c r="T557" s="23">
        <f t="shared" ref="T557" si="1601">AB555</f>
        <v>0</v>
      </c>
      <c r="U557" s="23">
        <f t="shared" ref="U557" si="1602">AC555</f>
        <v>1</v>
      </c>
      <c r="V557" s="23">
        <f t="shared" ref="V557" si="1603">AD555</f>
        <v>1</v>
      </c>
      <c r="W557" s="23">
        <f>AG555</f>
        <v>1</v>
      </c>
      <c r="X557" s="23">
        <f t="shared" ref="X557" si="1604">AH555</f>
        <v>1</v>
      </c>
      <c r="Y557" s="23">
        <f t="shared" ref="Y557" si="1605">AI555</f>
        <v>0</v>
      </c>
      <c r="Z557" s="23">
        <f t="shared" ref="Z557" si="1606">AJ555</f>
        <v>1</v>
      </c>
      <c r="AA557" s="23">
        <f>AM555</f>
        <v>1</v>
      </c>
      <c r="AB557" s="23">
        <f t="shared" ref="AB557" si="1607">AN555</f>
        <v>0</v>
      </c>
      <c r="AC557" s="23">
        <f t="shared" ref="AC557" si="1608">AO555</f>
        <v>1</v>
      </c>
      <c r="AD557" s="23">
        <f t="shared" ref="AD557" si="1609">AP555</f>
        <v>1</v>
      </c>
      <c r="AE557" s="23">
        <f>AS555</f>
        <v>1</v>
      </c>
      <c r="AF557" s="23">
        <f t="shared" ref="AF557" si="1610">AT555</f>
        <v>1</v>
      </c>
      <c r="AG557" s="23">
        <f t="shared" ref="AG557" si="1611">AU555</f>
        <v>0</v>
      </c>
      <c r="AH557" s="23">
        <f t="shared" ref="AH557" si="1612">AV555</f>
        <v>0</v>
      </c>
    </row>
    <row r="559" spans="1:55" ht="24.95" customHeight="1" x14ac:dyDescent="0.25">
      <c r="A559" s="110" t="s">
        <v>548</v>
      </c>
      <c r="B559" s="110"/>
      <c r="C559" s="109">
        <v>16</v>
      </c>
      <c r="D559" s="110">
        <v>7</v>
      </c>
      <c r="E559" s="110">
        <v>20</v>
      </c>
      <c r="F559" s="110">
        <v>21</v>
      </c>
      <c r="G559" s="110">
        <v>29</v>
      </c>
      <c r="H559" s="110">
        <v>12</v>
      </c>
      <c r="I559" s="110">
        <v>28</v>
      </c>
      <c r="J559" s="110">
        <v>17</v>
      </c>
      <c r="K559" s="110">
        <v>1</v>
      </c>
      <c r="L559" s="110">
        <v>15</v>
      </c>
      <c r="M559" s="110">
        <v>23</v>
      </c>
      <c r="N559" s="110">
        <v>26</v>
      </c>
      <c r="O559" s="110">
        <v>5</v>
      </c>
      <c r="P559" s="110">
        <v>18</v>
      </c>
      <c r="Q559" s="110">
        <v>31</v>
      </c>
      <c r="R559" s="110">
        <v>10</v>
      </c>
      <c r="S559" s="110">
        <v>2</v>
      </c>
      <c r="T559" s="110">
        <v>8</v>
      </c>
      <c r="U559" s="110">
        <v>24</v>
      </c>
      <c r="V559" s="110">
        <v>14</v>
      </c>
      <c r="W559" s="110">
        <v>32</v>
      </c>
      <c r="X559" s="110">
        <v>27</v>
      </c>
      <c r="Y559" s="110">
        <v>3</v>
      </c>
      <c r="Z559" s="110">
        <v>9</v>
      </c>
      <c r="AA559" s="110">
        <v>19</v>
      </c>
      <c r="AB559" s="110">
        <v>13</v>
      </c>
      <c r="AC559" s="110">
        <v>30</v>
      </c>
      <c r="AD559" s="110">
        <v>6</v>
      </c>
      <c r="AE559" s="110">
        <v>22</v>
      </c>
      <c r="AF559" s="110">
        <v>11</v>
      </c>
      <c r="AG559" s="110">
        <v>4</v>
      </c>
      <c r="AH559" s="110">
        <v>25</v>
      </c>
    </row>
    <row r="560" spans="1:55" ht="24.95" customHeight="1" x14ac:dyDescent="0.25">
      <c r="C560" s="103">
        <f>K557</f>
        <v>0</v>
      </c>
      <c r="D560" s="103">
        <f>S557</f>
        <v>1</v>
      </c>
      <c r="E560" s="103">
        <f>Y557</f>
        <v>0</v>
      </c>
      <c r="F560" s="112">
        <f>AG557</f>
        <v>0</v>
      </c>
      <c r="G560" s="103">
        <f>O557</f>
        <v>0</v>
      </c>
      <c r="H560" s="103">
        <f>AD557</f>
        <v>1</v>
      </c>
      <c r="I560" s="103">
        <f>D557</f>
        <v>0</v>
      </c>
      <c r="J560" s="103">
        <f>T557</f>
        <v>0</v>
      </c>
      <c r="K560" s="103">
        <f>Z557</f>
        <v>1</v>
      </c>
      <c r="L560" s="103">
        <f>R557</f>
        <v>1</v>
      </c>
      <c r="M560" s="103">
        <f>AF557</f>
        <v>1</v>
      </c>
      <c r="N560" s="103">
        <f>H557</f>
        <v>1</v>
      </c>
      <c r="O560" s="103">
        <f>AB557</f>
        <v>0</v>
      </c>
      <c r="P560" s="103">
        <f>V557</f>
        <v>1</v>
      </c>
      <c r="Q560" s="103">
        <f>L557</f>
        <v>0</v>
      </c>
      <c r="R560" s="103">
        <f>C557</f>
        <v>1</v>
      </c>
      <c r="S560" s="103">
        <f>J557</f>
        <v>1</v>
      </c>
      <c r="T560" s="103">
        <f>P557</f>
        <v>0</v>
      </c>
      <c r="U560" s="103">
        <f>AA557</f>
        <v>1</v>
      </c>
      <c r="V560" s="103">
        <f>E557</f>
        <v>1</v>
      </c>
      <c r="W560" s="103">
        <f>F557</f>
        <v>0</v>
      </c>
      <c r="X560" s="103">
        <f>AE557</f>
        <v>1</v>
      </c>
      <c r="Y560" s="103">
        <f>M557</f>
        <v>0</v>
      </c>
      <c r="Z560" s="103">
        <f>U557</f>
        <v>1</v>
      </c>
      <c r="AA560" s="103">
        <f>AH557</f>
        <v>0</v>
      </c>
      <c r="AB560" s="103">
        <f>N557</f>
        <v>1</v>
      </c>
      <c r="AC560" s="103">
        <f>X557</f>
        <v>1</v>
      </c>
      <c r="AD560" s="103">
        <f>I557</f>
        <v>0</v>
      </c>
      <c r="AE560" s="103">
        <f>G557</f>
        <v>1</v>
      </c>
      <c r="AF560" s="103">
        <f>AC557</f>
        <v>1</v>
      </c>
      <c r="AG560" s="103">
        <f>Q557</f>
        <v>0</v>
      </c>
      <c r="AH560" s="103">
        <f>W557</f>
        <v>1</v>
      </c>
    </row>
    <row r="561" spans="1:51" ht="24.95" customHeight="1" x14ac:dyDescent="0.25">
      <c r="C561" s="130">
        <v>1</v>
      </c>
      <c r="D561" s="131">
        <v>2</v>
      </c>
      <c r="E561" s="130">
        <v>3</v>
      </c>
      <c r="F561" s="131">
        <v>4</v>
      </c>
      <c r="G561" s="130">
        <v>5</v>
      </c>
      <c r="H561" s="131">
        <v>6</v>
      </c>
      <c r="I561" s="130">
        <v>7</v>
      </c>
      <c r="J561" s="131">
        <v>8</v>
      </c>
      <c r="K561" s="130">
        <v>9</v>
      </c>
      <c r="L561" s="131">
        <v>10</v>
      </c>
      <c r="M561" s="130">
        <v>11</v>
      </c>
      <c r="N561" s="131">
        <v>12</v>
      </c>
      <c r="O561" s="130">
        <v>13</v>
      </c>
      <c r="P561" s="131">
        <v>14</v>
      </c>
      <c r="Q561" s="130">
        <v>15</v>
      </c>
      <c r="R561" s="131">
        <v>16</v>
      </c>
      <c r="S561" s="130">
        <v>17</v>
      </c>
      <c r="T561" s="131">
        <v>18</v>
      </c>
      <c r="U561" s="130">
        <v>19</v>
      </c>
      <c r="V561" s="131">
        <v>20</v>
      </c>
      <c r="W561" s="130">
        <v>21</v>
      </c>
      <c r="X561" s="131">
        <v>22</v>
      </c>
      <c r="Y561" s="130">
        <v>23</v>
      </c>
      <c r="Z561" s="131">
        <v>24</v>
      </c>
      <c r="AA561" s="130">
        <v>25</v>
      </c>
      <c r="AB561" s="131">
        <v>26</v>
      </c>
      <c r="AC561" s="130">
        <v>27</v>
      </c>
      <c r="AD561" s="131">
        <v>28</v>
      </c>
      <c r="AE561" s="130">
        <v>29</v>
      </c>
      <c r="AF561" s="131">
        <v>30</v>
      </c>
      <c r="AG561" s="130">
        <v>31</v>
      </c>
      <c r="AH561" s="131">
        <v>32</v>
      </c>
    </row>
    <row r="565" spans="1:51" ht="24.95" customHeight="1" x14ac:dyDescent="0.25">
      <c r="A565" s="114" t="s">
        <v>569</v>
      </c>
      <c r="B565" s="114"/>
      <c r="C565" s="114"/>
      <c r="D565" s="68">
        <v>1</v>
      </c>
      <c r="E565" s="68">
        <v>2</v>
      </c>
      <c r="F565" s="68">
        <v>3</v>
      </c>
      <c r="G565" s="68">
        <v>4</v>
      </c>
      <c r="H565" s="68">
        <v>5</v>
      </c>
      <c r="I565" s="68">
        <v>6</v>
      </c>
      <c r="J565" s="68">
        <v>7</v>
      </c>
      <c r="K565" s="68">
        <v>8</v>
      </c>
      <c r="L565" s="68">
        <v>9</v>
      </c>
      <c r="M565" s="68">
        <v>10</v>
      </c>
      <c r="N565" s="68">
        <v>11</v>
      </c>
      <c r="O565" s="68">
        <v>12</v>
      </c>
      <c r="P565" s="68">
        <v>13</v>
      </c>
      <c r="Q565" s="68">
        <v>14</v>
      </c>
      <c r="R565" s="68">
        <v>15</v>
      </c>
      <c r="S565" s="68">
        <v>16</v>
      </c>
      <c r="T565" s="68">
        <v>17</v>
      </c>
      <c r="U565" s="68">
        <v>18</v>
      </c>
      <c r="V565" s="68">
        <v>19</v>
      </c>
      <c r="W565" s="68">
        <v>20</v>
      </c>
      <c r="X565" s="68">
        <v>21</v>
      </c>
      <c r="Y565" s="68">
        <v>22</v>
      </c>
      <c r="Z565" s="68">
        <v>23</v>
      </c>
      <c r="AA565" s="68">
        <v>24</v>
      </c>
      <c r="AB565" s="68">
        <v>25</v>
      </c>
      <c r="AC565" s="68">
        <v>26</v>
      </c>
      <c r="AD565" s="68">
        <v>27</v>
      </c>
      <c r="AE565" s="68">
        <v>28</v>
      </c>
      <c r="AF565" s="68">
        <v>29</v>
      </c>
      <c r="AG565" s="68">
        <v>30</v>
      </c>
      <c r="AH565" s="68">
        <v>31</v>
      </c>
      <c r="AI565" s="68">
        <v>32</v>
      </c>
    </row>
    <row r="566" spans="1:51" ht="24.95" customHeight="1" x14ac:dyDescent="0.25">
      <c r="A566" s="64" t="s">
        <v>549</v>
      </c>
      <c r="D566" s="67">
        <f>C524</f>
        <v>1</v>
      </c>
      <c r="E566" s="68">
        <f t="shared" ref="E566" si="1613">D524</f>
        <v>1</v>
      </c>
      <c r="F566" s="68">
        <f t="shared" ref="F566" si="1614">E524</f>
        <v>1</v>
      </c>
      <c r="G566" s="68">
        <f t="shared" ref="G566" si="1615">F524</f>
        <v>0</v>
      </c>
      <c r="H566" s="68">
        <f t="shared" ref="H566" si="1616">G524</f>
        <v>0</v>
      </c>
      <c r="I566" s="68">
        <f t="shared" ref="I566" si="1617">H524</f>
        <v>0</v>
      </c>
      <c r="J566" s="68">
        <f t="shared" ref="J566" si="1618">I524</f>
        <v>0</v>
      </c>
      <c r="K566" s="68">
        <f t="shared" ref="K566" si="1619">J524</f>
        <v>0</v>
      </c>
      <c r="L566" s="68">
        <f t="shared" ref="L566" si="1620">K524</f>
        <v>1</v>
      </c>
      <c r="M566" s="68">
        <f t="shared" ref="M566" si="1621">L524</f>
        <v>0</v>
      </c>
      <c r="N566" s="68">
        <f t="shared" ref="N566" si="1622">M524</f>
        <v>0</v>
      </c>
      <c r="O566" s="68">
        <f t="shared" ref="O566" si="1623">N524</f>
        <v>0</v>
      </c>
      <c r="P566" s="68">
        <f t="shared" ref="P566" si="1624">O524</f>
        <v>1</v>
      </c>
      <c r="Q566" s="68">
        <f t="shared" ref="Q566" si="1625">P524</f>
        <v>0</v>
      </c>
      <c r="R566" s="68">
        <f t="shared" ref="R566" si="1626">Q524</f>
        <v>1</v>
      </c>
      <c r="S566" s="68">
        <f t="shared" ref="S566" si="1627">R524</f>
        <v>1</v>
      </c>
      <c r="T566" s="68">
        <f t="shared" ref="T566" si="1628">S524</f>
        <v>0</v>
      </c>
      <c r="U566" s="68">
        <f t="shared" ref="U566" si="1629">T524</f>
        <v>0</v>
      </c>
      <c r="V566" s="68">
        <f t="shared" ref="V566" si="1630">U524</f>
        <v>1</v>
      </c>
      <c r="W566" s="68">
        <f t="shared" ref="W566" si="1631">V524</f>
        <v>0</v>
      </c>
      <c r="X566" s="68">
        <f t="shared" ref="X566" si="1632">W524</f>
        <v>1</v>
      </c>
      <c r="Y566" s="68">
        <f t="shared" ref="Y566" si="1633">X524</f>
        <v>0</v>
      </c>
      <c r="Z566" s="68">
        <f t="shared" ref="Z566" si="1634">Y524</f>
        <v>1</v>
      </c>
      <c r="AA566" s="68">
        <f t="shared" ref="AA566" si="1635">Z524</f>
        <v>1</v>
      </c>
      <c r="AB566" s="68">
        <f t="shared" ref="AB566" si="1636">AA524</f>
        <v>0</v>
      </c>
      <c r="AC566" s="68">
        <f t="shared" ref="AC566" si="1637">AB524</f>
        <v>1</v>
      </c>
      <c r="AD566" s="68">
        <f t="shared" ref="AD566" si="1638">AC524</f>
        <v>1</v>
      </c>
      <c r="AE566" s="68">
        <f t="shared" ref="AE566" si="1639">AD524</f>
        <v>0</v>
      </c>
      <c r="AF566" s="68">
        <f t="shared" ref="AF566" si="1640">AE524</f>
        <v>0</v>
      </c>
      <c r="AG566" s="68">
        <f t="shared" ref="AG566" si="1641">AF524</f>
        <v>0</v>
      </c>
      <c r="AH566" s="68">
        <f t="shared" ref="AH566" si="1642">AG524</f>
        <v>1</v>
      </c>
      <c r="AI566" s="68">
        <f t="shared" ref="AI566" si="1643">AH524</f>
        <v>1</v>
      </c>
    </row>
    <row r="568" spans="1:51" ht="24.95" customHeight="1" x14ac:dyDescent="0.25">
      <c r="A568" s="114" t="s">
        <v>570</v>
      </c>
      <c r="B568" s="114"/>
      <c r="C568" s="114"/>
      <c r="D568" s="70">
        <v>1</v>
      </c>
      <c r="E568" s="70">
        <v>2</v>
      </c>
      <c r="F568" s="70">
        <v>3</v>
      </c>
      <c r="G568" s="70">
        <v>4</v>
      </c>
      <c r="H568" s="70">
        <v>5</v>
      </c>
      <c r="I568" s="70">
        <v>6</v>
      </c>
      <c r="J568" s="70">
        <v>7</v>
      </c>
      <c r="K568" s="70">
        <v>8</v>
      </c>
      <c r="L568" s="70">
        <v>9</v>
      </c>
      <c r="M568" s="70">
        <v>10</v>
      </c>
      <c r="N568" s="70">
        <v>11</v>
      </c>
      <c r="O568" s="70">
        <v>12</v>
      </c>
      <c r="P568" s="70">
        <v>13</v>
      </c>
      <c r="Q568" s="70">
        <v>14</v>
      </c>
      <c r="R568" s="70">
        <v>15</v>
      </c>
      <c r="S568" s="70">
        <v>16</v>
      </c>
      <c r="T568" s="70">
        <v>17</v>
      </c>
      <c r="U568" s="70">
        <v>18</v>
      </c>
      <c r="V568" s="70">
        <v>19</v>
      </c>
      <c r="W568" s="70">
        <v>20</v>
      </c>
      <c r="X568" s="70">
        <v>21</v>
      </c>
      <c r="Y568" s="70">
        <v>22</v>
      </c>
      <c r="Z568" s="70">
        <v>23</v>
      </c>
      <c r="AA568" s="70">
        <v>24</v>
      </c>
      <c r="AB568" s="70">
        <v>25</v>
      </c>
      <c r="AC568" s="70">
        <v>26</v>
      </c>
      <c r="AD568" s="70">
        <v>27</v>
      </c>
      <c r="AE568" s="70">
        <v>28</v>
      </c>
      <c r="AF568" s="70">
        <v>29</v>
      </c>
      <c r="AG568" s="70">
        <v>30</v>
      </c>
      <c r="AH568" s="70">
        <v>31</v>
      </c>
      <c r="AI568" s="70">
        <v>32</v>
      </c>
    </row>
    <row r="569" spans="1:51" ht="24.95" customHeight="1" x14ac:dyDescent="0.25">
      <c r="A569" s="64" t="s">
        <v>551</v>
      </c>
      <c r="D569" s="70">
        <f>--_xlfn.XOR(C560,D517)</f>
        <v>1</v>
      </c>
      <c r="E569" s="70">
        <f t="shared" ref="E569:AI569" si="1644">--_xlfn.XOR(D560,E517)</f>
        <v>1</v>
      </c>
      <c r="F569" s="70">
        <f t="shared" si="1644"/>
        <v>1</v>
      </c>
      <c r="G569" s="70">
        <f t="shared" si="1644"/>
        <v>1</v>
      </c>
      <c r="H569" s="70">
        <f t="shared" si="1644"/>
        <v>0</v>
      </c>
      <c r="I569" s="70">
        <f t="shared" si="1644"/>
        <v>1</v>
      </c>
      <c r="J569" s="70">
        <f t="shared" si="1644"/>
        <v>1</v>
      </c>
      <c r="K569" s="70">
        <f t="shared" si="1644"/>
        <v>1</v>
      </c>
      <c r="L569" s="70">
        <f t="shared" si="1644"/>
        <v>0</v>
      </c>
      <c r="M569" s="70">
        <f t="shared" si="1644"/>
        <v>0</v>
      </c>
      <c r="N569" s="70">
        <f t="shared" si="1644"/>
        <v>1</v>
      </c>
      <c r="O569" s="70">
        <f t="shared" si="1644"/>
        <v>0</v>
      </c>
      <c r="P569" s="70">
        <f t="shared" si="1644"/>
        <v>0</v>
      </c>
      <c r="Q569" s="70">
        <f t="shared" si="1644"/>
        <v>1</v>
      </c>
      <c r="R569" s="70">
        <f t="shared" si="1644"/>
        <v>1</v>
      </c>
      <c r="S569" s="70">
        <f t="shared" si="1644"/>
        <v>0</v>
      </c>
      <c r="T569" s="70">
        <f t="shared" si="1644"/>
        <v>0</v>
      </c>
      <c r="U569" s="70">
        <f t="shared" si="1644"/>
        <v>0</v>
      </c>
      <c r="V569" s="70">
        <f t="shared" si="1644"/>
        <v>1</v>
      </c>
      <c r="W569" s="70">
        <f t="shared" si="1644"/>
        <v>0</v>
      </c>
      <c r="X569" s="70">
        <f t="shared" si="1644"/>
        <v>1</v>
      </c>
      <c r="Y569" s="70">
        <f t="shared" si="1644"/>
        <v>0</v>
      </c>
      <c r="Z569" s="70">
        <f t="shared" si="1644"/>
        <v>0</v>
      </c>
      <c r="AA569" s="70">
        <f t="shared" si="1644"/>
        <v>0</v>
      </c>
      <c r="AB569" s="70">
        <f t="shared" si="1644"/>
        <v>1</v>
      </c>
      <c r="AC569" s="70">
        <f t="shared" si="1644"/>
        <v>1</v>
      </c>
      <c r="AD569" s="70">
        <f t="shared" si="1644"/>
        <v>0</v>
      </c>
      <c r="AE569" s="70">
        <f t="shared" si="1644"/>
        <v>0</v>
      </c>
      <c r="AF569" s="70">
        <f t="shared" si="1644"/>
        <v>0</v>
      </c>
      <c r="AG569" s="70">
        <f t="shared" si="1644"/>
        <v>1</v>
      </c>
      <c r="AH569" s="70">
        <f t="shared" si="1644"/>
        <v>0</v>
      </c>
      <c r="AI569" s="70">
        <f t="shared" si="1644"/>
        <v>1</v>
      </c>
    </row>
    <row r="570" spans="1:51" ht="24.95" customHeight="1" x14ac:dyDescent="0.25">
      <c r="A570" s="132" t="s">
        <v>616</v>
      </c>
    </row>
    <row r="571" spans="1:51" s="132" customFormat="1" ht="24.95" customHeight="1" x14ac:dyDescent="0.25">
      <c r="B571" s="133"/>
      <c r="C571" s="134"/>
    </row>
    <row r="572" spans="1:51" ht="24.95" customHeight="1" x14ac:dyDescent="0.25">
      <c r="B572" s="21"/>
      <c r="C572" s="70">
        <v>1</v>
      </c>
      <c r="D572" s="70">
        <v>2</v>
      </c>
      <c r="E572" s="70">
        <v>3</v>
      </c>
      <c r="F572" s="70">
        <v>4</v>
      </c>
      <c r="G572" s="70">
        <v>5</v>
      </c>
      <c r="H572" s="70">
        <v>6</v>
      </c>
      <c r="I572" s="70">
        <v>7</v>
      </c>
      <c r="J572" s="70">
        <v>8</v>
      </c>
      <c r="K572" s="70">
        <v>9</v>
      </c>
      <c r="L572" s="70">
        <v>10</v>
      </c>
      <c r="M572" s="70">
        <v>11</v>
      </c>
      <c r="N572" s="70">
        <v>12</v>
      </c>
      <c r="O572" s="70">
        <v>13</v>
      </c>
      <c r="P572" s="70">
        <v>14</v>
      </c>
      <c r="Q572" s="70">
        <v>15</v>
      </c>
      <c r="R572" s="70">
        <v>16</v>
      </c>
      <c r="S572" s="70">
        <v>17</v>
      </c>
      <c r="T572" s="70">
        <v>18</v>
      </c>
      <c r="U572" s="70">
        <v>19</v>
      </c>
      <c r="V572" s="70">
        <v>20</v>
      </c>
      <c r="W572" s="70">
        <v>21</v>
      </c>
      <c r="X572" s="70">
        <v>22</v>
      </c>
      <c r="Y572" s="70">
        <v>23</v>
      </c>
      <c r="Z572" s="70">
        <v>24</v>
      </c>
      <c r="AA572" s="70">
        <v>25</v>
      </c>
      <c r="AB572" s="70">
        <v>26</v>
      </c>
      <c r="AC572" s="70">
        <v>27</v>
      </c>
      <c r="AD572" s="70">
        <v>28</v>
      </c>
      <c r="AE572" s="70">
        <v>29</v>
      </c>
      <c r="AF572" s="70">
        <v>30</v>
      </c>
      <c r="AG572" s="70">
        <v>31</v>
      </c>
      <c r="AH572" s="70">
        <v>32</v>
      </c>
    </row>
    <row r="573" spans="1:51" ht="24.95" customHeight="1" x14ac:dyDescent="0.25">
      <c r="A573" s="114" t="s">
        <v>570</v>
      </c>
      <c r="B573" s="114"/>
      <c r="C573" s="70">
        <f>D569</f>
        <v>1</v>
      </c>
      <c r="D573" s="70">
        <f t="shared" ref="D573:AH573" si="1645">E569</f>
        <v>1</v>
      </c>
      <c r="E573" s="70">
        <f t="shared" si="1645"/>
        <v>1</v>
      </c>
      <c r="F573" s="70">
        <f t="shared" si="1645"/>
        <v>1</v>
      </c>
      <c r="G573" s="70">
        <f t="shared" si="1645"/>
        <v>0</v>
      </c>
      <c r="H573" s="70">
        <f t="shared" si="1645"/>
        <v>1</v>
      </c>
      <c r="I573" s="70">
        <f t="shared" si="1645"/>
        <v>1</v>
      </c>
      <c r="J573" s="70">
        <f t="shared" si="1645"/>
        <v>1</v>
      </c>
      <c r="K573" s="70">
        <f t="shared" si="1645"/>
        <v>0</v>
      </c>
      <c r="L573" s="70">
        <f t="shared" si="1645"/>
        <v>0</v>
      </c>
      <c r="M573" s="70">
        <f t="shared" si="1645"/>
        <v>1</v>
      </c>
      <c r="N573" s="70">
        <f t="shared" si="1645"/>
        <v>0</v>
      </c>
      <c r="O573" s="70">
        <f t="shared" si="1645"/>
        <v>0</v>
      </c>
      <c r="P573" s="70">
        <f t="shared" si="1645"/>
        <v>1</v>
      </c>
      <c r="Q573" s="70">
        <f t="shared" si="1645"/>
        <v>1</v>
      </c>
      <c r="R573" s="70">
        <f t="shared" si="1645"/>
        <v>0</v>
      </c>
      <c r="S573" s="70">
        <f t="shared" si="1645"/>
        <v>0</v>
      </c>
      <c r="T573" s="70">
        <f t="shared" si="1645"/>
        <v>0</v>
      </c>
      <c r="U573" s="70">
        <f t="shared" si="1645"/>
        <v>1</v>
      </c>
      <c r="V573" s="70">
        <f t="shared" si="1645"/>
        <v>0</v>
      </c>
      <c r="W573" s="70">
        <f t="shared" si="1645"/>
        <v>1</v>
      </c>
      <c r="X573" s="70">
        <f t="shared" si="1645"/>
        <v>0</v>
      </c>
      <c r="Y573" s="70">
        <f t="shared" si="1645"/>
        <v>0</v>
      </c>
      <c r="Z573" s="70">
        <f t="shared" si="1645"/>
        <v>0</v>
      </c>
      <c r="AA573" s="70">
        <f t="shared" si="1645"/>
        <v>1</v>
      </c>
      <c r="AB573" s="70">
        <f t="shared" si="1645"/>
        <v>1</v>
      </c>
      <c r="AC573" s="70">
        <f t="shared" si="1645"/>
        <v>0</v>
      </c>
      <c r="AD573" s="70">
        <f t="shared" si="1645"/>
        <v>0</v>
      </c>
      <c r="AE573" s="70">
        <f t="shared" si="1645"/>
        <v>0</v>
      </c>
      <c r="AF573" s="70">
        <f t="shared" si="1645"/>
        <v>1</v>
      </c>
      <c r="AG573" s="70">
        <f t="shared" si="1645"/>
        <v>0</v>
      </c>
      <c r="AH573" s="70">
        <f t="shared" si="1645"/>
        <v>1</v>
      </c>
      <c r="AI573" s="135"/>
    </row>
    <row r="575" spans="1:51" ht="24.95" customHeight="1" x14ac:dyDescent="0.25">
      <c r="A575" s="132"/>
      <c r="B575" s="133"/>
      <c r="C575" s="134"/>
      <c r="D575" s="132"/>
      <c r="E575" s="132"/>
      <c r="F575" s="132"/>
      <c r="G575" s="132"/>
      <c r="H575" s="132"/>
      <c r="I575" s="132"/>
      <c r="J575" s="132"/>
      <c r="K575" s="132"/>
      <c r="L575" s="132"/>
      <c r="M575" s="132"/>
      <c r="N575" s="132"/>
      <c r="O575" s="132"/>
      <c r="P575" s="132"/>
      <c r="Q575" s="132"/>
      <c r="R575" s="132"/>
      <c r="S575" s="132"/>
      <c r="T575" s="132"/>
      <c r="U575" s="132"/>
      <c r="V575" s="132"/>
      <c r="W575" s="132"/>
      <c r="X575" s="132"/>
      <c r="Y575" s="132"/>
      <c r="Z575" s="132"/>
      <c r="AA575" s="132"/>
      <c r="AB575" s="132"/>
      <c r="AC575" s="132"/>
      <c r="AD575" s="132"/>
      <c r="AE575" s="132"/>
      <c r="AF575" s="132"/>
      <c r="AG575" s="132"/>
      <c r="AH575" s="132"/>
      <c r="AI575" s="132"/>
      <c r="AJ575" s="132"/>
      <c r="AK575" s="132"/>
      <c r="AL575" s="132"/>
      <c r="AM575" s="132"/>
      <c r="AN575" s="132"/>
      <c r="AO575" s="132"/>
      <c r="AP575" s="132"/>
      <c r="AQ575" s="132"/>
      <c r="AR575" s="132"/>
      <c r="AS575" s="132"/>
      <c r="AT575" s="132"/>
      <c r="AU575" s="132"/>
      <c r="AV575" s="132"/>
      <c r="AW575" s="132"/>
      <c r="AX575" s="132"/>
      <c r="AY575" s="132"/>
    </row>
    <row r="577" spans="1:50" ht="24.95" customHeight="1" x14ac:dyDescent="0.25">
      <c r="A577" s="118" t="s">
        <v>532</v>
      </c>
      <c r="B577" s="118"/>
      <c r="C577" s="75">
        <v>32</v>
      </c>
      <c r="D577" s="74">
        <v>1</v>
      </c>
      <c r="E577" s="74">
        <v>2</v>
      </c>
      <c r="F577" s="74">
        <v>3</v>
      </c>
      <c r="G577" s="74">
        <v>4</v>
      </c>
      <c r="H577" s="73">
        <v>5</v>
      </c>
      <c r="I577" s="122"/>
      <c r="J577" s="118">
        <f>AH573</f>
        <v>1</v>
      </c>
      <c r="K577" s="118">
        <f>C573</f>
        <v>1</v>
      </c>
      <c r="L577" s="118">
        <f>D573</f>
        <v>1</v>
      </c>
      <c r="M577" s="118">
        <f>E573</f>
        <v>1</v>
      </c>
      <c r="N577" s="69">
        <f>F573</f>
        <v>1</v>
      </c>
      <c r="O577" s="119">
        <f>G573</f>
        <v>0</v>
      </c>
      <c r="P577" s="122"/>
    </row>
    <row r="578" spans="1:50" ht="24.95" customHeight="1" x14ac:dyDescent="0.25">
      <c r="C578" s="75">
        <v>4</v>
      </c>
      <c r="D578" s="74">
        <v>5</v>
      </c>
      <c r="E578" s="74">
        <v>6</v>
      </c>
      <c r="F578" s="74">
        <v>7</v>
      </c>
      <c r="G578" s="74">
        <v>8</v>
      </c>
      <c r="H578" s="73">
        <v>9</v>
      </c>
      <c r="I578" s="122"/>
      <c r="J578" s="118">
        <f t="shared" ref="J578" si="1646">F573</f>
        <v>1</v>
      </c>
      <c r="K578" s="69">
        <f t="shared" ref="K578" si="1647">G573</f>
        <v>0</v>
      </c>
      <c r="L578" s="69">
        <f t="shared" ref="L578" si="1648">H573</f>
        <v>1</v>
      </c>
      <c r="M578" s="69">
        <f t="shared" ref="M578" si="1649">I573</f>
        <v>1</v>
      </c>
      <c r="N578" s="69">
        <f t="shared" ref="N578" si="1650">J573</f>
        <v>1</v>
      </c>
      <c r="O578" s="119">
        <f t="shared" ref="O578" si="1651">K573</f>
        <v>0</v>
      </c>
      <c r="P578" s="122"/>
    </row>
    <row r="579" spans="1:50" ht="24.95" customHeight="1" x14ac:dyDescent="0.25">
      <c r="C579" s="75">
        <v>8</v>
      </c>
      <c r="D579" s="74">
        <v>9</v>
      </c>
      <c r="E579" s="74">
        <v>10</v>
      </c>
      <c r="F579" s="74">
        <v>11</v>
      </c>
      <c r="G579" s="74">
        <v>12</v>
      </c>
      <c r="H579" s="73">
        <v>13</v>
      </c>
      <c r="I579" s="123"/>
      <c r="J579" s="120">
        <f t="shared" ref="J579:O579" si="1652">J573</f>
        <v>1</v>
      </c>
      <c r="K579" s="69">
        <f t="shared" si="1652"/>
        <v>0</v>
      </c>
      <c r="L579" s="69">
        <f t="shared" si="1652"/>
        <v>0</v>
      </c>
      <c r="M579" s="69">
        <f t="shared" si="1652"/>
        <v>1</v>
      </c>
      <c r="N579" s="69">
        <f t="shared" si="1652"/>
        <v>0</v>
      </c>
      <c r="O579" s="119">
        <f t="shared" si="1652"/>
        <v>0</v>
      </c>
      <c r="P579" s="123"/>
    </row>
    <row r="580" spans="1:50" ht="24.95" customHeight="1" x14ac:dyDescent="0.25">
      <c r="C580" s="75">
        <v>12</v>
      </c>
      <c r="D580" s="74">
        <v>13</v>
      </c>
      <c r="E580" s="74">
        <v>14</v>
      </c>
      <c r="F580" s="74">
        <v>15</v>
      </c>
      <c r="G580" s="74">
        <v>16</v>
      </c>
      <c r="H580" s="73">
        <v>17</v>
      </c>
      <c r="I580" s="122"/>
      <c r="J580" s="118">
        <f t="shared" ref="J580" si="1653">N573</f>
        <v>0</v>
      </c>
      <c r="K580" s="69">
        <f t="shared" ref="K580" si="1654">O573</f>
        <v>0</v>
      </c>
      <c r="L580" s="69">
        <f t="shared" ref="L580" si="1655">P573</f>
        <v>1</v>
      </c>
      <c r="M580" s="69">
        <f t="shared" ref="M580" si="1656">Q573</f>
        <v>1</v>
      </c>
      <c r="N580" s="69">
        <f t="shared" ref="N580" si="1657">R573</f>
        <v>0</v>
      </c>
      <c r="O580" s="119">
        <f t="shared" ref="O580" si="1658">S573</f>
        <v>0</v>
      </c>
      <c r="P580" s="122"/>
    </row>
    <row r="581" spans="1:50" ht="24.95" customHeight="1" x14ac:dyDescent="0.25">
      <c r="C581" s="75">
        <v>16</v>
      </c>
      <c r="D581" s="74">
        <v>17</v>
      </c>
      <c r="E581" s="74">
        <v>18</v>
      </c>
      <c r="F581" s="74">
        <v>19</v>
      </c>
      <c r="G581" s="74">
        <v>20</v>
      </c>
      <c r="H581" s="73">
        <v>21</v>
      </c>
      <c r="I581" s="122"/>
      <c r="J581" s="118">
        <f t="shared" ref="J581" si="1659">R573</f>
        <v>0</v>
      </c>
      <c r="K581" s="69">
        <f t="shared" ref="K581" si="1660">S573</f>
        <v>0</v>
      </c>
      <c r="L581" s="69">
        <f t="shared" ref="L581" si="1661">T573</f>
        <v>0</v>
      </c>
      <c r="M581" s="69">
        <f t="shared" ref="M581" si="1662">U573</f>
        <v>1</v>
      </c>
      <c r="N581" s="69">
        <f t="shared" ref="N581" si="1663">V573</f>
        <v>0</v>
      </c>
      <c r="O581" s="119">
        <f t="shared" ref="O581" si="1664">W573</f>
        <v>1</v>
      </c>
      <c r="P581" s="122"/>
    </row>
    <row r="582" spans="1:50" ht="24.95" customHeight="1" x14ac:dyDescent="0.25">
      <c r="C582" s="75">
        <v>20</v>
      </c>
      <c r="D582" s="74">
        <v>21</v>
      </c>
      <c r="E582" s="74">
        <v>22</v>
      </c>
      <c r="F582" s="74">
        <v>23</v>
      </c>
      <c r="G582" s="74">
        <v>24</v>
      </c>
      <c r="H582" s="73">
        <v>25</v>
      </c>
      <c r="I582" s="122"/>
      <c r="J582" s="118">
        <f t="shared" ref="J582" si="1665">V573</f>
        <v>0</v>
      </c>
      <c r="K582" s="69">
        <f t="shared" ref="K582" si="1666">W573</f>
        <v>1</v>
      </c>
      <c r="L582" s="69">
        <f t="shared" ref="L582" si="1667">X573</f>
        <v>0</v>
      </c>
      <c r="M582" s="69">
        <f t="shared" ref="M582" si="1668">Y573</f>
        <v>0</v>
      </c>
      <c r="N582" s="69">
        <f t="shared" ref="N582" si="1669">Z573</f>
        <v>0</v>
      </c>
      <c r="O582" s="119">
        <f t="shared" ref="O582" si="1670">AA573</f>
        <v>1</v>
      </c>
      <c r="P582" s="122"/>
    </row>
    <row r="583" spans="1:50" ht="24.95" customHeight="1" x14ac:dyDescent="0.25">
      <c r="C583" s="75">
        <v>24</v>
      </c>
      <c r="D583" s="74">
        <v>25</v>
      </c>
      <c r="E583" s="74">
        <v>26</v>
      </c>
      <c r="F583" s="74">
        <v>27</v>
      </c>
      <c r="G583" s="74">
        <v>28</v>
      </c>
      <c r="H583" s="73">
        <v>29</v>
      </c>
      <c r="I583" s="122"/>
      <c r="J583" s="118">
        <f t="shared" ref="J583" si="1671">Z573</f>
        <v>0</v>
      </c>
      <c r="K583" s="69">
        <f t="shared" ref="K583" si="1672">AA573</f>
        <v>1</v>
      </c>
      <c r="L583" s="69">
        <f t="shared" ref="L583" si="1673">AB573</f>
        <v>1</v>
      </c>
      <c r="M583" s="69">
        <f t="shared" ref="M583" si="1674">AC573</f>
        <v>0</v>
      </c>
      <c r="N583" s="69">
        <f t="shared" ref="N583" si="1675">AD573</f>
        <v>0</v>
      </c>
      <c r="O583" s="119">
        <f t="shared" ref="O583" si="1676">AE573</f>
        <v>0</v>
      </c>
      <c r="P583" s="122"/>
    </row>
    <row r="584" spans="1:50" ht="24.95" customHeight="1" x14ac:dyDescent="0.25">
      <c r="C584" s="75">
        <v>28</v>
      </c>
      <c r="D584" s="74">
        <v>29</v>
      </c>
      <c r="E584" s="74">
        <v>30</v>
      </c>
      <c r="F584" s="74">
        <v>31</v>
      </c>
      <c r="G584" s="74">
        <v>32</v>
      </c>
      <c r="H584" s="73">
        <v>1</v>
      </c>
      <c r="I584" s="122"/>
      <c r="J584" s="70">
        <f>AD573</f>
        <v>0</v>
      </c>
      <c r="K584" s="71">
        <f>AE573</f>
        <v>0</v>
      </c>
      <c r="L584" s="71">
        <f>AF573</f>
        <v>1</v>
      </c>
      <c r="M584" s="71">
        <f>AG573</f>
        <v>0</v>
      </c>
      <c r="N584" s="71">
        <f>AH573</f>
        <v>1</v>
      </c>
      <c r="O584" s="121">
        <f>C573</f>
        <v>1</v>
      </c>
      <c r="P584" s="122"/>
    </row>
    <row r="587" spans="1:50" ht="24.95" customHeight="1" x14ac:dyDescent="0.25">
      <c r="A587" s="124" t="s">
        <v>533</v>
      </c>
      <c r="B587" s="124"/>
      <c r="C587" s="125">
        <v>1</v>
      </c>
      <c r="D587" s="126">
        <v>2</v>
      </c>
      <c r="E587" s="125">
        <v>3</v>
      </c>
      <c r="F587" s="126">
        <v>4</v>
      </c>
      <c r="G587" s="125">
        <v>5</v>
      </c>
      <c r="H587" s="126">
        <v>6</v>
      </c>
      <c r="I587" s="125">
        <v>7</v>
      </c>
      <c r="J587" s="126">
        <v>8</v>
      </c>
      <c r="K587" s="125">
        <v>9</v>
      </c>
      <c r="L587" s="126">
        <v>10</v>
      </c>
      <c r="M587" s="125">
        <v>11</v>
      </c>
      <c r="N587" s="126">
        <v>12</v>
      </c>
      <c r="O587" s="125">
        <v>13</v>
      </c>
      <c r="P587" s="126">
        <v>14</v>
      </c>
      <c r="Q587" s="125">
        <v>15</v>
      </c>
      <c r="R587" s="126">
        <v>16</v>
      </c>
      <c r="S587" s="125">
        <v>17</v>
      </c>
      <c r="T587" s="126">
        <v>18</v>
      </c>
      <c r="U587" s="125">
        <v>19</v>
      </c>
      <c r="V587" s="126">
        <v>20</v>
      </c>
      <c r="W587" s="125">
        <v>21</v>
      </c>
      <c r="X587" s="126">
        <v>22</v>
      </c>
      <c r="Y587" s="125">
        <v>23</v>
      </c>
      <c r="Z587" s="126">
        <v>24</v>
      </c>
      <c r="AA587" s="125">
        <v>25</v>
      </c>
      <c r="AB587" s="126">
        <v>26</v>
      </c>
      <c r="AC587" s="125">
        <v>27</v>
      </c>
      <c r="AD587" s="126">
        <v>28</v>
      </c>
      <c r="AE587" s="125">
        <v>29</v>
      </c>
      <c r="AF587" s="126">
        <v>30</v>
      </c>
      <c r="AG587" s="125">
        <v>31</v>
      </c>
      <c r="AH587" s="126">
        <v>32</v>
      </c>
      <c r="AI587" s="125">
        <v>33</v>
      </c>
      <c r="AJ587" s="126">
        <v>34</v>
      </c>
      <c r="AK587" s="125">
        <v>35</v>
      </c>
      <c r="AL587" s="126">
        <v>36</v>
      </c>
      <c r="AM587" s="125">
        <v>37</v>
      </c>
      <c r="AN587" s="126">
        <v>38</v>
      </c>
      <c r="AO587" s="125">
        <v>39</v>
      </c>
      <c r="AP587" s="126">
        <v>40</v>
      </c>
      <c r="AQ587" s="125">
        <v>41</v>
      </c>
      <c r="AR587" s="126">
        <v>42</v>
      </c>
      <c r="AS587" s="125">
        <v>43</v>
      </c>
      <c r="AT587" s="126">
        <v>44</v>
      </c>
      <c r="AU587" s="125">
        <v>45</v>
      </c>
      <c r="AV587" s="126">
        <v>46</v>
      </c>
      <c r="AW587" s="125">
        <v>47</v>
      </c>
      <c r="AX587" s="126">
        <v>48</v>
      </c>
    </row>
    <row r="588" spans="1:50" ht="24.95" customHeight="1" x14ac:dyDescent="0.25">
      <c r="C588" s="125">
        <f t="shared" ref="C588" si="1677">J577</f>
        <v>1</v>
      </c>
      <c r="D588" s="125">
        <f t="shared" ref="D588" si="1678">K577</f>
        <v>1</v>
      </c>
      <c r="E588" s="125">
        <f t="shared" ref="E588" si="1679">L577</f>
        <v>1</v>
      </c>
      <c r="F588" s="125">
        <f t="shared" ref="F588" si="1680">M577</f>
        <v>1</v>
      </c>
      <c r="G588" s="126">
        <f t="shared" ref="G588" si="1681">N577</f>
        <v>1</v>
      </c>
      <c r="H588" s="126">
        <f t="shared" ref="H588" si="1682">O577</f>
        <v>0</v>
      </c>
      <c r="I588" s="125">
        <f t="shared" ref="I588" si="1683">J578</f>
        <v>1</v>
      </c>
      <c r="J588" s="125">
        <f t="shared" ref="J588" si="1684">K578</f>
        <v>0</v>
      </c>
      <c r="K588" s="125">
        <f t="shared" ref="K588" si="1685">L578</f>
        <v>1</v>
      </c>
      <c r="L588" s="125">
        <f t="shared" ref="L588" si="1686">M578</f>
        <v>1</v>
      </c>
      <c r="M588" s="125">
        <f t="shared" ref="M588" si="1687">N578</f>
        <v>1</v>
      </c>
      <c r="N588" s="125">
        <f t="shared" ref="N588" si="1688">O578</f>
        <v>0</v>
      </c>
      <c r="O588" s="126">
        <f t="shared" ref="O588" si="1689">J579</f>
        <v>1</v>
      </c>
      <c r="P588" s="126">
        <f t="shared" ref="P588" si="1690">K579</f>
        <v>0</v>
      </c>
      <c r="Q588" s="126">
        <f t="shared" ref="Q588" si="1691">L579</f>
        <v>0</v>
      </c>
      <c r="R588" s="126">
        <f t="shared" ref="R588" si="1692">M579</f>
        <v>1</v>
      </c>
      <c r="S588" s="126">
        <f t="shared" ref="S588" si="1693">N579</f>
        <v>0</v>
      </c>
      <c r="T588" s="126">
        <f t="shared" ref="T588" si="1694">O579</f>
        <v>0</v>
      </c>
      <c r="U588" s="125">
        <f t="shared" ref="U588" si="1695">J580</f>
        <v>0</v>
      </c>
      <c r="V588" s="126">
        <f t="shared" ref="V588" si="1696">K580</f>
        <v>0</v>
      </c>
      <c r="W588" s="125">
        <f t="shared" ref="W588" si="1697">L580</f>
        <v>1</v>
      </c>
      <c r="X588" s="126">
        <f t="shared" ref="X588" si="1698">M580</f>
        <v>1</v>
      </c>
      <c r="Y588" s="125">
        <f t="shared" ref="Y588" si="1699">N580</f>
        <v>0</v>
      </c>
      <c r="Z588" s="126">
        <f t="shared" ref="Z588" si="1700">O580</f>
        <v>0</v>
      </c>
      <c r="AA588" s="125">
        <f t="shared" ref="AA588" si="1701">J581</f>
        <v>0</v>
      </c>
      <c r="AB588" s="126">
        <f t="shared" ref="AB588" si="1702">K581</f>
        <v>0</v>
      </c>
      <c r="AC588" s="125">
        <f t="shared" ref="AC588" si="1703">L581</f>
        <v>0</v>
      </c>
      <c r="AD588" s="126">
        <f t="shared" ref="AD588" si="1704">M581</f>
        <v>1</v>
      </c>
      <c r="AE588" s="125">
        <f t="shared" ref="AE588" si="1705">N581</f>
        <v>0</v>
      </c>
      <c r="AF588" s="126">
        <f t="shared" ref="AF588" si="1706">O581</f>
        <v>1</v>
      </c>
      <c r="AG588" s="125">
        <f t="shared" ref="AG588" si="1707">J582</f>
        <v>0</v>
      </c>
      <c r="AH588" s="126">
        <f t="shared" ref="AH588" si="1708">K582</f>
        <v>1</v>
      </c>
      <c r="AI588" s="125">
        <f t="shared" ref="AI588" si="1709">L582</f>
        <v>0</v>
      </c>
      <c r="AJ588" s="126">
        <f t="shared" ref="AJ588" si="1710">M582</f>
        <v>0</v>
      </c>
      <c r="AK588" s="125">
        <f t="shared" ref="AK588" si="1711">N582</f>
        <v>0</v>
      </c>
      <c r="AL588" s="126">
        <f t="shared" ref="AL588" si="1712">O582</f>
        <v>1</v>
      </c>
      <c r="AM588" s="125">
        <f t="shared" ref="AM588" si="1713">J583</f>
        <v>0</v>
      </c>
      <c r="AN588" s="126">
        <f t="shared" ref="AN588" si="1714">K583</f>
        <v>1</v>
      </c>
      <c r="AO588" s="125">
        <f t="shared" ref="AO588" si="1715">L583</f>
        <v>1</v>
      </c>
      <c r="AP588" s="126">
        <f t="shared" ref="AP588" si="1716">M583</f>
        <v>0</v>
      </c>
      <c r="AQ588" s="125">
        <f t="shared" ref="AQ588" si="1717">N583</f>
        <v>0</v>
      </c>
      <c r="AR588" s="126">
        <f t="shared" ref="AR588" si="1718">O583</f>
        <v>0</v>
      </c>
      <c r="AS588" s="125">
        <f t="shared" ref="AS588" si="1719">J584</f>
        <v>0</v>
      </c>
      <c r="AT588" s="126">
        <f t="shared" ref="AT588" si="1720">K584</f>
        <v>0</v>
      </c>
      <c r="AU588" s="125">
        <f t="shared" ref="AU588" si="1721">L584</f>
        <v>1</v>
      </c>
      <c r="AV588" s="126">
        <f t="shared" ref="AV588" si="1722">M584</f>
        <v>0</v>
      </c>
      <c r="AW588" s="125">
        <f t="shared" ref="AW588" si="1723">N584</f>
        <v>1</v>
      </c>
      <c r="AX588" s="126">
        <f t="shared" ref="AX588" si="1724">O584</f>
        <v>1</v>
      </c>
    </row>
    <row r="591" spans="1:50" ht="24.95" customHeight="1" x14ac:dyDescent="0.25">
      <c r="A591" s="127" t="s">
        <v>615</v>
      </c>
      <c r="B591" s="127"/>
      <c r="C591" s="77">
        <f>'Key Generator'!D444</f>
        <v>1</v>
      </c>
      <c r="D591" s="77">
        <f>'Key Generator'!E444</f>
        <v>2</v>
      </c>
      <c r="E591" s="77">
        <f>'Key Generator'!F444</f>
        <v>3</v>
      </c>
      <c r="F591" s="77">
        <f>'Key Generator'!G444</f>
        <v>4</v>
      </c>
      <c r="G591" s="77">
        <f>'Key Generator'!H444</f>
        <v>5</v>
      </c>
      <c r="H591" s="77">
        <f>'Key Generator'!I444</f>
        <v>6</v>
      </c>
      <c r="I591" s="77">
        <f>'Key Generator'!J444</f>
        <v>7</v>
      </c>
      <c r="J591" s="77">
        <f>'Key Generator'!K444</f>
        <v>8</v>
      </c>
      <c r="K591" s="77">
        <f>'Key Generator'!L444</f>
        <v>9</v>
      </c>
      <c r="L591" s="77">
        <f>'Key Generator'!M444</f>
        <v>10</v>
      </c>
      <c r="M591" s="77">
        <f>'Key Generator'!N444</f>
        <v>11</v>
      </c>
      <c r="N591" s="77">
        <f>'Key Generator'!O444</f>
        <v>12</v>
      </c>
      <c r="O591" s="77">
        <f>'Key Generator'!P444</f>
        <v>13</v>
      </c>
      <c r="P591" s="77">
        <f>'Key Generator'!Q444</f>
        <v>14</v>
      </c>
      <c r="Q591" s="77">
        <f>'Key Generator'!R444</f>
        <v>15</v>
      </c>
      <c r="R591" s="77">
        <f>'Key Generator'!S444</f>
        <v>16</v>
      </c>
      <c r="S591" s="77">
        <f>'Key Generator'!T444</f>
        <v>17</v>
      </c>
      <c r="T591" s="77">
        <f>'Key Generator'!U444</f>
        <v>18</v>
      </c>
      <c r="U591" s="77">
        <f>'Key Generator'!V444</f>
        <v>19</v>
      </c>
      <c r="V591" s="77">
        <f>'Key Generator'!W444</f>
        <v>20</v>
      </c>
      <c r="W591" s="77">
        <f>'Key Generator'!X444</f>
        <v>21</v>
      </c>
      <c r="X591" s="77">
        <f>'Key Generator'!Y444</f>
        <v>22</v>
      </c>
      <c r="Y591" s="77">
        <f>'Key Generator'!Z444</f>
        <v>23</v>
      </c>
      <c r="Z591" s="77">
        <f>'Key Generator'!AA444</f>
        <v>24</v>
      </c>
      <c r="AA591" s="77">
        <f>'Key Generator'!AB444</f>
        <v>25</v>
      </c>
      <c r="AB591" s="77">
        <f>'Key Generator'!AC444</f>
        <v>26</v>
      </c>
      <c r="AC591" s="77">
        <f>'Key Generator'!AD444</f>
        <v>27</v>
      </c>
      <c r="AD591" s="77">
        <f>'Key Generator'!AE444</f>
        <v>28</v>
      </c>
      <c r="AE591" s="77">
        <f>'Key Generator'!AF444</f>
        <v>29</v>
      </c>
      <c r="AF591" s="77">
        <f>'Key Generator'!AG444</f>
        <v>30</v>
      </c>
      <c r="AG591" s="77">
        <f>'Key Generator'!AH444</f>
        <v>31</v>
      </c>
      <c r="AH591" s="77">
        <f>'Key Generator'!AI444</f>
        <v>32</v>
      </c>
      <c r="AI591" s="77">
        <f>'Key Generator'!AJ444</f>
        <v>33</v>
      </c>
      <c r="AJ591" s="77">
        <f>'Key Generator'!AK444</f>
        <v>34</v>
      </c>
      <c r="AK591" s="77">
        <f>'Key Generator'!AL444</f>
        <v>35</v>
      </c>
      <c r="AL591" s="77">
        <f>'Key Generator'!AM444</f>
        <v>36</v>
      </c>
      <c r="AM591" s="77">
        <f>'Key Generator'!AN444</f>
        <v>37</v>
      </c>
      <c r="AN591" s="77">
        <f>'Key Generator'!AO444</f>
        <v>38</v>
      </c>
      <c r="AO591" s="77">
        <f>'Key Generator'!AP444</f>
        <v>39</v>
      </c>
      <c r="AP591" s="77">
        <f>'Key Generator'!AQ444</f>
        <v>40</v>
      </c>
      <c r="AQ591" s="77">
        <f>'Key Generator'!AR444</f>
        <v>41</v>
      </c>
      <c r="AR591" s="77">
        <f>'Key Generator'!AS444</f>
        <v>42</v>
      </c>
      <c r="AS591" s="77">
        <f>'Key Generator'!AT444</f>
        <v>43</v>
      </c>
      <c r="AT591" s="77">
        <f>'Key Generator'!AU444</f>
        <v>44</v>
      </c>
      <c r="AU591" s="77">
        <f>'Key Generator'!AV444</f>
        <v>45</v>
      </c>
      <c r="AV591" s="77">
        <f>'Key Generator'!AW444</f>
        <v>46</v>
      </c>
      <c r="AW591" s="77">
        <f>'Key Generator'!AX444</f>
        <v>47</v>
      </c>
      <c r="AX591" s="77">
        <f>'Key Generator'!AY444</f>
        <v>48</v>
      </c>
    </row>
    <row r="592" spans="1:50" ht="24.95" customHeight="1" x14ac:dyDescent="0.25">
      <c r="C592" s="77">
        <f>'Key Generator'!D445</f>
        <v>0</v>
      </c>
      <c r="D592" s="77">
        <f>'Key Generator'!E445</f>
        <v>1</v>
      </c>
      <c r="E592" s="77">
        <f>'Key Generator'!F445</f>
        <v>0</v>
      </c>
      <c r="F592" s="77">
        <f>'Key Generator'!G445</f>
        <v>1</v>
      </c>
      <c r="G592" s="77">
        <f>'Key Generator'!H445</f>
        <v>0</v>
      </c>
      <c r="H592" s="77">
        <f>'Key Generator'!I445</f>
        <v>0</v>
      </c>
      <c r="I592" s="77">
        <f>'Key Generator'!J445</f>
        <v>0</v>
      </c>
      <c r="J592" s="77">
        <f>'Key Generator'!K445</f>
        <v>0</v>
      </c>
      <c r="K592" s="77">
        <f>'Key Generator'!L445</f>
        <v>1</v>
      </c>
      <c r="L592" s="77">
        <f>'Key Generator'!M445</f>
        <v>0</v>
      </c>
      <c r="M592" s="77">
        <f>'Key Generator'!N445</f>
        <v>1</v>
      </c>
      <c r="N592" s="77">
        <f>'Key Generator'!O445</f>
        <v>0</v>
      </c>
      <c r="O592" s="77">
        <f>'Key Generator'!P445</f>
        <v>1</v>
      </c>
      <c r="P592" s="77">
        <f>'Key Generator'!Q445</f>
        <v>0</v>
      </c>
      <c r="Q592" s="77">
        <f>'Key Generator'!R445</f>
        <v>0</v>
      </c>
      <c r="R592" s="77">
        <f>'Key Generator'!S445</f>
        <v>0</v>
      </c>
      <c r="S592" s="77">
        <f>'Key Generator'!T445</f>
        <v>0</v>
      </c>
      <c r="T592" s="77">
        <f>'Key Generator'!U445</f>
        <v>0</v>
      </c>
      <c r="U592" s="77">
        <f>'Key Generator'!V445</f>
        <v>0</v>
      </c>
      <c r="V592" s="77">
        <f>'Key Generator'!W445</f>
        <v>1</v>
      </c>
      <c r="W592" s="77">
        <f>'Key Generator'!X445</f>
        <v>1</v>
      </c>
      <c r="X592" s="77">
        <f>'Key Generator'!Y445</f>
        <v>1</v>
      </c>
      <c r="Y592" s="77">
        <f>'Key Generator'!Z445</f>
        <v>0</v>
      </c>
      <c r="Z592" s="77">
        <f>'Key Generator'!AA445</f>
        <v>0</v>
      </c>
      <c r="AA592" s="77">
        <f>'Key Generator'!AB445</f>
        <v>1</v>
      </c>
      <c r="AB592" s="77">
        <f>'Key Generator'!AC445</f>
        <v>1</v>
      </c>
      <c r="AC592" s="77">
        <f>'Key Generator'!AD445</f>
        <v>1</v>
      </c>
      <c r="AD592" s="77">
        <f>'Key Generator'!AE445</f>
        <v>1</v>
      </c>
      <c r="AE592" s="77">
        <f>'Key Generator'!AF445</f>
        <v>1</v>
      </c>
      <c r="AF592" s="77">
        <f>'Key Generator'!AG445</f>
        <v>1</v>
      </c>
      <c r="AG592" s="77">
        <f>'Key Generator'!AH445</f>
        <v>1</v>
      </c>
      <c r="AH592" s="77">
        <f>'Key Generator'!AI445</f>
        <v>0</v>
      </c>
      <c r="AI592" s="77">
        <f>'Key Generator'!AJ445</f>
        <v>0</v>
      </c>
      <c r="AJ592" s="77">
        <f>'Key Generator'!AK445</f>
        <v>1</v>
      </c>
      <c r="AK592" s="77">
        <f>'Key Generator'!AL445</f>
        <v>1</v>
      </c>
      <c r="AL592" s="77">
        <f>'Key Generator'!AM445</f>
        <v>0</v>
      </c>
      <c r="AM592" s="77">
        <f>'Key Generator'!AN445</f>
        <v>1</v>
      </c>
      <c r="AN592" s="77">
        <f>'Key Generator'!AO445</f>
        <v>1</v>
      </c>
      <c r="AO592" s="77">
        <f>'Key Generator'!AP445</f>
        <v>1</v>
      </c>
      <c r="AP592" s="77">
        <f>'Key Generator'!AQ445</f>
        <v>0</v>
      </c>
      <c r="AQ592" s="77">
        <f>'Key Generator'!AR445</f>
        <v>0</v>
      </c>
      <c r="AR592" s="77">
        <f>'Key Generator'!AS445</f>
        <v>0</v>
      </c>
      <c r="AS592" s="77">
        <f>'Key Generator'!AT445</f>
        <v>0</v>
      </c>
      <c r="AT592" s="77">
        <f>'Key Generator'!AU445</f>
        <v>1</v>
      </c>
      <c r="AU592" s="77">
        <f>'Key Generator'!AV445</f>
        <v>0</v>
      </c>
      <c r="AV592" s="77">
        <f>'Key Generator'!AW445</f>
        <v>0</v>
      </c>
      <c r="AW592" s="77">
        <f>'Key Generator'!AX445</f>
        <v>0</v>
      </c>
      <c r="AX592" s="77">
        <f>'Key Generator'!AY445</f>
        <v>1</v>
      </c>
    </row>
    <row r="595" spans="1:55" ht="24.95" customHeight="1" x14ac:dyDescent="0.25">
      <c r="A595" s="128" t="s">
        <v>535</v>
      </c>
      <c r="B595" s="129"/>
      <c r="C595" s="79">
        <v>1</v>
      </c>
      <c r="D595" s="80">
        <v>2</v>
      </c>
      <c r="E595" s="79">
        <v>3</v>
      </c>
      <c r="F595" s="80">
        <v>4</v>
      </c>
      <c r="G595" s="79">
        <v>5</v>
      </c>
      <c r="H595" s="80">
        <v>6</v>
      </c>
      <c r="I595" s="79">
        <v>7</v>
      </c>
      <c r="J595" s="80">
        <v>8</v>
      </c>
      <c r="K595" s="79">
        <v>9</v>
      </c>
      <c r="L595" s="80">
        <v>10</v>
      </c>
      <c r="M595" s="79">
        <v>11</v>
      </c>
      <c r="N595" s="80">
        <v>12</v>
      </c>
      <c r="O595" s="79">
        <v>13</v>
      </c>
      <c r="P595" s="80">
        <v>14</v>
      </c>
      <c r="Q595" s="79">
        <v>15</v>
      </c>
      <c r="R595" s="80">
        <v>16</v>
      </c>
      <c r="S595" s="79">
        <v>17</v>
      </c>
      <c r="T595" s="80">
        <v>18</v>
      </c>
      <c r="U595" s="79">
        <v>19</v>
      </c>
      <c r="V595" s="80">
        <v>20</v>
      </c>
      <c r="W595" s="79">
        <v>21</v>
      </c>
      <c r="X595" s="80">
        <v>22</v>
      </c>
      <c r="Y595" s="79">
        <v>23</v>
      </c>
      <c r="Z595" s="80">
        <v>24</v>
      </c>
      <c r="AA595" s="79">
        <v>25</v>
      </c>
      <c r="AB595" s="80">
        <v>26</v>
      </c>
      <c r="AC595" s="79">
        <v>27</v>
      </c>
      <c r="AD595" s="80">
        <v>28</v>
      </c>
      <c r="AE595" s="79">
        <v>29</v>
      </c>
      <c r="AF595" s="80">
        <v>30</v>
      </c>
      <c r="AG595" s="79">
        <v>31</v>
      </c>
      <c r="AH595" s="80">
        <v>32</v>
      </c>
      <c r="AI595" s="79">
        <v>33</v>
      </c>
      <c r="AJ595" s="80">
        <v>34</v>
      </c>
      <c r="AK595" s="79">
        <v>35</v>
      </c>
      <c r="AL595" s="80">
        <v>36</v>
      </c>
      <c r="AM595" s="79">
        <v>37</v>
      </c>
      <c r="AN595" s="80">
        <v>38</v>
      </c>
      <c r="AO595" s="79">
        <v>39</v>
      </c>
      <c r="AP595" s="80">
        <v>40</v>
      </c>
      <c r="AQ595" s="79">
        <v>41</v>
      </c>
      <c r="AR595" s="80">
        <v>42</v>
      </c>
      <c r="AS595" s="79">
        <v>43</v>
      </c>
      <c r="AT595" s="80">
        <v>44</v>
      </c>
      <c r="AU595" s="79">
        <v>45</v>
      </c>
      <c r="AV595" s="80">
        <v>46</v>
      </c>
      <c r="AW595" s="79">
        <v>47</v>
      </c>
      <c r="AX595" s="80">
        <v>48</v>
      </c>
    </row>
    <row r="596" spans="1:55" ht="24.95" customHeight="1" x14ac:dyDescent="0.25">
      <c r="C596" s="88">
        <f>--_xlfn.XOR(C588,'Key Generator'!D445)</f>
        <v>1</v>
      </c>
      <c r="D596" s="88">
        <f>--_xlfn.XOR(D588,'Key Generator'!E445)</f>
        <v>0</v>
      </c>
      <c r="E596" s="88">
        <f>--_xlfn.XOR(E588,'Key Generator'!F445)</f>
        <v>1</v>
      </c>
      <c r="F596" s="88">
        <f>--_xlfn.XOR(F588,'Key Generator'!G445)</f>
        <v>0</v>
      </c>
      <c r="G596" s="88">
        <f>--_xlfn.XOR(G588,'Key Generator'!H445)</f>
        <v>1</v>
      </c>
      <c r="H596" s="88">
        <f>--_xlfn.XOR(H588,'Key Generator'!I445)</f>
        <v>0</v>
      </c>
      <c r="I596" s="87">
        <f>--_xlfn.XOR(I588,'Key Generator'!J445)</f>
        <v>1</v>
      </c>
      <c r="J596" s="87">
        <f>--_xlfn.XOR(J588,'Key Generator'!K445)</f>
        <v>0</v>
      </c>
      <c r="K596" s="87">
        <f>--_xlfn.XOR(K588,'Key Generator'!L445)</f>
        <v>0</v>
      </c>
      <c r="L596" s="87">
        <f>--_xlfn.XOR(L588,'Key Generator'!M445)</f>
        <v>1</v>
      </c>
      <c r="M596" s="87">
        <f>--_xlfn.XOR(M588,'Key Generator'!N445)</f>
        <v>0</v>
      </c>
      <c r="N596" s="87">
        <f>--_xlfn.XOR(N588,'Key Generator'!O445)</f>
        <v>0</v>
      </c>
      <c r="O596" s="89">
        <f>--_xlfn.XOR(O588,'Key Generator'!P445)</f>
        <v>0</v>
      </c>
      <c r="P596" s="89">
        <f>--_xlfn.XOR(P588,'Key Generator'!Q445)</f>
        <v>0</v>
      </c>
      <c r="Q596" s="89">
        <f>--_xlfn.XOR(Q588,'Key Generator'!R445)</f>
        <v>0</v>
      </c>
      <c r="R596" s="89">
        <f>--_xlfn.XOR(R588,'Key Generator'!S445)</f>
        <v>1</v>
      </c>
      <c r="S596" s="89">
        <f>--_xlfn.XOR(S588,'Key Generator'!T445)</f>
        <v>0</v>
      </c>
      <c r="T596" s="89">
        <f>--_xlfn.XOR(T588,'Key Generator'!U445)</f>
        <v>0</v>
      </c>
      <c r="U596" s="90">
        <f>--_xlfn.XOR(U588,'Key Generator'!V445)</f>
        <v>0</v>
      </c>
      <c r="V596" s="90">
        <f>--_xlfn.XOR(V588,'Key Generator'!W445)</f>
        <v>1</v>
      </c>
      <c r="W596" s="90">
        <f>--_xlfn.XOR(W588,'Key Generator'!X445)</f>
        <v>0</v>
      </c>
      <c r="X596" s="90">
        <f>--_xlfn.XOR(X588,'Key Generator'!Y445)</f>
        <v>0</v>
      </c>
      <c r="Y596" s="90">
        <f>--_xlfn.XOR(Y588,'Key Generator'!Z445)</f>
        <v>0</v>
      </c>
      <c r="Z596" s="90">
        <f>--_xlfn.XOR(Z588,'Key Generator'!AA445)</f>
        <v>0</v>
      </c>
      <c r="AA596" s="91">
        <f>--_xlfn.XOR(AA588,'Key Generator'!AB445)</f>
        <v>1</v>
      </c>
      <c r="AB596" s="91">
        <f>--_xlfn.XOR(AB588,'Key Generator'!AC445)</f>
        <v>1</v>
      </c>
      <c r="AC596" s="91">
        <f>--_xlfn.XOR(AC588,'Key Generator'!AD445)</f>
        <v>1</v>
      </c>
      <c r="AD596" s="91">
        <f>--_xlfn.XOR(AD588,'Key Generator'!AE445)</f>
        <v>0</v>
      </c>
      <c r="AE596" s="91">
        <f>--_xlfn.XOR(AE588,'Key Generator'!AF445)</f>
        <v>1</v>
      </c>
      <c r="AF596" s="91">
        <f>--_xlfn.XOR(AF588,'Key Generator'!AG445)</f>
        <v>0</v>
      </c>
      <c r="AG596" s="92">
        <f>--_xlfn.XOR(AG588,'Key Generator'!AH445)</f>
        <v>1</v>
      </c>
      <c r="AH596" s="92">
        <f>--_xlfn.XOR(AH588,'Key Generator'!AI445)</f>
        <v>1</v>
      </c>
      <c r="AI596" s="92">
        <f>--_xlfn.XOR(AI588,'Key Generator'!AJ445)</f>
        <v>0</v>
      </c>
      <c r="AJ596" s="92">
        <f>--_xlfn.XOR(AJ588,'Key Generator'!AK445)</f>
        <v>1</v>
      </c>
      <c r="AK596" s="92">
        <f>--_xlfn.XOR(AK588,'Key Generator'!AL445)</f>
        <v>1</v>
      </c>
      <c r="AL596" s="92">
        <f>--_xlfn.XOR(AL588,'Key Generator'!AM445)</f>
        <v>1</v>
      </c>
      <c r="AM596" s="86">
        <f>--_xlfn.XOR(AM588,'Key Generator'!AN445)</f>
        <v>1</v>
      </c>
      <c r="AN596" s="86">
        <f>--_xlfn.XOR(AN588,'Key Generator'!AO445)</f>
        <v>0</v>
      </c>
      <c r="AO596" s="86">
        <f>--_xlfn.XOR(AO588,'Key Generator'!AP445)</f>
        <v>0</v>
      </c>
      <c r="AP596" s="86">
        <f>--_xlfn.XOR(AP588,'Key Generator'!AQ445)</f>
        <v>0</v>
      </c>
      <c r="AQ596" s="86">
        <f>--_xlfn.XOR(AQ588,'Key Generator'!AR445)</f>
        <v>0</v>
      </c>
      <c r="AR596" s="86">
        <f>--_xlfn.XOR(AR588,'Key Generator'!AS445)</f>
        <v>0</v>
      </c>
      <c r="AS596" s="81">
        <f>--_xlfn.XOR(AS588,'Key Generator'!AT445)</f>
        <v>0</v>
      </c>
      <c r="AT596" s="81">
        <f>--_xlfn.XOR(AT588,'Key Generator'!AU445)</f>
        <v>1</v>
      </c>
      <c r="AU596" s="81">
        <f>--_xlfn.XOR(AU588,'Key Generator'!AV445)</f>
        <v>1</v>
      </c>
      <c r="AV596" s="81">
        <f>--_xlfn.XOR(AV588,'Key Generator'!AW445)</f>
        <v>0</v>
      </c>
      <c r="AW596" s="81">
        <f>--_xlfn.XOR(AW588,'Key Generator'!AX445)</f>
        <v>1</v>
      </c>
      <c r="AX596" s="81">
        <f>--_xlfn.XOR(AX588,'Key Generator'!AY445)</f>
        <v>0</v>
      </c>
      <c r="AZ596" s="20"/>
      <c r="BA596" s="20"/>
      <c r="BB596" s="20"/>
      <c r="BC596" s="20"/>
    </row>
    <row r="597" spans="1:55" ht="24.95" customHeight="1" x14ac:dyDescent="0.25">
      <c r="C597" s="93"/>
      <c r="D597" s="94"/>
      <c r="E597" s="94"/>
      <c r="F597" s="94"/>
      <c r="G597" s="94"/>
      <c r="H597" s="94"/>
      <c r="AZ597" s="20"/>
      <c r="BA597" s="20"/>
      <c r="BB597" s="20"/>
      <c r="BC597" s="20"/>
    </row>
    <row r="598" spans="1:55" ht="24.95" customHeight="1" x14ac:dyDescent="0.25">
      <c r="A598" s="96" t="s">
        <v>545</v>
      </c>
      <c r="B598" s="97"/>
      <c r="C598" s="101">
        <f>D596*8+E596*4+F596*2+G596</f>
        <v>5</v>
      </c>
      <c r="D598" s="123" t="s">
        <v>536</v>
      </c>
      <c r="E598" s="97"/>
      <c r="F598" s="97"/>
      <c r="G598" s="97"/>
      <c r="H598" s="97"/>
      <c r="I598" s="101">
        <f>J596*8+K596*4+L596*2+M596</f>
        <v>2</v>
      </c>
      <c r="J598" s="122" t="s">
        <v>537</v>
      </c>
      <c r="K598" s="97"/>
      <c r="L598" s="97"/>
      <c r="M598" s="97"/>
      <c r="N598" s="97"/>
      <c r="O598" s="101">
        <f>P596*8+Q596*4+R596*2+S596</f>
        <v>2</v>
      </c>
      <c r="P598" s="122" t="s">
        <v>538</v>
      </c>
      <c r="Q598" s="97"/>
      <c r="R598" s="97"/>
      <c r="S598" s="97"/>
      <c r="T598" s="97"/>
      <c r="U598" s="101">
        <f>V596*8+W596*4+X596*2+Y596</f>
        <v>8</v>
      </c>
      <c r="V598" s="122" t="s">
        <v>539</v>
      </c>
      <c r="W598" s="97"/>
      <c r="X598" s="97"/>
      <c r="Y598" s="97"/>
      <c r="Z598" s="97"/>
      <c r="AA598" s="101">
        <f>AB596*8+AC596*4+AD596*2+AE596</f>
        <v>13</v>
      </c>
      <c r="AB598" s="122" t="s">
        <v>540</v>
      </c>
      <c r="AC598" s="97"/>
      <c r="AD598" s="97"/>
      <c r="AE598" s="97"/>
      <c r="AF598" s="97"/>
      <c r="AG598" s="101">
        <f>AH596*8+AI596*4+AJ596*2+AK596</f>
        <v>11</v>
      </c>
      <c r="AH598" s="122" t="s">
        <v>541</v>
      </c>
      <c r="AI598" s="97"/>
      <c r="AJ598" s="97"/>
      <c r="AK598" s="97"/>
      <c r="AL598" s="97"/>
      <c r="AM598" s="101">
        <f>AN596*8+AO596*4+AP596*2+AQ596</f>
        <v>0</v>
      </c>
      <c r="AN598" s="122" t="s">
        <v>542</v>
      </c>
      <c r="AO598" s="97"/>
      <c r="AP598" s="97"/>
      <c r="AQ598" s="97"/>
      <c r="AR598" s="97"/>
      <c r="AS598" s="101">
        <f>AT596*8+AU596*4+AV596*2+AW596</f>
        <v>13</v>
      </c>
      <c r="AT598" s="122" t="s">
        <v>543</v>
      </c>
      <c r="AU598" s="97"/>
      <c r="AV598" s="97"/>
      <c r="AW598" s="97"/>
      <c r="AX598" s="97"/>
      <c r="AY598" s="97"/>
      <c r="AZ598" s="20"/>
      <c r="BA598" s="20"/>
      <c r="BB598" s="20"/>
      <c r="BC598" s="20"/>
    </row>
    <row r="599" spans="1:55" ht="24.95" customHeight="1" x14ac:dyDescent="0.25">
      <c r="A599" s="100" t="s">
        <v>546</v>
      </c>
      <c r="B599" s="99"/>
      <c r="C599" s="87">
        <f>C596*2+H596</f>
        <v>2</v>
      </c>
      <c r="D599" s="98"/>
      <c r="E599" s="98"/>
      <c r="F599" s="99"/>
      <c r="G599" s="99"/>
      <c r="H599" s="99"/>
      <c r="I599" s="87">
        <f>I596*2+N596</f>
        <v>2</v>
      </c>
      <c r="J599" s="99"/>
      <c r="K599" s="99"/>
      <c r="L599" s="99"/>
      <c r="M599" s="99"/>
      <c r="N599" s="99"/>
      <c r="O599" s="87">
        <f>O596*2+T596</f>
        <v>0</v>
      </c>
      <c r="P599" s="99"/>
      <c r="Q599" s="99"/>
      <c r="R599" s="99"/>
      <c r="S599" s="99"/>
      <c r="T599" s="99"/>
      <c r="U599" s="87">
        <f>U596*2+Z596</f>
        <v>0</v>
      </c>
      <c r="V599" s="99"/>
      <c r="W599" s="99"/>
      <c r="X599" s="99"/>
      <c r="Y599" s="99"/>
      <c r="Z599" s="99"/>
      <c r="AA599" s="87">
        <f>AA596*2+AF596</f>
        <v>2</v>
      </c>
      <c r="AB599" s="99"/>
      <c r="AC599" s="99"/>
      <c r="AD599" s="99"/>
      <c r="AE599" s="99"/>
      <c r="AF599" s="99"/>
      <c r="AG599" s="87">
        <f>AG596*2+AL596</f>
        <v>3</v>
      </c>
      <c r="AH599" s="99"/>
      <c r="AI599" s="99"/>
      <c r="AJ599" s="99"/>
      <c r="AK599" s="99"/>
      <c r="AL599" s="99"/>
      <c r="AM599" s="87">
        <f>AM596*2+AR596</f>
        <v>2</v>
      </c>
      <c r="AN599" s="99"/>
      <c r="AO599" s="99"/>
      <c r="AP599" s="99"/>
      <c r="AQ599" s="99"/>
      <c r="AR599" s="99"/>
      <c r="AS599" s="87">
        <f>AS596*2+AX596</f>
        <v>0</v>
      </c>
      <c r="AT599" s="99"/>
      <c r="AU599" s="99"/>
      <c r="AV599" s="99"/>
      <c r="AW599" s="99"/>
      <c r="AX599" s="99"/>
      <c r="AY599" s="99"/>
      <c r="AZ599" s="20"/>
      <c r="BA599" s="20"/>
      <c r="BB599" s="20"/>
      <c r="BC599" s="20"/>
    </row>
    <row r="600" spans="1:55" ht="24.95" customHeight="1" x14ac:dyDescent="0.25">
      <c r="AZ600" s="20"/>
      <c r="BA600" s="20"/>
      <c r="BB600" s="20"/>
      <c r="BC600" s="20"/>
    </row>
    <row r="601" spans="1:55" ht="24.95" customHeight="1" x14ac:dyDescent="0.25">
      <c r="A601" s="117" t="s">
        <v>547</v>
      </c>
      <c r="C601" s="72">
        <f>INDEX('S-Box'!D3:S6,'DES-Enc'!C599+1,'DES-Enc'!C598+1)</f>
        <v>6</v>
      </c>
      <c r="I601" s="102">
        <f>INDEX('S-Box'!D9:S12,'DES-Enc'!I599+1,'DES-Enc'!I598+1)</f>
        <v>7</v>
      </c>
      <c r="O601" s="102">
        <f>INDEX('S-Box'!D15:S18,'DES-Enc'!O599+1,'DES-Enc'!O598+1)</f>
        <v>9</v>
      </c>
      <c r="U601" s="102">
        <f>INDEX('S-Box'!D21:S24,'DES-Enc'!U599+1,'DES-Enc'!U598+1)</f>
        <v>1</v>
      </c>
      <c r="AA601" s="102">
        <f>INDEX('S-Box'!D27:S30,'DES-Enc'!AA599+1,'DES-Enc'!AA598+1)</f>
        <v>3</v>
      </c>
      <c r="AG601" s="102">
        <f>INDEX('S-Box'!D33:S36,'DES-Enc'!AG599+1,'DES-Enc'!AG598+1)</f>
        <v>7</v>
      </c>
      <c r="AM601" s="102">
        <f>INDEX('S-Box'!D39:S42,'DES-Enc'!AM599+1,'DES-Enc'!AM598+1)</f>
        <v>1</v>
      </c>
      <c r="AS601" s="102">
        <f>INDEX('S-Box'!D45:S48,'DES-Enc'!AS599+1,'DES-Enc'!AS598+1)</f>
        <v>0</v>
      </c>
      <c r="AZ601" s="20"/>
      <c r="BA601" s="20"/>
      <c r="BB601" s="20"/>
      <c r="BC601" s="20"/>
    </row>
    <row r="602" spans="1:55" ht="24.95" customHeight="1" x14ac:dyDescent="0.25">
      <c r="C602" s="104"/>
      <c r="I602" s="95"/>
      <c r="O602" s="95"/>
      <c r="U602" s="95"/>
      <c r="AA602" s="95"/>
      <c r="AG602" s="95"/>
      <c r="AM602" s="95"/>
      <c r="AS602" s="95"/>
    </row>
    <row r="603" spans="1:55" ht="24.95" customHeight="1" x14ac:dyDescent="0.25">
      <c r="C603" s="105" t="str">
        <f>MID(DEC2BIN(C601,4),1,1)</f>
        <v>0</v>
      </c>
      <c r="D603" s="106" t="str">
        <f>MID(DEC2BIN(C601,4),2,1)</f>
        <v>1</v>
      </c>
      <c r="E603" s="106" t="str">
        <f>MID(DEC2BIN(C601,4),3,1)</f>
        <v>1</v>
      </c>
      <c r="F603" s="107" t="str">
        <f>MID(DEC2BIN(C601,4),4,1)</f>
        <v>0</v>
      </c>
      <c r="I603" s="105" t="str">
        <f>MID(DEC2BIN(I601,4),1,1)</f>
        <v>0</v>
      </c>
      <c r="J603" s="106" t="str">
        <f>MID(DEC2BIN(I601,4),2,1)</f>
        <v>1</v>
      </c>
      <c r="K603" s="106" t="str">
        <f>MID(DEC2BIN(I601,4),3,1)</f>
        <v>1</v>
      </c>
      <c r="L603" s="107" t="str">
        <f>MID(DEC2BIN(I601,4),4,1)</f>
        <v>1</v>
      </c>
      <c r="O603" s="105" t="str">
        <f>MID(DEC2BIN(O601,4),1,1)</f>
        <v>1</v>
      </c>
      <c r="P603" s="106" t="str">
        <f>MID(DEC2BIN(O601,4),2,1)</f>
        <v>0</v>
      </c>
      <c r="Q603" s="106" t="str">
        <f>MID(DEC2BIN(O601,4),3,1)</f>
        <v>0</v>
      </c>
      <c r="R603" s="107" t="str">
        <f>MID(DEC2BIN(O601,4),4,1)</f>
        <v>1</v>
      </c>
      <c r="U603" s="105" t="str">
        <f>MID(DEC2BIN(U601,4),1,1)</f>
        <v>0</v>
      </c>
      <c r="V603" s="106" t="str">
        <f>MID(DEC2BIN(U601,4),2,1)</f>
        <v>0</v>
      </c>
      <c r="W603" s="106" t="str">
        <f>MID(DEC2BIN(U601,4),3,1)</f>
        <v>0</v>
      </c>
      <c r="X603" s="107" t="str">
        <f>MID(DEC2BIN(U601,4),4,1)</f>
        <v>1</v>
      </c>
      <c r="AA603" s="105" t="str">
        <f>MID(DEC2BIN(AA601,4),1,1)</f>
        <v>0</v>
      </c>
      <c r="AB603" s="106" t="str">
        <f>MID(DEC2BIN(AA601,4),2,1)</f>
        <v>0</v>
      </c>
      <c r="AC603" s="106" t="str">
        <f>MID(DEC2BIN(AA601,4),3,1)</f>
        <v>1</v>
      </c>
      <c r="AD603" s="107" t="str">
        <f>MID(DEC2BIN(AA601,4),4,1)</f>
        <v>1</v>
      </c>
      <c r="AG603" s="105" t="str">
        <f>MID(DEC2BIN(AG601,4),1,1)</f>
        <v>0</v>
      </c>
      <c r="AH603" s="106" t="str">
        <f>MID(DEC2BIN(AG601,4),2,1)</f>
        <v>1</v>
      </c>
      <c r="AI603" s="106" t="str">
        <f>MID(DEC2BIN(AG601,4),3,1)</f>
        <v>1</v>
      </c>
      <c r="AJ603" s="107" t="str">
        <f>MID(DEC2BIN(AG601,4),4,1)</f>
        <v>1</v>
      </c>
      <c r="AM603" s="105" t="str">
        <f>MID(DEC2BIN(AM601,4),1,1)</f>
        <v>0</v>
      </c>
      <c r="AN603" s="106" t="str">
        <f>MID(DEC2BIN(AM601,4),2,1)</f>
        <v>0</v>
      </c>
      <c r="AO603" s="106" t="str">
        <f>MID(DEC2BIN(AM601,4),3,1)</f>
        <v>0</v>
      </c>
      <c r="AP603" s="107" t="str">
        <f>MID(DEC2BIN(AM601,4),4,1)</f>
        <v>1</v>
      </c>
      <c r="AS603" s="105" t="str">
        <f>MID(DEC2BIN(AS601,4),1,1)</f>
        <v>0</v>
      </c>
      <c r="AT603" s="106" t="str">
        <f>MID(DEC2BIN(AS601,4),2,1)</f>
        <v>0</v>
      </c>
      <c r="AU603" s="106" t="str">
        <f>MID(DEC2BIN(AS601,4),3,1)</f>
        <v>0</v>
      </c>
      <c r="AV603" s="107" t="str">
        <f>MID(DEC2BIN(AS601,4),4,1)</f>
        <v>0</v>
      </c>
    </row>
    <row r="604" spans="1:55" ht="24.95" customHeight="1" x14ac:dyDescent="0.25">
      <c r="C604" s="21">
        <f>VALUE(C603)</f>
        <v>0</v>
      </c>
      <c r="D604" s="21">
        <f t="shared" ref="D604" si="1725">VALUE(D603)</f>
        <v>1</v>
      </c>
      <c r="E604" s="21">
        <f t="shared" ref="E604" si="1726">VALUE(E603)</f>
        <v>1</v>
      </c>
      <c r="F604" s="21">
        <f t="shared" ref="F604" si="1727">VALUE(F603)</f>
        <v>0</v>
      </c>
      <c r="I604" s="21">
        <f t="shared" ref="I604" si="1728">VALUE(I603)</f>
        <v>0</v>
      </c>
      <c r="J604" s="21">
        <f t="shared" ref="J604" si="1729">VALUE(J603)</f>
        <v>1</v>
      </c>
      <c r="K604" s="21">
        <f t="shared" ref="K604" si="1730">VALUE(K603)</f>
        <v>1</v>
      </c>
      <c r="L604" s="21">
        <f t="shared" ref="L604" si="1731">VALUE(L603)</f>
        <v>1</v>
      </c>
      <c r="O604" s="21">
        <f>VALUE(O603)</f>
        <v>1</v>
      </c>
      <c r="P604" s="21">
        <f t="shared" ref="P604" si="1732">VALUE(P603)</f>
        <v>0</v>
      </c>
      <c r="Q604" s="21">
        <f t="shared" ref="Q604" si="1733">VALUE(Q603)</f>
        <v>0</v>
      </c>
      <c r="R604" s="21">
        <f t="shared" ref="R604" si="1734">VALUE(R603)</f>
        <v>1</v>
      </c>
      <c r="U604" s="21">
        <f>VALUE(U603)</f>
        <v>0</v>
      </c>
      <c r="V604" s="21">
        <f t="shared" ref="V604" si="1735">VALUE(V603)</f>
        <v>0</v>
      </c>
      <c r="W604" s="21">
        <f t="shared" ref="W604" si="1736">VALUE(W603)</f>
        <v>0</v>
      </c>
      <c r="X604" s="21">
        <f t="shared" ref="X604" si="1737">VALUE(X603)</f>
        <v>1</v>
      </c>
      <c r="AA604" s="21">
        <f>VALUE(AA603)</f>
        <v>0</v>
      </c>
      <c r="AB604" s="21">
        <f t="shared" ref="AB604" si="1738">VALUE(AB603)</f>
        <v>0</v>
      </c>
      <c r="AC604" s="21">
        <f t="shared" ref="AC604" si="1739">VALUE(AC603)</f>
        <v>1</v>
      </c>
      <c r="AD604" s="21">
        <f t="shared" ref="AD604" si="1740">VALUE(AD603)</f>
        <v>1</v>
      </c>
      <c r="AG604" s="21">
        <f>VALUE(AG603)</f>
        <v>0</v>
      </c>
      <c r="AH604" s="21">
        <f t="shared" ref="AH604" si="1741">VALUE(AH603)</f>
        <v>1</v>
      </c>
      <c r="AI604" s="21">
        <f t="shared" ref="AI604" si="1742">VALUE(AI603)</f>
        <v>1</v>
      </c>
      <c r="AJ604" s="21">
        <f t="shared" ref="AJ604" si="1743">VALUE(AJ603)</f>
        <v>1</v>
      </c>
      <c r="AM604" s="21">
        <f>VALUE(AM603)</f>
        <v>0</v>
      </c>
      <c r="AN604" s="21">
        <f t="shared" ref="AN604" si="1744">VALUE(AN603)</f>
        <v>0</v>
      </c>
      <c r="AO604" s="21">
        <f t="shared" ref="AO604" si="1745">VALUE(AO603)</f>
        <v>0</v>
      </c>
      <c r="AP604" s="21">
        <f t="shared" ref="AP604" si="1746">VALUE(AP603)</f>
        <v>1</v>
      </c>
      <c r="AS604" s="21">
        <f>VALUE(AS603)</f>
        <v>0</v>
      </c>
      <c r="AT604" s="21">
        <f t="shared" ref="AT604" si="1747">VALUE(AT603)</f>
        <v>0</v>
      </c>
      <c r="AU604" s="21">
        <f t="shared" ref="AU604" si="1748">VALUE(AU603)</f>
        <v>0</v>
      </c>
      <c r="AV604" s="21">
        <f t="shared" ref="AV604" si="1749">VALUE(AV603)</f>
        <v>0</v>
      </c>
    </row>
    <row r="605" spans="1:55" ht="24.95" customHeight="1" x14ac:dyDescent="0.25">
      <c r="A605" s="111" t="s">
        <v>588</v>
      </c>
      <c r="B605" s="111"/>
      <c r="C605" s="111">
        <v>1</v>
      </c>
      <c r="D605" s="76">
        <v>2</v>
      </c>
      <c r="E605" s="111">
        <v>3</v>
      </c>
      <c r="F605" s="76">
        <v>4</v>
      </c>
      <c r="G605" s="111">
        <v>5</v>
      </c>
      <c r="H605" s="76">
        <v>6</v>
      </c>
      <c r="I605" s="111">
        <v>7</v>
      </c>
      <c r="J605" s="76">
        <v>8</v>
      </c>
      <c r="K605" s="111">
        <v>9</v>
      </c>
      <c r="L605" s="76">
        <v>10</v>
      </c>
      <c r="M605" s="111">
        <v>11</v>
      </c>
      <c r="N605" s="76">
        <v>12</v>
      </c>
      <c r="O605" s="111">
        <v>13</v>
      </c>
      <c r="P605" s="76">
        <v>14</v>
      </c>
      <c r="Q605" s="111">
        <v>15</v>
      </c>
      <c r="R605" s="76">
        <v>16</v>
      </c>
      <c r="S605" s="111">
        <v>17</v>
      </c>
      <c r="T605" s="76">
        <v>18</v>
      </c>
      <c r="U605" s="111">
        <v>19</v>
      </c>
      <c r="V605" s="76">
        <v>20</v>
      </c>
      <c r="W605" s="111">
        <v>21</v>
      </c>
      <c r="X605" s="76">
        <v>22</v>
      </c>
      <c r="Y605" s="111">
        <v>23</v>
      </c>
      <c r="Z605" s="76">
        <v>24</v>
      </c>
      <c r="AA605" s="111">
        <v>25</v>
      </c>
      <c r="AB605" s="76">
        <v>26</v>
      </c>
      <c r="AC605" s="111">
        <v>27</v>
      </c>
      <c r="AD605" s="76">
        <v>28</v>
      </c>
      <c r="AE605" s="111">
        <v>29</v>
      </c>
      <c r="AF605" s="76">
        <v>30</v>
      </c>
      <c r="AG605" s="111">
        <v>31</v>
      </c>
      <c r="AH605" s="76">
        <v>32</v>
      </c>
    </row>
    <row r="606" spans="1:55" ht="24.95" customHeight="1" x14ac:dyDescent="0.25">
      <c r="C606" s="108">
        <f>C604</f>
        <v>0</v>
      </c>
      <c r="D606" s="108">
        <f t="shared" ref="D606:F606" si="1750">D604</f>
        <v>1</v>
      </c>
      <c r="E606" s="108">
        <f t="shared" si="1750"/>
        <v>1</v>
      </c>
      <c r="F606" s="108">
        <f t="shared" si="1750"/>
        <v>0</v>
      </c>
      <c r="G606" s="23">
        <f>I604</f>
        <v>0</v>
      </c>
      <c r="H606" s="23">
        <f t="shared" ref="H606" si="1751">J604</f>
        <v>1</v>
      </c>
      <c r="I606" s="23">
        <f t="shared" ref="I606" si="1752">K604</f>
        <v>1</v>
      </c>
      <c r="J606" s="23">
        <f t="shared" ref="J606" si="1753">L604</f>
        <v>1</v>
      </c>
      <c r="K606" s="23">
        <f>O604</f>
        <v>1</v>
      </c>
      <c r="L606" s="23">
        <f t="shared" ref="L606" si="1754">P604</f>
        <v>0</v>
      </c>
      <c r="M606" s="23">
        <f t="shared" ref="M606" si="1755">Q604</f>
        <v>0</v>
      </c>
      <c r="N606" s="23">
        <f t="shared" ref="N606" si="1756">R604</f>
        <v>1</v>
      </c>
      <c r="O606" s="23">
        <f>U604</f>
        <v>0</v>
      </c>
      <c r="P606" s="23">
        <f t="shared" ref="P606" si="1757">V604</f>
        <v>0</v>
      </c>
      <c r="Q606" s="23">
        <f t="shared" ref="Q606" si="1758">W604</f>
        <v>0</v>
      </c>
      <c r="R606" s="23">
        <f t="shared" ref="R606" si="1759">X604</f>
        <v>1</v>
      </c>
      <c r="S606" s="23">
        <f>AA604</f>
        <v>0</v>
      </c>
      <c r="T606" s="23">
        <f t="shared" ref="T606" si="1760">AB604</f>
        <v>0</v>
      </c>
      <c r="U606" s="23">
        <f t="shared" ref="U606" si="1761">AC604</f>
        <v>1</v>
      </c>
      <c r="V606" s="23">
        <f t="shared" ref="V606" si="1762">AD604</f>
        <v>1</v>
      </c>
      <c r="W606" s="23">
        <f>AG604</f>
        <v>0</v>
      </c>
      <c r="X606" s="23">
        <f t="shared" ref="X606" si="1763">AH604</f>
        <v>1</v>
      </c>
      <c r="Y606" s="23">
        <f t="shared" ref="Y606" si="1764">AI604</f>
        <v>1</v>
      </c>
      <c r="Z606" s="23">
        <f t="shared" ref="Z606" si="1765">AJ604</f>
        <v>1</v>
      </c>
      <c r="AA606" s="23">
        <f>AM604</f>
        <v>0</v>
      </c>
      <c r="AB606" s="23">
        <f t="shared" ref="AB606" si="1766">AN604</f>
        <v>0</v>
      </c>
      <c r="AC606" s="23">
        <f t="shared" ref="AC606" si="1767">AO604</f>
        <v>0</v>
      </c>
      <c r="AD606" s="23">
        <f t="shared" ref="AD606" si="1768">AP604</f>
        <v>1</v>
      </c>
      <c r="AE606" s="23">
        <f>AS604</f>
        <v>0</v>
      </c>
      <c r="AF606" s="23">
        <f t="shared" ref="AF606" si="1769">AT604</f>
        <v>0</v>
      </c>
      <c r="AG606" s="23">
        <f t="shared" ref="AG606" si="1770">AU604</f>
        <v>0</v>
      </c>
      <c r="AH606" s="23">
        <f t="shared" ref="AH606" si="1771">AV604</f>
        <v>0</v>
      </c>
    </row>
    <row r="608" spans="1:55" ht="24.95" customHeight="1" x14ac:dyDescent="0.25">
      <c r="A608" s="110" t="s">
        <v>548</v>
      </c>
      <c r="B608" s="110"/>
      <c r="C608" s="109">
        <v>16</v>
      </c>
      <c r="D608" s="110">
        <v>7</v>
      </c>
      <c r="E608" s="110">
        <v>20</v>
      </c>
      <c r="F608" s="110">
        <v>21</v>
      </c>
      <c r="G608" s="110">
        <v>29</v>
      </c>
      <c r="H608" s="110">
        <v>12</v>
      </c>
      <c r="I608" s="110">
        <v>28</v>
      </c>
      <c r="J608" s="110">
        <v>17</v>
      </c>
      <c r="K608" s="110">
        <v>1</v>
      </c>
      <c r="L608" s="110">
        <v>15</v>
      </c>
      <c r="M608" s="110">
        <v>23</v>
      </c>
      <c r="N608" s="110">
        <v>26</v>
      </c>
      <c r="O608" s="110">
        <v>5</v>
      </c>
      <c r="P608" s="110">
        <v>18</v>
      </c>
      <c r="Q608" s="110">
        <v>31</v>
      </c>
      <c r="R608" s="110">
        <v>10</v>
      </c>
      <c r="S608" s="110">
        <v>2</v>
      </c>
      <c r="T608" s="110">
        <v>8</v>
      </c>
      <c r="U608" s="110">
        <v>24</v>
      </c>
      <c r="V608" s="110">
        <v>14</v>
      </c>
      <c r="W608" s="110">
        <v>32</v>
      </c>
      <c r="X608" s="110">
        <v>27</v>
      </c>
      <c r="Y608" s="110">
        <v>3</v>
      </c>
      <c r="Z608" s="110">
        <v>9</v>
      </c>
      <c r="AA608" s="110">
        <v>19</v>
      </c>
      <c r="AB608" s="110">
        <v>13</v>
      </c>
      <c r="AC608" s="110">
        <v>30</v>
      </c>
      <c r="AD608" s="110">
        <v>6</v>
      </c>
      <c r="AE608" s="110">
        <v>22</v>
      </c>
      <c r="AF608" s="110">
        <v>11</v>
      </c>
      <c r="AG608" s="110">
        <v>4</v>
      </c>
      <c r="AH608" s="110">
        <v>25</v>
      </c>
    </row>
    <row r="609" spans="1:51" ht="24.95" customHeight="1" x14ac:dyDescent="0.25">
      <c r="C609" s="103">
        <f>K606</f>
        <v>1</v>
      </c>
      <c r="D609" s="103">
        <f>S606</f>
        <v>0</v>
      </c>
      <c r="E609" s="103">
        <f>Y606</f>
        <v>1</v>
      </c>
      <c r="F609" s="112">
        <f>AG606</f>
        <v>0</v>
      </c>
      <c r="G609" s="103">
        <f>O606</f>
        <v>0</v>
      </c>
      <c r="H609" s="103">
        <f>AD606</f>
        <v>1</v>
      </c>
      <c r="I609" s="103">
        <f>D606</f>
        <v>1</v>
      </c>
      <c r="J609" s="103">
        <f>T606</f>
        <v>0</v>
      </c>
      <c r="K609" s="103">
        <f>Z606</f>
        <v>1</v>
      </c>
      <c r="L609" s="103">
        <f>R606</f>
        <v>1</v>
      </c>
      <c r="M609" s="103">
        <f>AF606</f>
        <v>0</v>
      </c>
      <c r="N609" s="103">
        <f>H606</f>
        <v>1</v>
      </c>
      <c r="O609" s="103">
        <f>AB606</f>
        <v>0</v>
      </c>
      <c r="P609" s="103">
        <f>V606</f>
        <v>1</v>
      </c>
      <c r="Q609" s="103">
        <f>L606</f>
        <v>0</v>
      </c>
      <c r="R609" s="103">
        <f>C606</f>
        <v>0</v>
      </c>
      <c r="S609" s="103">
        <f>J606</f>
        <v>1</v>
      </c>
      <c r="T609" s="103">
        <f>P606</f>
        <v>0</v>
      </c>
      <c r="U609" s="103">
        <f>AA606</f>
        <v>0</v>
      </c>
      <c r="V609" s="103">
        <f>E606</f>
        <v>1</v>
      </c>
      <c r="W609" s="103">
        <f>F606</f>
        <v>0</v>
      </c>
      <c r="X609" s="103">
        <f>AE606</f>
        <v>0</v>
      </c>
      <c r="Y609" s="103">
        <f>M606</f>
        <v>0</v>
      </c>
      <c r="Z609" s="103">
        <f>U606</f>
        <v>1</v>
      </c>
      <c r="AA609" s="103">
        <f>AH606</f>
        <v>0</v>
      </c>
      <c r="AB609" s="103">
        <f>N606</f>
        <v>1</v>
      </c>
      <c r="AC609" s="103">
        <f>X606</f>
        <v>1</v>
      </c>
      <c r="AD609" s="103">
        <f>I606</f>
        <v>1</v>
      </c>
      <c r="AE609" s="103">
        <f>G606</f>
        <v>0</v>
      </c>
      <c r="AF609" s="103">
        <f>AC606</f>
        <v>0</v>
      </c>
      <c r="AG609" s="103">
        <f>Q606</f>
        <v>0</v>
      </c>
      <c r="AH609" s="103">
        <f>W606</f>
        <v>0</v>
      </c>
    </row>
    <row r="610" spans="1:51" ht="24.95" customHeight="1" x14ac:dyDescent="0.25">
      <c r="C610" s="130">
        <v>1</v>
      </c>
      <c r="D610" s="131">
        <v>2</v>
      </c>
      <c r="E610" s="130">
        <v>3</v>
      </c>
      <c r="F610" s="131">
        <v>4</v>
      </c>
      <c r="G610" s="130">
        <v>5</v>
      </c>
      <c r="H610" s="131">
        <v>6</v>
      </c>
      <c r="I610" s="130">
        <v>7</v>
      </c>
      <c r="J610" s="131">
        <v>8</v>
      </c>
      <c r="K610" s="130">
        <v>9</v>
      </c>
      <c r="L610" s="131">
        <v>10</v>
      </c>
      <c r="M610" s="130">
        <v>11</v>
      </c>
      <c r="N610" s="131">
        <v>12</v>
      </c>
      <c r="O610" s="130">
        <v>13</v>
      </c>
      <c r="P610" s="131">
        <v>14</v>
      </c>
      <c r="Q610" s="130">
        <v>15</v>
      </c>
      <c r="R610" s="131">
        <v>16</v>
      </c>
      <c r="S610" s="130">
        <v>17</v>
      </c>
      <c r="T610" s="131">
        <v>18</v>
      </c>
      <c r="U610" s="130">
        <v>19</v>
      </c>
      <c r="V610" s="131">
        <v>20</v>
      </c>
      <c r="W610" s="130">
        <v>21</v>
      </c>
      <c r="X610" s="131">
        <v>22</v>
      </c>
      <c r="Y610" s="130">
        <v>23</v>
      </c>
      <c r="Z610" s="131">
        <v>24</v>
      </c>
      <c r="AA610" s="130">
        <v>25</v>
      </c>
      <c r="AB610" s="131">
        <v>26</v>
      </c>
      <c r="AC610" s="130">
        <v>27</v>
      </c>
      <c r="AD610" s="131">
        <v>28</v>
      </c>
      <c r="AE610" s="130">
        <v>29</v>
      </c>
      <c r="AF610" s="131">
        <v>30</v>
      </c>
      <c r="AG610" s="130">
        <v>31</v>
      </c>
      <c r="AH610" s="131">
        <v>32</v>
      </c>
    </row>
    <row r="614" spans="1:51" ht="24.95" customHeight="1" x14ac:dyDescent="0.25">
      <c r="A614" s="114" t="s">
        <v>572</v>
      </c>
      <c r="B614" s="114"/>
      <c r="C614" s="114"/>
      <c r="D614" s="68">
        <v>1</v>
      </c>
      <c r="E614" s="68">
        <v>2</v>
      </c>
      <c r="F614" s="68">
        <v>3</v>
      </c>
      <c r="G614" s="68">
        <v>4</v>
      </c>
      <c r="H614" s="68">
        <v>5</v>
      </c>
      <c r="I614" s="68">
        <v>6</v>
      </c>
      <c r="J614" s="68">
        <v>7</v>
      </c>
      <c r="K614" s="68">
        <v>8</v>
      </c>
      <c r="L614" s="68">
        <v>9</v>
      </c>
      <c r="M614" s="68">
        <v>10</v>
      </c>
      <c r="N614" s="68">
        <v>11</v>
      </c>
      <c r="O614" s="68">
        <v>12</v>
      </c>
      <c r="P614" s="68">
        <v>13</v>
      </c>
      <c r="Q614" s="68">
        <v>14</v>
      </c>
      <c r="R614" s="68">
        <v>15</v>
      </c>
      <c r="S614" s="68">
        <v>16</v>
      </c>
      <c r="T614" s="68">
        <v>17</v>
      </c>
      <c r="U614" s="68">
        <v>18</v>
      </c>
      <c r="V614" s="68">
        <v>19</v>
      </c>
      <c r="W614" s="68">
        <v>20</v>
      </c>
      <c r="X614" s="68">
        <v>21</v>
      </c>
      <c r="Y614" s="68">
        <v>22</v>
      </c>
      <c r="Z614" s="68">
        <v>23</v>
      </c>
      <c r="AA614" s="68">
        <v>24</v>
      </c>
      <c r="AB614" s="68">
        <v>25</v>
      </c>
      <c r="AC614" s="68">
        <v>26</v>
      </c>
      <c r="AD614" s="68">
        <v>27</v>
      </c>
      <c r="AE614" s="68">
        <v>28</v>
      </c>
      <c r="AF614" s="68">
        <v>29</v>
      </c>
      <c r="AG614" s="68">
        <v>30</v>
      </c>
      <c r="AH614" s="68">
        <v>31</v>
      </c>
      <c r="AI614" s="68">
        <v>32</v>
      </c>
    </row>
    <row r="615" spans="1:51" ht="24.95" customHeight="1" x14ac:dyDescent="0.25">
      <c r="A615" s="64" t="s">
        <v>549</v>
      </c>
      <c r="D615" s="67">
        <f>C573</f>
        <v>1</v>
      </c>
      <c r="E615" s="68">
        <f t="shared" ref="E615" si="1772">D573</f>
        <v>1</v>
      </c>
      <c r="F615" s="68">
        <f t="shared" ref="F615" si="1773">E573</f>
        <v>1</v>
      </c>
      <c r="G615" s="68">
        <f t="shared" ref="G615" si="1774">F573</f>
        <v>1</v>
      </c>
      <c r="H615" s="68">
        <f t="shared" ref="H615" si="1775">G573</f>
        <v>0</v>
      </c>
      <c r="I615" s="68">
        <f t="shared" ref="I615" si="1776">H573</f>
        <v>1</v>
      </c>
      <c r="J615" s="68">
        <f t="shared" ref="J615" si="1777">I573</f>
        <v>1</v>
      </c>
      <c r="K615" s="68">
        <f t="shared" ref="K615" si="1778">J573</f>
        <v>1</v>
      </c>
      <c r="L615" s="68">
        <f t="shared" ref="L615" si="1779">K573</f>
        <v>0</v>
      </c>
      <c r="M615" s="68">
        <f t="shared" ref="M615" si="1780">L573</f>
        <v>0</v>
      </c>
      <c r="N615" s="68">
        <f t="shared" ref="N615" si="1781">M573</f>
        <v>1</v>
      </c>
      <c r="O615" s="68">
        <f t="shared" ref="O615" si="1782">N573</f>
        <v>0</v>
      </c>
      <c r="P615" s="68">
        <f t="shared" ref="P615" si="1783">O573</f>
        <v>0</v>
      </c>
      <c r="Q615" s="68">
        <f t="shared" ref="Q615" si="1784">P573</f>
        <v>1</v>
      </c>
      <c r="R615" s="68">
        <f t="shared" ref="R615" si="1785">Q573</f>
        <v>1</v>
      </c>
      <c r="S615" s="68">
        <f t="shared" ref="S615" si="1786">R573</f>
        <v>0</v>
      </c>
      <c r="T615" s="68">
        <f t="shared" ref="T615" si="1787">S573</f>
        <v>0</v>
      </c>
      <c r="U615" s="68">
        <f t="shared" ref="U615" si="1788">T573</f>
        <v>0</v>
      </c>
      <c r="V615" s="68">
        <f t="shared" ref="V615" si="1789">U573</f>
        <v>1</v>
      </c>
      <c r="W615" s="68">
        <f t="shared" ref="W615" si="1790">V573</f>
        <v>0</v>
      </c>
      <c r="X615" s="68">
        <f t="shared" ref="X615" si="1791">W573</f>
        <v>1</v>
      </c>
      <c r="Y615" s="68">
        <f t="shared" ref="Y615" si="1792">X573</f>
        <v>0</v>
      </c>
      <c r="Z615" s="68">
        <f t="shared" ref="Z615" si="1793">Y573</f>
        <v>0</v>
      </c>
      <c r="AA615" s="68">
        <f t="shared" ref="AA615" si="1794">Z573</f>
        <v>0</v>
      </c>
      <c r="AB615" s="68">
        <f t="shared" ref="AB615" si="1795">AA573</f>
        <v>1</v>
      </c>
      <c r="AC615" s="68">
        <f t="shared" ref="AC615" si="1796">AB573</f>
        <v>1</v>
      </c>
      <c r="AD615" s="68">
        <f t="shared" ref="AD615" si="1797">AC573</f>
        <v>0</v>
      </c>
      <c r="AE615" s="68">
        <f t="shared" ref="AE615" si="1798">AD573</f>
        <v>0</v>
      </c>
      <c r="AF615" s="68">
        <f t="shared" ref="AF615" si="1799">AE573</f>
        <v>0</v>
      </c>
      <c r="AG615" s="68">
        <f t="shared" ref="AG615" si="1800">AF573</f>
        <v>1</v>
      </c>
      <c r="AH615" s="68">
        <f t="shared" ref="AH615" si="1801">AG573</f>
        <v>0</v>
      </c>
      <c r="AI615" s="68">
        <f t="shared" ref="AI615" si="1802">AH573</f>
        <v>1</v>
      </c>
    </row>
    <row r="617" spans="1:51" ht="24.95" customHeight="1" x14ac:dyDescent="0.25">
      <c r="A617" s="114" t="s">
        <v>573</v>
      </c>
      <c r="B617" s="114"/>
      <c r="C617" s="114"/>
      <c r="D617" s="70">
        <v>1</v>
      </c>
      <c r="E617" s="70">
        <v>2</v>
      </c>
      <c r="F617" s="70">
        <v>3</v>
      </c>
      <c r="G617" s="70">
        <v>4</v>
      </c>
      <c r="H617" s="70">
        <v>5</v>
      </c>
      <c r="I617" s="70">
        <v>6</v>
      </c>
      <c r="J617" s="70">
        <v>7</v>
      </c>
      <c r="K617" s="70">
        <v>8</v>
      </c>
      <c r="L617" s="70">
        <v>9</v>
      </c>
      <c r="M617" s="70">
        <v>10</v>
      </c>
      <c r="N617" s="70">
        <v>11</v>
      </c>
      <c r="O617" s="70">
        <v>12</v>
      </c>
      <c r="P617" s="70">
        <v>13</v>
      </c>
      <c r="Q617" s="70">
        <v>14</v>
      </c>
      <c r="R617" s="70">
        <v>15</v>
      </c>
      <c r="S617" s="70">
        <v>16</v>
      </c>
      <c r="T617" s="70">
        <v>17</v>
      </c>
      <c r="U617" s="70">
        <v>18</v>
      </c>
      <c r="V617" s="70">
        <v>19</v>
      </c>
      <c r="W617" s="70">
        <v>20</v>
      </c>
      <c r="X617" s="70">
        <v>21</v>
      </c>
      <c r="Y617" s="70">
        <v>22</v>
      </c>
      <c r="Z617" s="70">
        <v>23</v>
      </c>
      <c r="AA617" s="70">
        <v>24</v>
      </c>
      <c r="AB617" s="70">
        <v>25</v>
      </c>
      <c r="AC617" s="70">
        <v>26</v>
      </c>
      <c r="AD617" s="70">
        <v>27</v>
      </c>
      <c r="AE617" s="70">
        <v>28</v>
      </c>
      <c r="AF617" s="70">
        <v>29</v>
      </c>
      <c r="AG617" s="70">
        <v>30</v>
      </c>
      <c r="AH617" s="70">
        <v>31</v>
      </c>
      <c r="AI617" s="70">
        <v>32</v>
      </c>
    </row>
    <row r="618" spans="1:51" ht="24.95" customHeight="1" x14ac:dyDescent="0.25">
      <c r="A618" s="64" t="s">
        <v>551</v>
      </c>
      <c r="D618" s="70">
        <f>--_xlfn.XOR(C609,D566)</f>
        <v>0</v>
      </c>
      <c r="E618" s="70">
        <f t="shared" ref="E618:AI618" si="1803">--_xlfn.XOR(D609,E566)</f>
        <v>1</v>
      </c>
      <c r="F618" s="70">
        <f t="shared" si="1803"/>
        <v>0</v>
      </c>
      <c r="G618" s="70">
        <f t="shared" si="1803"/>
        <v>0</v>
      </c>
      <c r="H618" s="70">
        <f t="shared" si="1803"/>
        <v>0</v>
      </c>
      <c r="I618" s="70">
        <f t="shared" si="1803"/>
        <v>1</v>
      </c>
      <c r="J618" s="70">
        <f t="shared" si="1803"/>
        <v>1</v>
      </c>
      <c r="K618" s="70">
        <f t="shared" si="1803"/>
        <v>0</v>
      </c>
      <c r="L618" s="70">
        <f t="shared" si="1803"/>
        <v>0</v>
      </c>
      <c r="M618" s="70">
        <f t="shared" si="1803"/>
        <v>1</v>
      </c>
      <c r="N618" s="70">
        <f t="shared" si="1803"/>
        <v>0</v>
      </c>
      <c r="O618" s="70">
        <f t="shared" si="1803"/>
        <v>1</v>
      </c>
      <c r="P618" s="70">
        <f t="shared" si="1803"/>
        <v>1</v>
      </c>
      <c r="Q618" s="70">
        <f t="shared" si="1803"/>
        <v>1</v>
      </c>
      <c r="R618" s="70">
        <f t="shared" si="1803"/>
        <v>1</v>
      </c>
      <c r="S618" s="70">
        <f t="shared" si="1803"/>
        <v>1</v>
      </c>
      <c r="T618" s="70">
        <f t="shared" si="1803"/>
        <v>1</v>
      </c>
      <c r="U618" s="70">
        <f t="shared" si="1803"/>
        <v>0</v>
      </c>
      <c r="V618" s="70">
        <f t="shared" si="1803"/>
        <v>1</v>
      </c>
      <c r="W618" s="70">
        <f t="shared" si="1803"/>
        <v>1</v>
      </c>
      <c r="X618" s="70">
        <f t="shared" si="1803"/>
        <v>1</v>
      </c>
      <c r="Y618" s="70">
        <f t="shared" si="1803"/>
        <v>0</v>
      </c>
      <c r="Z618" s="70">
        <f t="shared" si="1803"/>
        <v>1</v>
      </c>
      <c r="AA618" s="70">
        <f t="shared" si="1803"/>
        <v>0</v>
      </c>
      <c r="AB618" s="70">
        <f t="shared" si="1803"/>
        <v>0</v>
      </c>
      <c r="AC618" s="70">
        <f t="shared" si="1803"/>
        <v>0</v>
      </c>
      <c r="AD618" s="70">
        <f t="shared" si="1803"/>
        <v>0</v>
      </c>
      <c r="AE618" s="70">
        <f t="shared" si="1803"/>
        <v>1</v>
      </c>
      <c r="AF618" s="70">
        <f t="shared" si="1803"/>
        <v>0</v>
      </c>
      <c r="AG618" s="70">
        <f t="shared" si="1803"/>
        <v>0</v>
      </c>
      <c r="AH618" s="70">
        <f t="shared" si="1803"/>
        <v>1</v>
      </c>
      <c r="AI618" s="70">
        <f t="shared" si="1803"/>
        <v>1</v>
      </c>
    </row>
    <row r="619" spans="1:51" ht="24.95" customHeight="1" x14ac:dyDescent="0.25">
      <c r="A619" s="132" t="s">
        <v>617</v>
      </c>
    </row>
    <row r="620" spans="1:51" s="132" customFormat="1" ht="24.95" customHeight="1" x14ac:dyDescent="0.25">
      <c r="B620" s="133"/>
      <c r="C620" s="134"/>
    </row>
    <row r="621" spans="1:51" ht="24.95" customHeight="1" x14ac:dyDescent="0.25">
      <c r="B621" s="21"/>
      <c r="C621" s="70">
        <v>1</v>
      </c>
      <c r="D621" s="70">
        <v>2</v>
      </c>
      <c r="E621" s="70">
        <v>3</v>
      </c>
      <c r="F621" s="70">
        <v>4</v>
      </c>
      <c r="G621" s="70">
        <v>5</v>
      </c>
      <c r="H621" s="70">
        <v>6</v>
      </c>
      <c r="I621" s="70">
        <v>7</v>
      </c>
      <c r="J621" s="70">
        <v>8</v>
      </c>
      <c r="K621" s="70">
        <v>9</v>
      </c>
      <c r="L621" s="70">
        <v>10</v>
      </c>
      <c r="M621" s="70">
        <v>11</v>
      </c>
      <c r="N621" s="70">
        <v>12</v>
      </c>
      <c r="O621" s="70">
        <v>13</v>
      </c>
      <c r="P621" s="70">
        <v>14</v>
      </c>
      <c r="Q621" s="70">
        <v>15</v>
      </c>
      <c r="R621" s="70">
        <v>16</v>
      </c>
      <c r="S621" s="70">
        <v>17</v>
      </c>
      <c r="T621" s="70">
        <v>18</v>
      </c>
      <c r="U621" s="70">
        <v>19</v>
      </c>
      <c r="V621" s="70">
        <v>20</v>
      </c>
      <c r="W621" s="70">
        <v>21</v>
      </c>
      <c r="X621" s="70">
        <v>22</v>
      </c>
      <c r="Y621" s="70">
        <v>23</v>
      </c>
      <c r="Z621" s="70">
        <v>24</v>
      </c>
      <c r="AA621" s="70">
        <v>25</v>
      </c>
      <c r="AB621" s="70">
        <v>26</v>
      </c>
      <c r="AC621" s="70">
        <v>27</v>
      </c>
      <c r="AD621" s="70">
        <v>28</v>
      </c>
      <c r="AE621" s="70">
        <v>29</v>
      </c>
      <c r="AF621" s="70">
        <v>30</v>
      </c>
      <c r="AG621" s="70">
        <v>31</v>
      </c>
      <c r="AH621" s="70">
        <v>32</v>
      </c>
    </row>
    <row r="622" spans="1:51" ht="24.95" customHeight="1" x14ac:dyDescent="0.25">
      <c r="A622" s="114" t="s">
        <v>573</v>
      </c>
      <c r="B622" s="114"/>
      <c r="C622" s="70">
        <f>D618</f>
        <v>0</v>
      </c>
      <c r="D622" s="70">
        <f t="shared" ref="D622:AH622" si="1804">E618</f>
        <v>1</v>
      </c>
      <c r="E622" s="70">
        <f t="shared" si="1804"/>
        <v>0</v>
      </c>
      <c r="F622" s="70">
        <f t="shared" si="1804"/>
        <v>0</v>
      </c>
      <c r="G622" s="70">
        <f t="shared" si="1804"/>
        <v>0</v>
      </c>
      <c r="H622" s="70">
        <f t="shared" si="1804"/>
        <v>1</v>
      </c>
      <c r="I622" s="70">
        <f t="shared" si="1804"/>
        <v>1</v>
      </c>
      <c r="J622" s="70">
        <f t="shared" si="1804"/>
        <v>0</v>
      </c>
      <c r="K622" s="70">
        <f t="shared" si="1804"/>
        <v>0</v>
      </c>
      <c r="L622" s="70">
        <f t="shared" si="1804"/>
        <v>1</v>
      </c>
      <c r="M622" s="70">
        <f t="shared" si="1804"/>
        <v>0</v>
      </c>
      <c r="N622" s="70">
        <f t="shared" si="1804"/>
        <v>1</v>
      </c>
      <c r="O622" s="70">
        <f t="shared" si="1804"/>
        <v>1</v>
      </c>
      <c r="P622" s="70">
        <f t="shared" si="1804"/>
        <v>1</v>
      </c>
      <c r="Q622" s="70">
        <f t="shared" si="1804"/>
        <v>1</v>
      </c>
      <c r="R622" s="70">
        <f t="shared" si="1804"/>
        <v>1</v>
      </c>
      <c r="S622" s="70">
        <f t="shared" si="1804"/>
        <v>1</v>
      </c>
      <c r="T622" s="70">
        <f t="shared" si="1804"/>
        <v>0</v>
      </c>
      <c r="U622" s="70">
        <f t="shared" si="1804"/>
        <v>1</v>
      </c>
      <c r="V622" s="70">
        <f t="shared" si="1804"/>
        <v>1</v>
      </c>
      <c r="W622" s="70">
        <f t="shared" si="1804"/>
        <v>1</v>
      </c>
      <c r="X622" s="70">
        <f t="shared" si="1804"/>
        <v>0</v>
      </c>
      <c r="Y622" s="70">
        <f t="shared" si="1804"/>
        <v>1</v>
      </c>
      <c r="Z622" s="70">
        <f t="shared" si="1804"/>
        <v>0</v>
      </c>
      <c r="AA622" s="70">
        <f t="shared" si="1804"/>
        <v>0</v>
      </c>
      <c r="AB622" s="70">
        <f t="shared" si="1804"/>
        <v>0</v>
      </c>
      <c r="AC622" s="70">
        <f t="shared" si="1804"/>
        <v>0</v>
      </c>
      <c r="AD622" s="70">
        <f t="shared" si="1804"/>
        <v>1</v>
      </c>
      <c r="AE622" s="70">
        <f t="shared" si="1804"/>
        <v>0</v>
      </c>
      <c r="AF622" s="70">
        <f t="shared" si="1804"/>
        <v>0</v>
      </c>
      <c r="AG622" s="70">
        <f t="shared" si="1804"/>
        <v>1</v>
      </c>
      <c r="AH622" s="70">
        <f t="shared" si="1804"/>
        <v>1</v>
      </c>
      <c r="AI622" s="135"/>
    </row>
    <row r="624" spans="1:51" ht="24.95" customHeight="1" x14ac:dyDescent="0.25">
      <c r="A624" s="132"/>
      <c r="B624" s="133"/>
      <c r="C624" s="134"/>
      <c r="D624" s="132"/>
      <c r="E624" s="132"/>
      <c r="F624" s="132"/>
      <c r="G624" s="132"/>
      <c r="H624" s="132"/>
      <c r="I624" s="132"/>
      <c r="J624" s="132"/>
      <c r="K624" s="132"/>
      <c r="L624" s="132"/>
      <c r="M624" s="132"/>
      <c r="N624" s="132"/>
      <c r="O624" s="132"/>
      <c r="P624" s="132"/>
      <c r="Q624" s="132"/>
      <c r="R624" s="132"/>
      <c r="S624" s="132"/>
      <c r="T624" s="132"/>
      <c r="U624" s="132"/>
      <c r="V624" s="132"/>
      <c r="W624" s="132"/>
      <c r="X624" s="132"/>
      <c r="Y624" s="132"/>
      <c r="Z624" s="132"/>
      <c r="AA624" s="132"/>
      <c r="AB624" s="132"/>
      <c r="AC624" s="132"/>
      <c r="AD624" s="132"/>
      <c r="AE624" s="132"/>
      <c r="AF624" s="132"/>
      <c r="AG624" s="132"/>
      <c r="AH624" s="132"/>
      <c r="AI624" s="132"/>
      <c r="AJ624" s="132"/>
      <c r="AK624" s="132"/>
      <c r="AL624" s="132"/>
      <c r="AM624" s="132"/>
      <c r="AN624" s="132"/>
      <c r="AO624" s="132"/>
      <c r="AP624" s="132"/>
      <c r="AQ624" s="132"/>
      <c r="AR624" s="132"/>
      <c r="AS624" s="132"/>
      <c r="AT624" s="132"/>
      <c r="AU624" s="132"/>
      <c r="AV624" s="132"/>
      <c r="AW624" s="132"/>
      <c r="AX624" s="132"/>
      <c r="AY624" s="132"/>
    </row>
    <row r="626" spans="1:50" ht="24.95" customHeight="1" x14ac:dyDescent="0.25">
      <c r="A626" s="118" t="s">
        <v>532</v>
      </c>
      <c r="B626" s="118"/>
      <c r="C626" s="75">
        <v>32</v>
      </c>
      <c r="D626" s="74">
        <v>1</v>
      </c>
      <c r="E626" s="74">
        <v>2</v>
      </c>
      <c r="F626" s="74">
        <v>3</v>
      </c>
      <c r="G626" s="74">
        <v>4</v>
      </c>
      <c r="H626" s="73">
        <v>5</v>
      </c>
      <c r="I626" s="122"/>
      <c r="J626" s="118">
        <f>AH622</f>
        <v>1</v>
      </c>
      <c r="K626" s="118">
        <f>C622</f>
        <v>0</v>
      </c>
      <c r="L626" s="118">
        <f>D622</f>
        <v>1</v>
      </c>
      <c r="M626" s="118">
        <f>E622</f>
        <v>0</v>
      </c>
      <c r="N626" s="69">
        <f>F622</f>
        <v>0</v>
      </c>
      <c r="O626" s="119">
        <f>G622</f>
        <v>0</v>
      </c>
      <c r="P626" s="122"/>
    </row>
    <row r="627" spans="1:50" ht="24.95" customHeight="1" x14ac:dyDescent="0.25">
      <c r="C627" s="75">
        <v>4</v>
      </c>
      <c r="D627" s="74">
        <v>5</v>
      </c>
      <c r="E627" s="74">
        <v>6</v>
      </c>
      <c r="F627" s="74">
        <v>7</v>
      </c>
      <c r="G627" s="74">
        <v>8</v>
      </c>
      <c r="H627" s="73">
        <v>9</v>
      </c>
      <c r="I627" s="122"/>
      <c r="J627" s="118">
        <f t="shared" ref="J627" si="1805">F622</f>
        <v>0</v>
      </c>
      <c r="K627" s="69">
        <f t="shared" ref="K627" si="1806">G622</f>
        <v>0</v>
      </c>
      <c r="L627" s="69">
        <f t="shared" ref="L627" si="1807">H622</f>
        <v>1</v>
      </c>
      <c r="M627" s="69">
        <f t="shared" ref="M627" si="1808">I622</f>
        <v>1</v>
      </c>
      <c r="N627" s="69">
        <f t="shared" ref="N627" si="1809">J622</f>
        <v>0</v>
      </c>
      <c r="O627" s="119">
        <f t="shared" ref="O627" si="1810">K622</f>
        <v>0</v>
      </c>
      <c r="P627" s="122"/>
    </row>
    <row r="628" spans="1:50" ht="24.95" customHeight="1" x14ac:dyDescent="0.25">
      <c r="C628" s="75">
        <v>8</v>
      </c>
      <c r="D628" s="74">
        <v>9</v>
      </c>
      <c r="E628" s="74">
        <v>10</v>
      </c>
      <c r="F628" s="74">
        <v>11</v>
      </c>
      <c r="G628" s="74">
        <v>12</v>
      </c>
      <c r="H628" s="73">
        <v>13</v>
      </c>
      <c r="I628" s="123"/>
      <c r="J628" s="120">
        <f t="shared" ref="J628:O628" si="1811">J622</f>
        <v>0</v>
      </c>
      <c r="K628" s="69">
        <f t="shared" si="1811"/>
        <v>0</v>
      </c>
      <c r="L628" s="69">
        <f t="shared" si="1811"/>
        <v>1</v>
      </c>
      <c r="M628" s="69">
        <f t="shared" si="1811"/>
        <v>0</v>
      </c>
      <c r="N628" s="69">
        <f t="shared" si="1811"/>
        <v>1</v>
      </c>
      <c r="O628" s="119">
        <f t="shared" si="1811"/>
        <v>1</v>
      </c>
      <c r="P628" s="123"/>
    </row>
    <row r="629" spans="1:50" ht="24.95" customHeight="1" x14ac:dyDescent="0.25">
      <c r="C629" s="75">
        <v>12</v>
      </c>
      <c r="D629" s="74">
        <v>13</v>
      </c>
      <c r="E629" s="74">
        <v>14</v>
      </c>
      <c r="F629" s="74">
        <v>15</v>
      </c>
      <c r="G629" s="74">
        <v>16</v>
      </c>
      <c r="H629" s="73">
        <v>17</v>
      </c>
      <c r="I629" s="122"/>
      <c r="J629" s="118">
        <f t="shared" ref="J629" si="1812">N622</f>
        <v>1</v>
      </c>
      <c r="K629" s="69">
        <f t="shared" ref="K629" si="1813">O622</f>
        <v>1</v>
      </c>
      <c r="L629" s="69">
        <f t="shared" ref="L629" si="1814">P622</f>
        <v>1</v>
      </c>
      <c r="M629" s="69">
        <f t="shared" ref="M629" si="1815">Q622</f>
        <v>1</v>
      </c>
      <c r="N629" s="69">
        <f t="shared" ref="N629" si="1816">R622</f>
        <v>1</v>
      </c>
      <c r="O629" s="119">
        <f t="shared" ref="O629" si="1817">S622</f>
        <v>1</v>
      </c>
      <c r="P629" s="122"/>
    </row>
    <row r="630" spans="1:50" ht="24.95" customHeight="1" x14ac:dyDescent="0.25">
      <c r="C630" s="75">
        <v>16</v>
      </c>
      <c r="D630" s="74">
        <v>17</v>
      </c>
      <c r="E630" s="74">
        <v>18</v>
      </c>
      <c r="F630" s="74">
        <v>19</v>
      </c>
      <c r="G630" s="74">
        <v>20</v>
      </c>
      <c r="H630" s="73">
        <v>21</v>
      </c>
      <c r="I630" s="122"/>
      <c r="J630" s="118">
        <f t="shared" ref="J630" si="1818">R622</f>
        <v>1</v>
      </c>
      <c r="K630" s="69">
        <f t="shared" ref="K630" si="1819">S622</f>
        <v>1</v>
      </c>
      <c r="L630" s="69">
        <f t="shared" ref="L630" si="1820">T622</f>
        <v>0</v>
      </c>
      <c r="M630" s="69">
        <f t="shared" ref="M630" si="1821">U622</f>
        <v>1</v>
      </c>
      <c r="N630" s="69">
        <f t="shared" ref="N630" si="1822">V622</f>
        <v>1</v>
      </c>
      <c r="O630" s="119">
        <f t="shared" ref="O630" si="1823">W622</f>
        <v>1</v>
      </c>
      <c r="P630" s="122"/>
    </row>
    <row r="631" spans="1:50" ht="24.95" customHeight="1" x14ac:dyDescent="0.25">
      <c r="C631" s="75">
        <v>20</v>
      </c>
      <c r="D631" s="74">
        <v>21</v>
      </c>
      <c r="E631" s="74">
        <v>22</v>
      </c>
      <c r="F631" s="74">
        <v>23</v>
      </c>
      <c r="G631" s="74">
        <v>24</v>
      </c>
      <c r="H631" s="73">
        <v>25</v>
      </c>
      <c r="I631" s="122"/>
      <c r="J631" s="118">
        <f t="shared" ref="J631" si="1824">V622</f>
        <v>1</v>
      </c>
      <c r="K631" s="69">
        <f t="shared" ref="K631" si="1825">W622</f>
        <v>1</v>
      </c>
      <c r="L631" s="69">
        <f t="shared" ref="L631" si="1826">X622</f>
        <v>0</v>
      </c>
      <c r="M631" s="69">
        <f t="shared" ref="M631" si="1827">Y622</f>
        <v>1</v>
      </c>
      <c r="N631" s="69">
        <f t="shared" ref="N631" si="1828">Z622</f>
        <v>0</v>
      </c>
      <c r="O631" s="119">
        <f t="shared" ref="O631" si="1829">AA622</f>
        <v>0</v>
      </c>
      <c r="P631" s="122"/>
    </row>
    <row r="632" spans="1:50" ht="24.95" customHeight="1" x14ac:dyDescent="0.25">
      <c r="C632" s="75">
        <v>24</v>
      </c>
      <c r="D632" s="74">
        <v>25</v>
      </c>
      <c r="E632" s="74">
        <v>26</v>
      </c>
      <c r="F632" s="74">
        <v>27</v>
      </c>
      <c r="G632" s="74">
        <v>28</v>
      </c>
      <c r="H632" s="73">
        <v>29</v>
      </c>
      <c r="I632" s="122"/>
      <c r="J632" s="118">
        <f t="shared" ref="J632" si="1830">Z622</f>
        <v>0</v>
      </c>
      <c r="K632" s="69">
        <f t="shared" ref="K632" si="1831">AA622</f>
        <v>0</v>
      </c>
      <c r="L632" s="69">
        <f t="shared" ref="L632" si="1832">AB622</f>
        <v>0</v>
      </c>
      <c r="M632" s="69">
        <f t="shared" ref="M632" si="1833">AC622</f>
        <v>0</v>
      </c>
      <c r="N632" s="69">
        <f t="shared" ref="N632" si="1834">AD622</f>
        <v>1</v>
      </c>
      <c r="O632" s="119">
        <f t="shared" ref="O632" si="1835">AE622</f>
        <v>0</v>
      </c>
      <c r="P632" s="122"/>
    </row>
    <row r="633" spans="1:50" ht="24.95" customHeight="1" x14ac:dyDescent="0.25">
      <c r="C633" s="75">
        <v>28</v>
      </c>
      <c r="D633" s="74">
        <v>29</v>
      </c>
      <c r="E633" s="74">
        <v>30</v>
      </c>
      <c r="F633" s="74">
        <v>31</v>
      </c>
      <c r="G633" s="74">
        <v>32</v>
      </c>
      <c r="H633" s="73">
        <v>1</v>
      </c>
      <c r="I633" s="122"/>
      <c r="J633" s="70">
        <f>AD622</f>
        <v>1</v>
      </c>
      <c r="K633" s="71">
        <f>AE622</f>
        <v>0</v>
      </c>
      <c r="L633" s="71">
        <f>AF622</f>
        <v>0</v>
      </c>
      <c r="M633" s="71">
        <f>AG622</f>
        <v>1</v>
      </c>
      <c r="N633" s="71">
        <f>AH622</f>
        <v>1</v>
      </c>
      <c r="O633" s="121">
        <f>C622</f>
        <v>0</v>
      </c>
      <c r="P633" s="122"/>
    </row>
    <row r="636" spans="1:50" ht="24.95" customHeight="1" x14ac:dyDescent="0.25">
      <c r="A636" s="124" t="s">
        <v>533</v>
      </c>
      <c r="B636" s="124"/>
      <c r="C636" s="125">
        <v>1</v>
      </c>
      <c r="D636" s="126">
        <v>2</v>
      </c>
      <c r="E636" s="125">
        <v>3</v>
      </c>
      <c r="F636" s="126">
        <v>4</v>
      </c>
      <c r="G636" s="125">
        <v>5</v>
      </c>
      <c r="H636" s="126">
        <v>6</v>
      </c>
      <c r="I636" s="125">
        <v>7</v>
      </c>
      <c r="J636" s="126">
        <v>8</v>
      </c>
      <c r="K636" s="125">
        <v>9</v>
      </c>
      <c r="L636" s="126">
        <v>10</v>
      </c>
      <c r="M636" s="125">
        <v>11</v>
      </c>
      <c r="N636" s="126">
        <v>12</v>
      </c>
      <c r="O636" s="125">
        <v>13</v>
      </c>
      <c r="P636" s="126">
        <v>14</v>
      </c>
      <c r="Q636" s="125">
        <v>15</v>
      </c>
      <c r="R636" s="126">
        <v>16</v>
      </c>
      <c r="S636" s="125">
        <v>17</v>
      </c>
      <c r="T636" s="126">
        <v>18</v>
      </c>
      <c r="U636" s="125">
        <v>19</v>
      </c>
      <c r="V636" s="126">
        <v>20</v>
      </c>
      <c r="W636" s="125">
        <v>21</v>
      </c>
      <c r="X636" s="126">
        <v>22</v>
      </c>
      <c r="Y636" s="125">
        <v>23</v>
      </c>
      <c r="Z636" s="126">
        <v>24</v>
      </c>
      <c r="AA636" s="125">
        <v>25</v>
      </c>
      <c r="AB636" s="126">
        <v>26</v>
      </c>
      <c r="AC636" s="125">
        <v>27</v>
      </c>
      <c r="AD636" s="126">
        <v>28</v>
      </c>
      <c r="AE636" s="125">
        <v>29</v>
      </c>
      <c r="AF636" s="126">
        <v>30</v>
      </c>
      <c r="AG636" s="125">
        <v>31</v>
      </c>
      <c r="AH636" s="126">
        <v>32</v>
      </c>
      <c r="AI636" s="125">
        <v>33</v>
      </c>
      <c r="AJ636" s="126">
        <v>34</v>
      </c>
      <c r="AK636" s="125">
        <v>35</v>
      </c>
      <c r="AL636" s="126">
        <v>36</v>
      </c>
      <c r="AM636" s="125">
        <v>37</v>
      </c>
      <c r="AN636" s="126">
        <v>38</v>
      </c>
      <c r="AO636" s="125">
        <v>39</v>
      </c>
      <c r="AP636" s="126">
        <v>40</v>
      </c>
      <c r="AQ636" s="125">
        <v>41</v>
      </c>
      <c r="AR636" s="126">
        <v>42</v>
      </c>
      <c r="AS636" s="125">
        <v>43</v>
      </c>
      <c r="AT636" s="126">
        <v>44</v>
      </c>
      <c r="AU636" s="125">
        <v>45</v>
      </c>
      <c r="AV636" s="126">
        <v>46</v>
      </c>
      <c r="AW636" s="125">
        <v>47</v>
      </c>
      <c r="AX636" s="126">
        <v>48</v>
      </c>
    </row>
    <row r="637" spans="1:50" ht="24.95" customHeight="1" x14ac:dyDescent="0.25">
      <c r="C637" s="125">
        <f t="shared" ref="C637" si="1836">J626</f>
        <v>1</v>
      </c>
      <c r="D637" s="125">
        <f t="shared" ref="D637" si="1837">K626</f>
        <v>0</v>
      </c>
      <c r="E637" s="125">
        <f t="shared" ref="E637" si="1838">L626</f>
        <v>1</v>
      </c>
      <c r="F637" s="125">
        <f t="shared" ref="F637" si="1839">M626</f>
        <v>0</v>
      </c>
      <c r="G637" s="126">
        <f t="shared" ref="G637" si="1840">N626</f>
        <v>0</v>
      </c>
      <c r="H637" s="126">
        <f t="shared" ref="H637" si="1841">O626</f>
        <v>0</v>
      </c>
      <c r="I637" s="125">
        <f t="shared" ref="I637" si="1842">J627</f>
        <v>0</v>
      </c>
      <c r="J637" s="125">
        <f t="shared" ref="J637" si="1843">K627</f>
        <v>0</v>
      </c>
      <c r="K637" s="125">
        <f t="shared" ref="K637" si="1844">L627</f>
        <v>1</v>
      </c>
      <c r="L637" s="125">
        <f t="shared" ref="L637" si="1845">M627</f>
        <v>1</v>
      </c>
      <c r="M637" s="125">
        <f t="shared" ref="M637" si="1846">N627</f>
        <v>0</v>
      </c>
      <c r="N637" s="125">
        <f t="shared" ref="N637" si="1847">O627</f>
        <v>0</v>
      </c>
      <c r="O637" s="126">
        <f t="shared" ref="O637" si="1848">J628</f>
        <v>0</v>
      </c>
      <c r="P637" s="126">
        <f t="shared" ref="P637" si="1849">K628</f>
        <v>0</v>
      </c>
      <c r="Q637" s="126">
        <f t="shared" ref="Q637" si="1850">L628</f>
        <v>1</v>
      </c>
      <c r="R637" s="126">
        <f t="shared" ref="R637" si="1851">M628</f>
        <v>0</v>
      </c>
      <c r="S637" s="126">
        <f t="shared" ref="S637" si="1852">N628</f>
        <v>1</v>
      </c>
      <c r="T637" s="126">
        <f t="shared" ref="T637" si="1853">O628</f>
        <v>1</v>
      </c>
      <c r="U637" s="125">
        <f t="shared" ref="U637" si="1854">J629</f>
        <v>1</v>
      </c>
      <c r="V637" s="126">
        <f t="shared" ref="V637" si="1855">K629</f>
        <v>1</v>
      </c>
      <c r="W637" s="125">
        <f t="shared" ref="W637" si="1856">L629</f>
        <v>1</v>
      </c>
      <c r="X637" s="126">
        <f t="shared" ref="X637" si="1857">M629</f>
        <v>1</v>
      </c>
      <c r="Y637" s="125">
        <f t="shared" ref="Y637" si="1858">N629</f>
        <v>1</v>
      </c>
      <c r="Z637" s="126">
        <f t="shared" ref="Z637" si="1859">O629</f>
        <v>1</v>
      </c>
      <c r="AA637" s="125">
        <f t="shared" ref="AA637" si="1860">J630</f>
        <v>1</v>
      </c>
      <c r="AB637" s="126">
        <f t="shared" ref="AB637" si="1861">K630</f>
        <v>1</v>
      </c>
      <c r="AC637" s="125">
        <f t="shared" ref="AC637" si="1862">L630</f>
        <v>0</v>
      </c>
      <c r="AD637" s="126">
        <f t="shared" ref="AD637" si="1863">M630</f>
        <v>1</v>
      </c>
      <c r="AE637" s="125">
        <f t="shared" ref="AE637" si="1864">N630</f>
        <v>1</v>
      </c>
      <c r="AF637" s="126">
        <f t="shared" ref="AF637" si="1865">O630</f>
        <v>1</v>
      </c>
      <c r="AG637" s="125">
        <f t="shared" ref="AG637" si="1866">J631</f>
        <v>1</v>
      </c>
      <c r="AH637" s="126">
        <f t="shared" ref="AH637" si="1867">K631</f>
        <v>1</v>
      </c>
      <c r="AI637" s="125">
        <f t="shared" ref="AI637" si="1868">L631</f>
        <v>0</v>
      </c>
      <c r="AJ637" s="126">
        <f t="shared" ref="AJ637" si="1869">M631</f>
        <v>1</v>
      </c>
      <c r="AK637" s="125">
        <f t="shared" ref="AK637" si="1870">N631</f>
        <v>0</v>
      </c>
      <c r="AL637" s="126">
        <f t="shared" ref="AL637" si="1871">O631</f>
        <v>0</v>
      </c>
      <c r="AM637" s="125">
        <f t="shared" ref="AM637" si="1872">J632</f>
        <v>0</v>
      </c>
      <c r="AN637" s="126">
        <f t="shared" ref="AN637" si="1873">K632</f>
        <v>0</v>
      </c>
      <c r="AO637" s="125">
        <f t="shared" ref="AO637" si="1874">L632</f>
        <v>0</v>
      </c>
      <c r="AP637" s="126">
        <f t="shared" ref="AP637" si="1875">M632</f>
        <v>0</v>
      </c>
      <c r="AQ637" s="125">
        <f t="shared" ref="AQ637" si="1876">N632</f>
        <v>1</v>
      </c>
      <c r="AR637" s="126">
        <f t="shared" ref="AR637" si="1877">O632</f>
        <v>0</v>
      </c>
      <c r="AS637" s="125">
        <f t="shared" ref="AS637" si="1878">J633</f>
        <v>1</v>
      </c>
      <c r="AT637" s="126">
        <f t="shared" ref="AT637" si="1879">K633</f>
        <v>0</v>
      </c>
      <c r="AU637" s="125">
        <f t="shared" ref="AU637" si="1880">L633</f>
        <v>0</v>
      </c>
      <c r="AV637" s="126">
        <f t="shared" ref="AV637" si="1881">M633</f>
        <v>1</v>
      </c>
      <c r="AW637" s="125">
        <f t="shared" ref="AW637" si="1882">N633</f>
        <v>1</v>
      </c>
      <c r="AX637" s="126">
        <f t="shared" ref="AX637" si="1883">O633</f>
        <v>0</v>
      </c>
    </row>
    <row r="640" spans="1:50" ht="24.95" customHeight="1" x14ac:dyDescent="0.25">
      <c r="A640" s="127" t="s">
        <v>618</v>
      </c>
      <c r="B640" s="127"/>
      <c r="C640" s="77">
        <f>'Key Generator'!D479</f>
        <v>1</v>
      </c>
      <c r="D640" s="77">
        <f>'Key Generator'!E479</f>
        <v>2</v>
      </c>
      <c r="E640" s="77">
        <f>'Key Generator'!F479</f>
        <v>3</v>
      </c>
      <c r="F640" s="77">
        <f>'Key Generator'!G479</f>
        <v>4</v>
      </c>
      <c r="G640" s="77">
        <f>'Key Generator'!H479</f>
        <v>5</v>
      </c>
      <c r="H640" s="77">
        <f>'Key Generator'!I479</f>
        <v>6</v>
      </c>
      <c r="I640" s="77">
        <f>'Key Generator'!J479</f>
        <v>7</v>
      </c>
      <c r="J640" s="77">
        <f>'Key Generator'!K479</f>
        <v>8</v>
      </c>
      <c r="K640" s="77">
        <f>'Key Generator'!L479</f>
        <v>9</v>
      </c>
      <c r="L640" s="77">
        <f>'Key Generator'!M479</f>
        <v>10</v>
      </c>
      <c r="M640" s="77">
        <f>'Key Generator'!N479</f>
        <v>11</v>
      </c>
      <c r="N640" s="77">
        <f>'Key Generator'!O479</f>
        <v>12</v>
      </c>
      <c r="O640" s="77">
        <f>'Key Generator'!P479</f>
        <v>13</v>
      </c>
      <c r="P640" s="77">
        <f>'Key Generator'!Q479</f>
        <v>14</v>
      </c>
      <c r="Q640" s="77">
        <f>'Key Generator'!R479</f>
        <v>15</v>
      </c>
      <c r="R640" s="77">
        <f>'Key Generator'!S479</f>
        <v>16</v>
      </c>
      <c r="S640" s="77">
        <f>'Key Generator'!T479</f>
        <v>17</v>
      </c>
      <c r="T640" s="77">
        <f>'Key Generator'!U479</f>
        <v>18</v>
      </c>
      <c r="U640" s="77">
        <f>'Key Generator'!V479</f>
        <v>19</v>
      </c>
      <c r="V640" s="77">
        <f>'Key Generator'!W479</f>
        <v>20</v>
      </c>
      <c r="W640" s="77">
        <f>'Key Generator'!X479</f>
        <v>21</v>
      </c>
      <c r="X640" s="77">
        <f>'Key Generator'!Y479</f>
        <v>22</v>
      </c>
      <c r="Y640" s="77">
        <f>'Key Generator'!Z479</f>
        <v>23</v>
      </c>
      <c r="Z640" s="77">
        <f>'Key Generator'!AA479</f>
        <v>24</v>
      </c>
      <c r="AA640" s="77">
        <f>'Key Generator'!AB479</f>
        <v>25</v>
      </c>
      <c r="AB640" s="77">
        <f>'Key Generator'!AC479</f>
        <v>26</v>
      </c>
      <c r="AC640" s="77">
        <f>'Key Generator'!AD479</f>
        <v>27</v>
      </c>
      <c r="AD640" s="77">
        <f>'Key Generator'!AE479</f>
        <v>28</v>
      </c>
      <c r="AE640" s="77">
        <f>'Key Generator'!AF479</f>
        <v>29</v>
      </c>
      <c r="AF640" s="77">
        <f>'Key Generator'!AG479</f>
        <v>30</v>
      </c>
      <c r="AG640" s="77">
        <f>'Key Generator'!AH479</f>
        <v>31</v>
      </c>
      <c r="AH640" s="77">
        <f>'Key Generator'!AI479</f>
        <v>32</v>
      </c>
      <c r="AI640" s="77">
        <f>'Key Generator'!AJ479</f>
        <v>33</v>
      </c>
      <c r="AJ640" s="77">
        <f>'Key Generator'!AK479</f>
        <v>34</v>
      </c>
      <c r="AK640" s="77">
        <f>'Key Generator'!AL479</f>
        <v>35</v>
      </c>
      <c r="AL640" s="77">
        <f>'Key Generator'!AM479</f>
        <v>36</v>
      </c>
      <c r="AM640" s="77">
        <f>'Key Generator'!AN479</f>
        <v>37</v>
      </c>
      <c r="AN640" s="77">
        <f>'Key Generator'!AO479</f>
        <v>38</v>
      </c>
      <c r="AO640" s="77">
        <f>'Key Generator'!AP479</f>
        <v>39</v>
      </c>
      <c r="AP640" s="77">
        <f>'Key Generator'!AQ479</f>
        <v>40</v>
      </c>
      <c r="AQ640" s="77">
        <f>'Key Generator'!AR479</f>
        <v>41</v>
      </c>
      <c r="AR640" s="77">
        <f>'Key Generator'!AS479</f>
        <v>42</v>
      </c>
      <c r="AS640" s="77">
        <f>'Key Generator'!AT479</f>
        <v>43</v>
      </c>
      <c r="AT640" s="77">
        <f>'Key Generator'!AU479</f>
        <v>44</v>
      </c>
      <c r="AU640" s="77">
        <f>'Key Generator'!AV479</f>
        <v>45</v>
      </c>
      <c r="AV640" s="77">
        <f>'Key Generator'!AW479</f>
        <v>46</v>
      </c>
      <c r="AW640" s="77">
        <f>'Key Generator'!AX479</f>
        <v>47</v>
      </c>
      <c r="AX640" s="77">
        <f>'Key Generator'!AY479</f>
        <v>48</v>
      </c>
    </row>
    <row r="641" spans="1:55" ht="24.95" customHeight="1" x14ac:dyDescent="0.25">
      <c r="C641" s="77">
        <f>'Key Generator'!D480</f>
        <v>0</v>
      </c>
      <c r="D641" s="77">
        <f>'Key Generator'!E480</f>
        <v>0</v>
      </c>
      <c r="E641" s="77">
        <f>'Key Generator'!F480</f>
        <v>0</v>
      </c>
      <c r="F641" s="77">
        <f>'Key Generator'!G480</f>
        <v>1</v>
      </c>
      <c r="G641" s="77">
        <f>'Key Generator'!H480</f>
        <v>0</v>
      </c>
      <c r="H641" s="77">
        <f>'Key Generator'!I480</f>
        <v>1</v>
      </c>
      <c r="I641" s="77">
        <f>'Key Generator'!J480</f>
        <v>0</v>
      </c>
      <c r="J641" s="77">
        <f>'Key Generator'!K480</f>
        <v>0</v>
      </c>
      <c r="K641" s="77">
        <f>'Key Generator'!L480</f>
        <v>0</v>
      </c>
      <c r="L641" s="77">
        <f>'Key Generator'!M480</f>
        <v>0</v>
      </c>
      <c r="M641" s="77">
        <f>'Key Generator'!N480</f>
        <v>1</v>
      </c>
      <c r="N641" s="77">
        <f>'Key Generator'!O480</f>
        <v>0</v>
      </c>
      <c r="O641" s="77">
        <f>'Key Generator'!P480</f>
        <v>1</v>
      </c>
      <c r="P641" s="77">
        <f>'Key Generator'!Q480</f>
        <v>1</v>
      </c>
      <c r="Q641" s="77">
        <f>'Key Generator'!R480</f>
        <v>0</v>
      </c>
      <c r="R641" s="77">
        <f>'Key Generator'!S480</f>
        <v>0</v>
      </c>
      <c r="S641" s="77">
        <f>'Key Generator'!T480</f>
        <v>0</v>
      </c>
      <c r="T641" s="77">
        <f>'Key Generator'!U480</f>
        <v>0</v>
      </c>
      <c r="U641" s="77">
        <f>'Key Generator'!V480</f>
        <v>0</v>
      </c>
      <c r="V641" s="77">
        <f>'Key Generator'!W480</f>
        <v>0</v>
      </c>
      <c r="W641" s="77">
        <f>'Key Generator'!X480</f>
        <v>0</v>
      </c>
      <c r="X641" s="77">
        <f>'Key Generator'!Y480</f>
        <v>1</v>
      </c>
      <c r="Y641" s="77">
        <f>'Key Generator'!Z480</f>
        <v>1</v>
      </c>
      <c r="Z641" s="77">
        <f>'Key Generator'!AA480</f>
        <v>0</v>
      </c>
      <c r="AA641" s="77">
        <f>'Key Generator'!AB480</f>
        <v>1</v>
      </c>
      <c r="AB641" s="77">
        <f>'Key Generator'!AC480</f>
        <v>0</v>
      </c>
      <c r="AC641" s="77">
        <f>'Key Generator'!AD480</f>
        <v>0</v>
      </c>
      <c r="AD641" s="77">
        <f>'Key Generator'!AE480</f>
        <v>1</v>
      </c>
      <c r="AE641" s="77">
        <f>'Key Generator'!AF480</f>
        <v>1</v>
      </c>
      <c r="AF641" s="77">
        <f>'Key Generator'!AG480</f>
        <v>0</v>
      </c>
      <c r="AG641" s="77">
        <f>'Key Generator'!AH480</f>
        <v>1</v>
      </c>
      <c r="AH641" s="77">
        <f>'Key Generator'!AI480</f>
        <v>0</v>
      </c>
      <c r="AI641" s="77">
        <f>'Key Generator'!AJ480</f>
        <v>1</v>
      </c>
      <c r="AJ641" s="77">
        <f>'Key Generator'!AK480</f>
        <v>1</v>
      </c>
      <c r="AK641" s="77">
        <f>'Key Generator'!AL480</f>
        <v>0</v>
      </c>
      <c r="AL641" s="77">
        <f>'Key Generator'!AM480</f>
        <v>0</v>
      </c>
      <c r="AM641" s="77">
        <f>'Key Generator'!AN480</f>
        <v>1</v>
      </c>
      <c r="AN641" s="77">
        <f>'Key Generator'!AO480</f>
        <v>0</v>
      </c>
      <c r="AO641" s="77">
        <f>'Key Generator'!AP480</f>
        <v>1</v>
      </c>
      <c r="AP641" s="77">
        <f>'Key Generator'!AQ480</f>
        <v>0</v>
      </c>
      <c r="AQ641" s="77">
        <f>'Key Generator'!AR480</f>
        <v>0</v>
      </c>
      <c r="AR641" s="77">
        <f>'Key Generator'!AS480</f>
        <v>1</v>
      </c>
      <c r="AS641" s="77">
        <f>'Key Generator'!AT480</f>
        <v>0</v>
      </c>
      <c r="AT641" s="77">
        <f>'Key Generator'!AU480</f>
        <v>1</v>
      </c>
      <c r="AU641" s="77">
        <f>'Key Generator'!AV480</f>
        <v>1</v>
      </c>
      <c r="AV641" s="77">
        <f>'Key Generator'!AW480</f>
        <v>0</v>
      </c>
      <c r="AW641" s="77">
        <f>'Key Generator'!AX480</f>
        <v>1</v>
      </c>
      <c r="AX641" s="77">
        <f>'Key Generator'!AY480</f>
        <v>1</v>
      </c>
    </row>
    <row r="644" spans="1:55" ht="24.95" customHeight="1" x14ac:dyDescent="0.25">
      <c r="A644" s="128" t="s">
        <v>535</v>
      </c>
      <c r="B644" s="129"/>
      <c r="C644" s="79">
        <v>1</v>
      </c>
      <c r="D644" s="80">
        <v>2</v>
      </c>
      <c r="E644" s="79">
        <v>3</v>
      </c>
      <c r="F644" s="80">
        <v>4</v>
      </c>
      <c r="G644" s="79">
        <v>5</v>
      </c>
      <c r="H644" s="80">
        <v>6</v>
      </c>
      <c r="I644" s="79">
        <v>7</v>
      </c>
      <c r="J644" s="80">
        <v>8</v>
      </c>
      <c r="K644" s="79">
        <v>9</v>
      </c>
      <c r="L644" s="80">
        <v>10</v>
      </c>
      <c r="M644" s="79">
        <v>11</v>
      </c>
      <c r="N644" s="80">
        <v>12</v>
      </c>
      <c r="O644" s="79">
        <v>13</v>
      </c>
      <c r="P644" s="80">
        <v>14</v>
      </c>
      <c r="Q644" s="79">
        <v>15</v>
      </c>
      <c r="R644" s="80">
        <v>16</v>
      </c>
      <c r="S644" s="79">
        <v>17</v>
      </c>
      <c r="T644" s="80">
        <v>18</v>
      </c>
      <c r="U644" s="79">
        <v>19</v>
      </c>
      <c r="V644" s="80">
        <v>20</v>
      </c>
      <c r="W644" s="79">
        <v>21</v>
      </c>
      <c r="X644" s="80">
        <v>22</v>
      </c>
      <c r="Y644" s="79">
        <v>23</v>
      </c>
      <c r="Z644" s="80">
        <v>24</v>
      </c>
      <c r="AA644" s="79">
        <v>25</v>
      </c>
      <c r="AB644" s="80">
        <v>26</v>
      </c>
      <c r="AC644" s="79">
        <v>27</v>
      </c>
      <c r="AD644" s="80">
        <v>28</v>
      </c>
      <c r="AE644" s="79">
        <v>29</v>
      </c>
      <c r="AF644" s="80">
        <v>30</v>
      </c>
      <c r="AG644" s="79">
        <v>31</v>
      </c>
      <c r="AH644" s="80">
        <v>32</v>
      </c>
      <c r="AI644" s="79">
        <v>33</v>
      </c>
      <c r="AJ644" s="80">
        <v>34</v>
      </c>
      <c r="AK644" s="79">
        <v>35</v>
      </c>
      <c r="AL644" s="80">
        <v>36</v>
      </c>
      <c r="AM644" s="79">
        <v>37</v>
      </c>
      <c r="AN644" s="80">
        <v>38</v>
      </c>
      <c r="AO644" s="79">
        <v>39</v>
      </c>
      <c r="AP644" s="80">
        <v>40</v>
      </c>
      <c r="AQ644" s="79">
        <v>41</v>
      </c>
      <c r="AR644" s="80">
        <v>42</v>
      </c>
      <c r="AS644" s="79">
        <v>43</v>
      </c>
      <c r="AT644" s="80">
        <v>44</v>
      </c>
      <c r="AU644" s="79">
        <v>45</v>
      </c>
      <c r="AV644" s="80">
        <v>46</v>
      </c>
      <c r="AW644" s="79">
        <v>47</v>
      </c>
      <c r="AX644" s="80">
        <v>48</v>
      </c>
    </row>
    <row r="645" spans="1:55" ht="24.95" customHeight="1" x14ac:dyDescent="0.25">
      <c r="C645" s="88">
        <f>--_xlfn.XOR(C637,'Key Generator'!D480)</f>
        <v>1</v>
      </c>
      <c r="D645" s="88">
        <f>--_xlfn.XOR(D637,'Key Generator'!E480)</f>
        <v>0</v>
      </c>
      <c r="E645" s="88">
        <f>--_xlfn.XOR(E637,'Key Generator'!F480)</f>
        <v>1</v>
      </c>
      <c r="F645" s="88">
        <f>--_xlfn.XOR(F637,'Key Generator'!G480)</f>
        <v>1</v>
      </c>
      <c r="G645" s="88">
        <f>--_xlfn.XOR(G637,'Key Generator'!H480)</f>
        <v>0</v>
      </c>
      <c r="H645" s="88">
        <f>--_xlfn.XOR(H637,'Key Generator'!I480)</f>
        <v>1</v>
      </c>
      <c r="I645" s="87">
        <f>--_xlfn.XOR(I637,'Key Generator'!J480)</f>
        <v>0</v>
      </c>
      <c r="J645" s="87">
        <f>--_xlfn.XOR(J637,'Key Generator'!K480)</f>
        <v>0</v>
      </c>
      <c r="K645" s="87">
        <f>--_xlfn.XOR(K637,'Key Generator'!L480)</f>
        <v>1</v>
      </c>
      <c r="L645" s="87">
        <f>--_xlfn.XOR(L637,'Key Generator'!M480)</f>
        <v>1</v>
      </c>
      <c r="M645" s="87">
        <f>--_xlfn.XOR(M637,'Key Generator'!N480)</f>
        <v>1</v>
      </c>
      <c r="N645" s="87">
        <f>--_xlfn.XOR(N637,'Key Generator'!O480)</f>
        <v>0</v>
      </c>
      <c r="O645" s="89">
        <f>--_xlfn.XOR(O637,'Key Generator'!P480)</f>
        <v>1</v>
      </c>
      <c r="P645" s="89">
        <f>--_xlfn.XOR(P637,'Key Generator'!Q480)</f>
        <v>1</v>
      </c>
      <c r="Q645" s="89">
        <f>--_xlfn.XOR(Q637,'Key Generator'!R480)</f>
        <v>1</v>
      </c>
      <c r="R645" s="89">
        <f>--_xlfn.XOR(R637,'Key Generator'!S480)</f>
        <v>0</v>
      </c>
      <c r="S645" s="89">
        <f>--_xlfn.XOR(S637,'Key Generator'!T480)</f>
        <v>1</v>
      </c>
      <c r="T645" s="89">
        <f>--_xlfn.XOR(T637,'Key Generator'!U480)</f>
        <v>1</v>
      </c>
      <c r="U645" s="90">
        <f>--_xlfn.XOR(U637,'Key Generator'!V480)</f>
        <v>1</v>
      </c>
      <c r="V645" s="90">
        <f>--_xlfn.XOR(V637,'Key Generator'!W480)</f>
        <v>1</v>
      </c>
      <c r="W645" s="90">
        <f>--_xlfn.XOR(W637,'Key Generator'!X480)</f>
        <v>1</v>
      </c>
      <c r="X645" s="90">
        <f>--_xlfn.XOR(X637,'Key Generator'!Y480)</f>
        <v>0</v>
      </c>
      <c r="Y645" s="90">
        <f>--_xlfn.XOR(Y637,'Key Generator'!Z480)</f>
        <v>0</v>
      </c>
      <c r="Z645" s="90">
        <f>--_xlfn.XOR(Z637,'Key Generator'!AA480)</f>
        <v>1</v>
      </c>
      <c r="AA645" s="91">
        <f>--_xlfn.XOR(AA637,'Key Generator'!AB480)</f>
        <v>0</v>
      </c>
      <c r="AB645" s="91">
        <f>--_xlfn.XOR(AB637,'Key Generator'!AC480)</f>
        <v>1</v>
      </c>
      <c r="AC645" s="91">
        <f>--_xlfn.XOR(AC637,'Key Generator'!AD480)</f>
        <v>0</v>
      </c>
      <c r="AD645" s="91">
        <f>--_xlfn.XOR(AD637,'Key Generator'!AE480)</f>
        <v>0</v>
      </c>
      <c r="AE645" s="91">
        <f>--_xlfn.XOR(AE637,'Key Generator'!AF480)</f>
        <v>0</v>
      </c>
      <c r="AF645" s="91">
        <f>--_xlfn.XOR(AF637,'Key Generator'!AG480)</f>
        <v>1</v>
      </c>
      <c r="AG645" s="92">
        <f>--_xlfn.XOR(AG637,'Key Generator'!AH480)</f>
        <v>0</v>
      </c>
      <c r="AH645" s="92">
        <f>--_xlfn.XOR(AH637,'Key Generator'!AI480)</f>
        <v>1</v>
      </c>
      <c r="AI645" s="92">
        <f>--_xlfn.XOR(AI637,'Key Generator'!AJ480)</f>
        <v>1</v>
      </c>
      <c r="AJ645" s="92">
        <f>--_xlfn.XOR(AJ637,'Key Generator'!AK480)</f>
        <v>0</v>
      </c>
      <c r="AK645" s="92">
        <f>--_xlfn.XOR(AK637,'Key Generator'!AL480)</f>
        <v>0</v>
      </c>
      <c r="AL645" s="92">
        <f>--_xlfn.XOR(AL637,'Key Generator'!AM480)</f>
        <v>0</v>
      </c>
      <c r="AM645" s="86">
        <f>--_xlfn.XOR(AM637,'Key Generator'!AN480)</f>
        <v>1</v>
      </c>
      <c r="AN645" s="86">
        <f>--_xlfn.XOR(AN637,'Key Generator'!AO480)</f>
        <v>0</v>
      </c>
      <c r="AO645" s="86">
        <f>--_xlfn.XOR(AO637,'Key Generator'!AP480)</f>
        <v>1</v>
      </c>
      <c r="AP645" s="86">
        <f>--_xlfn.XOR(AP637,'Key Generator'!AQ480)</f>
        <v>0</v>
      </c>
      <c r="AQ645" s="86">
        <f>--_xlfn.XOR(AQ637,'Key Generator'!AR480)</f>
        <v>1</v>
      </c>
      <c r="AR645" s="86">
        <f>--_xlfn.XOR(AR637,'Key Generator'!AS480)</f>
        <v>1</v>
      </c>
      <c r="AS645" s="81">
        <f>--_xlfn.XOR(AS637,'Key Generator'!AT480)</f>
        <v>1</v>
      </c>
      <c r="AT645" s="81">
        <f>--_xlfn.XOR(AT637,'Key Generator'!AU480)</f>
        <v>1</v>
      </c>
      <c r="AU645" s="81">
        <f>--_xlfn.XOR(AU637,'Key Generator'!AV480)</f>
        <v>1</v>
      </c>
      <c r="AV645" s="81">
        <f>--_xlfn.XOR(AV637,'Key Generator'!AW480)</f>
        <v>1</v>
      </c>
      <c r="AW645" s="81">
        <f>--_xlfn.XOR(AW637,'Key Generator'!AX480)</f>
        <v>0</v>
      </c>
      <c r="AX645" s="81">
        <f>--_xlfn.XOR(AX637,'Key Generator'!AY480)</f>
        <v>1</v>
      </c>
      <c r="AZ645" s="20"/>
      <c r="BA645" s="20"/>
      <c r="BB645" s="20"/>
      <c r="BC645" s="20"/>
    </row>
    <row r="646" spans="1:55" ht="24.95" customHeight="1" x14ac:dyDescent="0.25">
      <c r="C646" s="93"/>
      <c r="D646" s="94"/>
      <c r="E646" s="94"/>
      <c r="F646" s="94"/>
      <c r="G646" s="94"/>
      <c r="H646" s="94"/>
      <c r="AZ646" s="20"/>
      <c r="BA646" s="20"/>
      <c r="BB646" s="20"/>
      <c r="BC646" s="20"/>
    </row>
    <row r="647" spans="1:55" ht="24.95" customHeight="1" x14ac:dyDescent="0.25">
      <c r="A647" s="96" t="s">
        <v>545</v>
      </c>
      <c r="B647" s="97"/>
      <c r="C647" s="101">
        <f>D645*8+E645*4+F645*2+G645</f>
        <v>6</v>
      </c>
      <c r="D647" s="123" t="s">
        <v>536</v>
      </c>
      <c r="E647" s="97"/>
      <c r="F647" s="97"/>
      <c r="G647" s="97"/>
      <c r="H647" s="97"/>
      <c r="I647" s="101">
        <f>J645*8+K645*4+L645*2+M645</f>
        <v>7</v>
      </c>
      <c r="J647" s="122" t="s">
        <v>537</v>
      </c>
      <c r="K647" s="97"/>
      <c r="L647" s="97"/>
      <c r="M647" s="97"/>
      <c r="N647" s="97"/>
      <c r="O647" s="101">
        <f>P645*8+Q645*4+R645*2+S645</f>
        <v>13</v>
      </c>
      <c r="P647" s="122" t="s">
        <v>538</v>
      </c>
      <c r="Q647" s="97"/>
      <c r="R647" s="97"/>
      <c r="S647" s="97"/>
      <c r="T647" s="97"/>
      <c r="U647" s="101">
        <f>V645*8+W645*4+X645*2+Y645</f>
        <v>12</v>
      </c>
      <c r="V647" s="122" t="s">
        <v>539</v>
      </c>
      <c r="W647" s="97"/>
      <c r="X647" s="97"/>
      <c r="Y647" s="97"/>
      <c r="Z647" s="97"/>
      <c r="AA647" s="101">
        <f>AB645*8+AC645*4+AD645*2+AE645</f>
        <v>8</v>
      </c>
      <c r="AB647" s="122" t="s">
        <v>540</v>
      </c>
      <c r="AC647" s="97"/>
      <c r="AD647" s="97"/>
      <c r="AE647" s="97"/>
      <c r="AF647" s="97"/>
      <c r="AG647" s="101">
        <f>AH645*8+AI645*4+AJ645*2+AK645</f>
        <v>12</v>
      </c>
      <c r="AH647" s="122" t="s">
        <v>541</v>
      </c>
      <c r="AI647" s="97"/>
      <c r="AJ647" s="97"/>
      <c r="AK647" s="97"/>
      <c r="AL647" s="97"/>
      <c r="AM647" s="101">
        <f>AN645*8+AO645*4+AP645*2+AQ645</f>
        <v>5</v>
      </c>
      <c r="AN647" s="122" t="s">
        <v>542</v>
      </c>
      <c r="AO647" s="97"/>
      <c r="AP647" s="97"/>
      <c r="AQ647" s="97"/>
      <c r="AR647" s="97"/>
      <c r="AS647" s="101">
        <f>AT645*8+AU645*4+AV645*2+AW645</f>
        <v>14</v>
      </c>
      <c r="AT647" s="122" t="s">
        <v>543</v>
      </c>
      <c r="AU647" s="97"/>
      <c r="AV647" s="97"/>
      <c r="AW647" s="97"/>
      <c r="AX647" s="97"/>
      <c r="AY647" s="97"/>
      <c r="AZ647" s="20"/>
      <c r="BA647" s="20"/>
      <c r="BB647" s="20"/>
      <c r="BC647" s="20"/>
    </row>
    <row r="648" spans="1:55" ht="24.95" customHeight="1" x14ac:dyDescent="0.25">
      <c r="A648" s="100" t="s">
        <v>546</v>
      </c>
      <c r="B648" s="99"/>
      <c r="C648" s="87">
        <f>C645*2+H645</f>
        <v>3</v>
      </c>
      <c r="D648" s="98"/>
      <c r="E648" s="98"/>
      <c r="F648" s="99"/>
      <c r="G648" s="99"/>
      <c r="H648" s="99"/>
      <c r="I648" s="87">
        <f>I645*2+N645</f>
        <v>0</v>
      </c>
      <c r="J648" s="99"/>
      <c r="K648" s="99"/>
      <c r="L648" s="99"/>
      <c r="M648" s="99"/>
      <c r="N648" s="99"/>
      <c r="O648" s="87">
        <f>O645*2+T645</f>
        <v>3</v>
      </c>
      <c r="P648" s="99"/>
      <c r="Q648" s="99"/>
      <c r="R648" s="99"/>
      <c r="S648" s="99"/>
      <c r="T648" s="99"/>
      <c r="U648" s="87">
        <f>U645*2+Z645</f>
        <v>3</v>
      </c>
      <c r="V648" s="99"/>
      <c r="W648" s="99"/>
      <c r="X648" s="99"/>
      <c r="Y648" s="99"/>
      <c r="Z648" s="99"/>
      <c r="AA648" s="87">
        <f>AA645*2+AF645</f>
        <v>1</v>
      </c>
      <c r="AB648" s="99"/>
      <c r="AC648" s="99"/>
      <c r="AD648" s="99"/>
      <c r="AE648" s="99"/>
      <c r="AF648" s="99"/>
      <c r="AG648" s="87">
        <f>AG645*2+AL645</f>
        <v>0</v>
      </c>
      <c r="AH648" s="99"/>
      <c r="AI648" s="99"/>
      <c r="AJ648" s="99"/>
      <c r="AK648" s="99"/>
      <c r="AL648" s="99"/>
      <c r="AM648" s="87">
        <f>AM645*2+AR645</f>
        <v>3</v>
      </c>
      <c r="AN648" s="99"/>
      <c r="AO648" s="99"/>
      <c r="AP648" s="99"/>
      <c r="AQ648" s="99"/>
      <c r="AR648" s="99"/>
      <c r="AS648" s="87">
        <f>AS645*2+AX645</f>
        <v>3</v>
      </c>
      <c r="AT648" s="99"/>
      <c r="AU648" s="99"/>
      <c r="AV648" s="99"/>
      <c r="AW648" s="99"/>
      <c r="AX648" s="99"/>
      <c r="AY648" s="99"/>
      <c r="AZ648" s="20"/>
      <c r="BA648" s="20"/>
      <c r="BB648" s="20"/>
      <c r="BC648" s="20"/>
    </row>
    <row r="649" spans="1:55" ht="24.95" customHeight="1" x14ac:dyDescent="0.25">
      <c r="AZ649" s="20"/>
      <c r="BA649" s="20"/>
      <c r="BB649" s="20"/>
      <c r="BC649" s="20"/>
    </row>
    <row r="650" spans="1:55" ht="24.95" customHeight="1" x14ac:dyDescent="0.25">
      <c r="A650" s="117" t="s">
        <v>547</v>
      </c>
      <c r="C650" s="72">
        <f>INDEX('S-Box'!D3:S6,'DES-Enc'!C648+1,'DES-Enc'!C647+1)</f>
        <v>1</v>
      </c>
      <c r="I650" s="102">
        <f>INDEX('S-Box'!D9:S12,'DES-Enc'!I648+1,'DES-Enc'!I647+1)</f>
        <v>4</v>
      </c>
      <c r="O650" s="102">
        <f>INDEX('S-Box'!D15:S18,'DES-Enc'!O648+1,'DES-Enc'!O647+1)</f>
        <v>5</v>
      </c>
      <c r="U650" s="102">
        <f>INDEX('S-Box'!D21:S24,'DES-Enc'!U648+1,'DES-Enc'!U647+1)</f>
        <v>12</v>
      </c>
      <c r="AA650" s="102">
        <f>INDEX('S-Box'!D27:S30,'DES-Enc'!AA648+1,'DES-Enc'!AA647+1)</f>
        <v>5</v>
      </c>
      <c r="AG650" s="102">
        <f>INDEX('S-Box'!D33:S36,'DES-Enc'!AG648+1,'DES-Enc'!AG647+1)</f>
        <v>14</v>
      </c>
      <c r="AM650" s="102">
        <f>INDEX('S-Box'!D39:S42,'DES-Enc'!AM648+1,'DES-Enc'!AM647+1)</f>
        <v>4</v>
      </c>
      <c r="AS650" s="102">
        <f>INDEX('S-Box'!D45:S48,'DES-Enc'!AS648+1,'DES-Enc'!AS647+1)</f>
        <v>6</v>
      </c>
      <c r="AZ650" s="20"/>
      <c r="BA650" s="20"/>
      <c r="BB650" s="20"/>
      <c r="BC650" s="20"/>
    </row>
    <row r="651" spans="1:55" ht="24.95" customHeight="1" x14ac:dyDescent="0.25">
      <c r="C651" s="104"/>
      <c r="I651" s="95"/>
      <c r="O651" s="95"/>
      <c r="U651" s="95"/>
      <c r="AA651" s="95"/>
      <c r="AG651" s="95"/>
      <c r="AM651" s="95"/>
      <c r="AS651" s="95"/>
    </row>
    <row r="652" spans="1:55" ht="24.95" customHeight="1" x14ac:dyDescent="0.25">
      <c r="C652" s="105" t="str">
        <f>MID(DEC2BIN(C650,4),1,1)</f>
        <v>0</v>
      </c>
      <c r="D652" s="106" t="str">
        <f>MID(DEC2BIN(C650,4),2,1)</f>
        <v>0</v>
      </c>
      <c r="E652" s="106" t="str">
        <f>MID(DEC2BIN(C650,4),3,1)</f>
        <v>0</v>
      </c>
      <c r="F652" s="107" t="str">
        <f>MID(DEC2BIN(C650,4),4,1)</f>
        <v>1</v>
      </c>
      <c r="I652" s="105" t="str">
        <f>MID(DEC2BIN(I650,4),1,1)</f>
        <v>0</v>
      </c>
      <c r="J652" s="106" t="str">
        <f>MID(DEC2BIN(I650,4),2,1)</f>
        <v>1</v>
      </c>
      <c r="K652" s="106" t="str">
        <f>MID(DEC2BIN(I650,4),3,1)</f>
        <v>0</v>
      </c>
      <c r="L652" s="107" t="str">
        <f>MID(DEC2BIN(I650,4),4,1)</f>
        <v>0</v>
      </c>
      <c r="O652" s="105" t="str">
        <f>MID(DEC2BIN(O650,4),1,1)</f>
        <v>0</v>
      </c>
      <c r="P652" s="106" t="str">
        <f>MID(DEC2BIN(O650,4),2,1)</f>
        <v>1</v>
      </c>
      <c r="Q652" s="106" t="str">
        <f>MID(DEC2BIN(O650,4),3,1)</f>
        <v>0</v>
      </c>
      <c r="R652" s="107" t="str">
        <f>MID(DEC2BIN(O650,4),4,1)</f>
        <v>1</v>
      </c>
      <c r="U652" s="105" t="str">
        <f>MID(DEC2BIN(U650,4),1,1)</f>
        <v>1</v>
      </c>
      <c r="V652" s="106" t="str">
        <f>MID(DEC2BIN(U650,4),2,1)</f>
        <v>1</v>
      </c>
      <c r="W652" s="106" t="str">
        <f>MID(DEC2BIN(U650,4),3,1)</f>
        <v>0</v>
      </c>
      <c r="X652" s="107" t="str">
        <f>MID(DEC2BIN(U650,4),4,1)</f>
        <v>0</v>
      </c>
      <c r="AA652" s="105" t="str">
        <f>MID(DEC2BIN(AA650,4),1,1)</f>
        <v>0</v>
      </c>
      <c r="AB652" s="106" t="str">
        <f>MID(DEC2BIN(AA650,4),2,1)</f>
        <v>1</v>
      </c>
      <c r="AC652" s="106" t="str">
        <f>MID(DEC2BIN(AA650,4),3,1)</f>
        <v>0</v>
      </c>
      <c r="AD652" s="107" t="str">
        <f>MID(DEC2BIN(AA650,4),4,1)</f>
        <v>1</v>
      </c>
      <c r="AG652" s="105" t="str">
        <f>MID(DEC2BIN(AG650,4),1,1)</f>
        <v>1</v>
      </c>
      <c r="AH652" s="106" t="str">
        <f>MID(DEC2BIN(AG650,4),2,1)</f>
        <v>1</v>
      </c>
      <c r="AI652" s="106" t="str">
        <f>MID(DEC2BIN(AG650,4),3,1)</f>
        <v>1</v>
      </c>
      <c r="AJ652" s="107" t="str">
        <f>MID(DEC2BIN(AG650,4),4,1)</f>
        <v>0</v>
      </c>
      <c r="AM652" s="105" t="str">
        <f>MID(DEC2BIN(AM650,4),1,1)</f>
        <v>0</v>
      </c>
      <c r="AN652" s="106" t="str">
        <f>MID(DEC2BIN(AM650,4),2,1)</f>
        <v>1</v>
      </c>
      <c r="AO652" s="106" t="str">
        <f>MID(DEC2BIN(AM650,4),3,1)</f>
        <v>0</v>
      </c>
      <c r="AP652" s="107" t="str">
        <f>MID(DEC2BIN(AM650,4),4,1)</f>
        <v>0</v>
      </c>
      <c r="AS652" s="105" t="str">
        <f>MID(DEC2BIN(AS650,4),1,1)</f>
        <v>0</v>
      </c>
      <c r="AT652" s="106" t="str">
        <f>MID(DEC2BIN(AS650,4),2,1)</f>
        <v>1</v>
      </c>
      <c r="AU652" s="106" t="str">
        <f>MID(DEC2BIN(AS650,4),3,1)</f>
        <v>1</v>
      </c>
      <c r="AV652" s="107" t="str">
        <f>MID(DEC2BIN(AS650,4),4,1)</f>
        <v>0</v>
      </c>
    </row>
    <row r="653" spans="1:55" ht="24.95" customHeight="1" x14ac:dyDescent="0.25">
      <c r="C653" s="21">
        <f>VALUE(C652)</f>
        <v>0</v>
      </c>
      <c r="D653" s="21">
        <f t="shared" ref="D653" si="1884">VALUE(D652)</f>
        <v>0</v>
      </c>
      <c r="E653" s="21">
        <f t="shared" ref="E653" si="1885">VALUE(E652)</f>
        <v>0</v>
      </c>
      <c r="F653" s="21">
        <f t="shared" ref="F653" si="1886">VALUE(F652)</f>
        <v>1</v>
      </c>
      <c r="I653" s="21">
        <f t="shared" ref="I653" si="1887">VALUE(I652)</f>
        <v>0</v>
      </c>
      <c r="J653" s="21">
        <f t="shared" ref="J653" si="1888">VALUE(J652)</f>
        <v>1</v>
      </c>
      <c r="K653" s="21">
        <f t="shared" ref="K653" si="1889">VALUE(K652)</f>
        <v>0</v>
      </c>
      <c r="L653" s="21">
        <f t="shared" ref="L653" si="1890">VALUE(L652)</f>
        <v>0</v>
      </c>
      <c r="O653" s="21">
        <f>VALUE(O652)</f>
        <v>0</v>
      </c>
      <c r="P653" s="21">
        <f t="shared" ref="P653" si="1891">VALUE(P652)</f>
        <v>1</v>
      </c>
      <c r="Q653" s="21">
        <f t="shared" ref="Q653" si="1892">VALUE(Q652)</f>
        <v>0</v>
      </c>
      <c r="R653" s="21">
        <f t="shared" ref="R653" si="1893">VALUE(R652)</f>
        <v>1</v>
      </c>
      <c r="U653" s="21">
        <f>VALUE(U652)</f>
        <v>1</v>
      </c>
      <c r="V653" s="21">
        <f t="shared" ref="V653" si="1894">VALUE(V652)</f>
        <v>1</v>
      </c>
      <c r="W653" s="21">
        <f t="shared" ref="W653" si="1895">VALUE(W652)</f>
        <v>0</v>
      </c>
      <c r="X653" s="21">
        <f t="shared" ref="X653" si="1896">VALUE(X652)</f>
        <v>0</v>
      </c>
      <c r="AA653" s="21">
        <f>VALUE(AA652)</f>
        <v>0</v>
      </c>
      <c r="AB653" s="21">
        <f t="shared" ref="AB653" si="1897">VALUE(AB652)</f>
        <v>1</v>
      </c>
      <c r="AC653" s="21">
        <f t="shared" ref="AC653" si="1898">VALUE(AC652)</f>
        <v>0</v>
      </c>
      <c r="AD653" s="21">
        <f t="shared" ref="AD653" si="1899">VALUE(AD652)</f>
        <v>1</v>
      </c>
      <c r="AG653" s="21">
        <f>VALUE(AG652)</f>
        <v>1</v>
      </c>
      <c r="AH653" s="21">
        <f t="shared" ref="AH653" si="1900">VALUE(AH652)</f>
        <v>1</v>
      </c>
      <c r="AI653" s="21">
        <f t="shared" ref="AI653" si="1901">VALUE(AI652)</f>
        <v>1</v>
      </c>
      <c r="AJ653" s="21">
        <f t="shared" ref="AJ653" si="1902">VALUE(AJ652)</f>
        <v>0</v>
      </c>
      <c r="AM653" s="21">
        <f>VALUE(AM652)</f>
        <v>0</v>
      </c>
      <c r="AN653" s="21">
        <f t="shared" ref="AN653" si="1903">VALUE(AN652)</f>
        <v>1</v>
      </c>
      <c r="AO653" s="21">
        <f t="shared" ref="AO653" si="1904">VALUE(AO652)</f>
        <v>0</v>
      </c>
      <c r="AP653" s="21">
        <f t="shared" ref="AP653" si="1905">VALUE(AP652)</f>
        <v>0</v>
      </c>
      <c r="AS653" s="21">
        <f>VALUE(AS652)</f>
        <v>0</v>
      </c>
      <c r="AT653" s="21">
        <f t="shared" ref="AT653" si="1906">VALUE(AT652)</f>
        <v>1</v>
      </c>
      <c r="AU653" s="21">
        <f t="shared" ref="AU653" si="1907">VALUE(AU652)</f>
        <v>1</v>
      </c>
      <c r="AV653" s="21">
        <f t="shared" ref="AV653" si="1908">VALUE(AV652)</f>
        <v>0</v>
      </c>
    </row>
    <row r="654" spans="1:55" ht="24.95" customHeight="1" x14ac:dyDescent="0.25">
      <c r="A654" s="111" t="s">
        <v>588</v>
      </c>
      <c r="B654" s="111"/>
      <c r="C654" s="111">
        <v>1</v>
      </c>
      <c r="D654" s="76">
        <v>2</v>
      </c>
      <c r="E654" s="111">
        <v>3</v>
      </c>
      <c r="F654" s="76">
        <v>4</v>
      </c>
      <c r="G654" s="111">
        <v>5</v>
      </c>
      <c r="H654" s="76">
        <v>6</v>
      </c>
      <c r="I654" s="111">
        <v>7</v>
      </c>
      <c r="J654" s="76">
        <v>8</v>
      </c>
      <c r="K654" s="111">
        <v>9</v>
      </c>
      <c r="L654" s="76">
        <v>10</v>
      </c>
      <c r="M654" s="111">
        <v>11</v>
      </c>
      <c r="N654" s="76">
        <v>12</v>
      </c>
      <c r="O654" s="111">
        <v>13</v>
      </c>
      <c r="P654" s="76">
        <v>14</v>
      </c>
      <c r="Q654" s="111">
        <v>15</v>
      </c>
      <c r="R654" s="76">
        <v>16</v>
      </c>
      <c r="S654" s="111">
        <v>17</v>
      </c>
      <c r="T654" s="76">
        <v>18</v>
      </c>
      <c r="U654" s="111">
        <v>19</v>
      </c>
      <c r="V654" s="76">
        <v>20</v>
      </c>
      <c r="W654" s="111">
        <v>21</v>
      </c>
      <c r="X654" s="76">
        <v>22</v>
      </c>
      <c r="Y654" s="111">
        <v>23</v>
      </c>
      <c r="Z654" s="76">
        <v>24</v>
      </c>
      <c r="AA654" s="111">
        <v>25</v>
      </c>
      <c r="AB654" s="76">
        <v>26</v>
      </c>
      <c r="AC654" s="111">
        <v>27</v>
      </c>
      <c r="AD654" s="76">
        <v>28</v>
      </c>
      <c r="AE654" s="111">
        <v>29</v>
      </c>
      <c r="AF654" s="76">
        <v>30</v>
      </c>
      <c r="AG654" s="111">
        <v>31</v>
      </c>
      <c r="AH654" s="76">
        <v>32</v>
      </c>
    </row>
    <row r="655" spans="1:55" ht="24.95" customHeight="1" x14ac:dyDescent="0.25">
      <c r="C655" s="108">
        <f>C653</f>
        <v>0</v>
      </c>
      <c r="D655" s="108">
        <f t="shared" ref="D655:F655" si="1909">D653</f>
        <v>0</v>
      </c>
      <c r="E655" s="108">
        <f t="shared" si="1909"/>
        <v>0</v>
      </c>
      <c r="F655" s="108">
        <f t="shared" si="1909"/>
        <v>1</v>
      </c>
      <c r="G655" s="23">
        <f>I653</f>
        <v>0</v>
      </c>
      <c r="H655" s="23">
        <f t="shared" ref="H655" si="1910">J653</f>
        <v>1</v>
      </c>
      <c r="I655" s="23">
        <f t="shared" ref="I655" si="1911">K653</f>
        <v>0</v>
      </c>
      <c r="J655" s="23">
        <f t="shared" ref="J655" si="1912">L653</f>
        <v>0</v>
      </c>
      <c r="K655" s="23">
        <f>O653</f>
        <v>0</v>
      </c>
      <c r="L655" s="23">
        <f t="shared" ref="L655" si="1913">P653</f>
        <v>1</v>
      </c>
      <c r="M655" s="23">
        <f t="shared" ref="M655" si="1914">Q653</f>
        <v>0</v>
      </c>
      <c r="N655" s="23">
        <f t="shared" ref="N655" si="1915">R653</f>
        <v>1</v>
      </c>
      <c r="O655" s="23">
        <f>U653</f>
        <v>1</v>
      </c>
      <c r="P655" s="23">
        <f t="shared" ref="P655" si="1916">V653</f>
        <v>1</v>
      </c>
      <c r="Q655" s="23">
        <f t="shared" ref="Q655" si="1917">W653</f>
        <v>0</v>
      </c>
      <c r="R655" s="23">
        <f t="shared" ref="R655" si="1918">X653</f>
        <v>0</v>
      </c>
      <c r="S655" s="23">
        <f>AA653</f>
        <v>0</v>
      </c>
      <c r="T655" s="23">
        <f t="shared" ref="T655" si="1919">AB653</f>
        <v>1</v>
      </c>
      <c r="U655" s="23">
        <f t="shared" ref="U655" si="1920">AC653</f>
        <v>0</v>
      </c>
      <c r="V655" s="23">
        <f t="shared" ref="V655" si="1921">AD653</f>
        <v>1</v>
      </c>
      <c r="W655" s="23">
        <f>AG653</f>
        <v>1</v>
      </c>
      <c r="X655" s="23">
        <f t="shared" ref="X655" si="1922">AH653</f>
        <v>1</v>
      </c>
      <c r="Y655" s="23">
        <f t="shared" ref="Y655" si="1923">AI653</f>
        <v>1</v>
      </c>
      <c r="Z655" s="23">
        <f t="shared" ref="Z655" si="1924">AJ653</f>
        <v>0</v>
      </c>
      <c r="AA655" s="23">
        <f>AM653</f>
        <v>0</v>
      </c>
      <c r="AB655" s="23">
        <f t="shared" ref="AB655" si="1925">AN653</f>
        <v>1</v>
      </c>
      <c r="AC655" s="23">
        <f t="shared" ref="AC655" si="1926">AO653</f>
        <v>0</v>
      </c>
      <c r="AD655" s="23">
        <f t="shared" ref="AD655" si="1927">AP653</f>
        <v>0</v>
      </c>
      <c r="AE655" s="23">
        <f>AS653</f>
        <v>0</v>
      </c>
      <c r="AF655" s="23">
        <f t="shared" ref="AF655" si="1928">AT653</f>
        <v>1</v>
      </c>
      <c r="AG655" s="23">
        <f t="shared" ref="AG655" si="1929">AU653</f>
        <v>1</v>
      </c>
      <c r="AH655" s="23">
        <f t="shared" ref="AH655" si="1930">AV653</f>
        <v>0</v>
      </c>
    </row>
    <row r="657" spans="1:35" ht="24.95" customHeight="1" x14ac:dyDescent="0.25">
      <c r="A657" s="110" t="s">
        <v>548</v>
      </c>
      <c r="B657" s="110"/>
      <c r="C657" s="109">
        <v>16</v>
      </c>
      <c r="D657" s="110">
        <v>7</v>
      </c>
      <c r="E657" s="110">
        <v>20</v>
      </c>
      <c r="F657" s="110">
        <v>21</v>
      </c>
      <c r="G657" s="110">
        <v>29</v>
      </c>
      <c r="H657" s="110">
        <v>12</v>
      </c>
      <c r="I657" s="110">
        <v>28</v>
      </c>
      <c r="J657" s="110">
        <v>17</v>
      </c>
      <c r="K657" s="110">
        <v>1</v>
      </c>
      <c r="L657" s="110">
        <v>15</v>
      </c>
      <c r="M657" s="110">
        <v>23</v>
      </c>
      <c r="N657" s="110">
        <v>26</v>
      </c>
      <c r="O657" s="110">
        <v>5</v>
      </c>
      <c r="P657" s="110">
        <v>18</v>
      </c>
      <c r="Q657" s="110">
        <v>31</v>
      </c>
      <c r="R657" s="110">
        <v>10</v>
      </c>
      <c r="S657" s="110">
        <v>2</v>
      </c>
      <c r="T657" s="110">
        <v>8</v>
      </c>
      <c r="U657" s="110">
        <v>24</v>
      </c>
      <c r="V657" s="110">
        <v>14</v>
      </c>
      <c r="W657" s="110">
        <v>32</v>
      </c>
      <c r="X657" s="110">
        <v>27</v>
      </c>
      <c r="Y657" s="110">
        <v>3</v>
      </c>
      <c r="Z657" s="110">
        <v>9</v>
      </c>
      <c r="AA657" s="110">
        <v>19</v>
      </c>
      <c r="AB657" s="110">
        <v>13</v>
      </c>
      <c r="AC657" s="110">
        <v>30</v>
      </c>
      <c r="AD657" s="110">
        <v>6</v>
      </c>
      <c r="AE657" s="110">
        <v>22</v>
      </c>
      <c r="AF657" s="110">
        <v>11</v>
      </c>
      <c r="AG657" s="110">
        <v>4</v>
      </c>
      <c r="AH657" s="110">
        <v>25</v>
      </c>
    </row>
    <row r="658" spans="1:35" ht="24.95" customHeight="1" x14ac:dyDescent="0.25">
      <c r="C658" s="103">
        <f>K655</f>
        <v>0</v>
      </c>
      <c r="D658" s="103">
        <f>S655</f>
        <v>0</v>
      </c>
      <c r="E658" s="103">
        <f>Y655</f>
        <v>1</v>
      </c>
      <c r="F658" s="112">
        <f>AG655</f>
        <v>1</v>
      </c>
      <c r="G658" s="103">
        <f>O655</f>
        <v>1</v>
      </c>
      <c r="H658" s="103">
        <f>AD655</f>
        <v>0</v>
      </c>
      <c r="I658" s="103">
        <f>D655</f>
        <v>0</v>
      </c>
      <c r="J658" s="103">
        <f>T655</f>
        <v>1</v>
      </c>
      <c r="K658" s="103">
        <f>Z655</f>
        <v>0</v>
      </c>
      <c r="L658" s="103">
        <f>R655</f>
        <v>0</v>
      </c>
      <c r="M658" s="103">
        <f>AF655</f>
        <v>1</v>
      </c>
      <c r="N658" s="103">
        <f>H655</f>
        <v>1</v>
      </c>
      <c r="O658" s="103">
        <f>AB655</f>
        <v>1</v>
      </c>
      <c r="P658" s="103">
        <f>V655</f>
        <v>1</v>
      </c>
      <c r="Q658" s="103">
        <f>L655</f>
        <v>1</v>
      </c>
      <c r="R658" s="103">
        <f>C655</f>
        <v>0</v>
      </c>
      <c r="S658" s="103">
        <f>J655</f>
        <v>0</v>
      </c>
      <c r="T658" s="103">
        <f>P655</f>
        <v>1</v>
      </c>
      <c r="U658" s="103">
        <f>AA655</f>
        <v>0</v>
      </c>
      <c r="V658" s="103">
        <f>E655</f>
        <v>0</v>
      </c>
      <c r="W658" s="103">
        <f>F655</f>
        <v>1</v>
      </c>
      <c r="X658" s="103">
        <f>AE655</f>
        <v>0</v>
      </c>
      <c r="Y658" s="103">
        <f>M655</f>
        <v>0</v>
      </c>
      <c r="Z658" s="103">
        <f>U655</f>
        <v>0</v>
      </c>
      <c r="AA658" s="103">
        <f>AH655</f>
        <v>0</v>
      </c>
      <c r="AB658" s="103">
        <f>N655</f>
        <v>1</v>
      </c>
      <c r="AC658" s="103">
        <f>X655</f>
        <v>1</v>
      </c>
      <c r="AD658" s="103">
        <f>I655</f>
        <v>0</v>
      </c>
      <c r="AE658" s="103">
        <f>G655</f>
        <v>0</v>
      </c>
      <c r="AF658" s="103">
        <f>AC655</f>
        <v>0</v>
      </c>
      <c r="AG658" s="103">
        <f>Q655</f>
        <v>0</v>
      </c>
      <c r="AH658" s="103">
        <f>W655</f>
        <v>1</v>
      </c>
    </row>
    <row r="659" spans="1:35" ht="24.95" customHeight="1" x14ac:dyDescent="0.25">
      <c r="C659" s="130">
        <v>1</v>
      </c>
      <c r="D659" s="131">
        <v>2</v>
      </c>
      <c r="E659" s="130">
        <v>3</v>
      </c>
      <c r="F659" s="131">
        <v>4</v>
      </c>
      <c r="G659" s="130">
        <v>5</v>
      </c>
      <c r="H659" s="131">
        <v>6</v>
      </c>
      <c r="I659" s="130">
        <v>7</v>
      </c>
      <c r="J659" s="131">
        <v>8</v>
      </c>
      <c r="K659" s="130">
        <v>9</v>
      </c>
      <c r="L659" s="131">
        <v>10</v>
      </c>
      <c r="M659" s="130">
        <v>11</v>
      </c>
      <c r="N659" s="131">
        <v>12</v>
      </c>
      <c r="O659" s="130">
        <v>13</v>
      </c>
      <c r="P659" s="131">
        <v>14</v>
      </c>
      <c r="Q659" s="130">
        <v>15</v>
      </c>
      <c r="R659" s="131">
        <v>16</v>
      </c>
      <c r="S659" s="130">
        <v>17</v>
      </c>
      <c r="T659" s="131">
        <v>18</v>
      </c>
      <c r="U659" s="130">
        <v>19</v>
      </c>
      <c r="V659" s="131">
        <v>20</v>
      </c>
      <c r="W659" s="130">
        <v>21</v>
      </c>
      <c r="X659" s="131">
        <v>22</v>
      </c>
      <c r="Y659" s="130">
        <v>23</v>
      </c>
      <c r="Z659" s="131">
        <v>24</v>
      </c>
      <c r="AA659" s="130">
        <v>25</v>
      </c>
      <c r="AB659" s="131">
        <v>26</v>
      </c>
      <c r="AC659" s="130">
        <v>27</v>
      </c>
      <c r="AD659" s="131">
        <v>28</v>
      </c>
      <c r="AE659" s="130">
        <v>29</v>
      </c>
      <c r="AF659" s="131">
        <v>30</v>
      </c>
      <c r="AG659" s="130">
        <v>31</v>
      </c>
      <c r="AH659" s="131">
        <v>32</v>
      </c>
    </row>
    <row r="663" spans="1:35" ht="24.95" customHeight="1" x14ac:dyDescent="0.25">
      <c r="A663" s="114" t="s">
        <v>575</v>
      </c>
      <c r="B663" s="114"/>
      <c r="C663" s="114"/>
      <c r="D663" s="68">
        <v>1</v>
      </c>
      <c r="E663" s="68">
        <v>2</v>
      </c>
      <c r="F663" s="68">
        <v>3</v>
      </c>
      <c r="G663" s="68">
        <v>4</v>
      </c>
      <c r="H663" s="68">
        <v>5</v>
      </c>
      <c r="I663" s="68">
        <v>6</v>
      </c>
      <c r="J663" s="68">
        <v>7</v>
      </c>
      <c r="K663" s="68">
        <v>8</v>
      </c>
      <c r="L663" s="68">
        <v>9</v>
      </c>
      <c r="M663" s="68">
        <v>10</v>
      </c>
      <c r="N663" s="68">
        <v>11</v>
      </c>
      <c r="O663" s="68">
        <v>12</v>
      </c>
      <c r="P663" s="68">
        <v>13</v>
      </c>
      <c r="Q663" s="68">
        <v>14</v>
      </c>
      <c r="R663" s="68">
        <v>15</v>
      </c>
      <c r="S663" s="68">
        <v>16</v>
      </c>
      <c r="T663" s="68">
        <v>17</v>
      </c>
      <c r="U663" s="68">
        <v>18</v>
      </c>
      <c r="V663" s="68">
        <v>19</v>
      </c>
      <c r="W663" s="68">
        <v>20</v>
      </c>
      <c r="X663" s="68">
        <v>21</v>
      </c>
      <c r="Y663" s="68">
        <v>22</v>
      </c>
      <c r="Z663" s="68">
        <v>23</v>
      </c>
      <c r="AA663" s="68">
        <v>24</v>
      </c>
      <c r="AB663" s="68">
        <v>25</v>
      </c>
      <c r="AC663" s="68">
        <v>26</v>
      </c>
      <c r="AD663" s="68">
        <v>27</v>
      </c>
      <c r="AE663" s="68">
        <v>28</v>
      </c>
      <c r="AF663" s="68">
        <v>29</v>
      </c>
      <c r="AG663" s="68">
        <v>30</v>
      </c>
      <c r="AH663" s="68">
        <v>31</v>
      </c>
      <c r="AI663" s="68">
        <v>32</v>
      </c>
    </row>
    <row r="664" spans="1:35" ht="24.95" customHeight="1" x14ac:dyDescent="0.25">
      <c r="A664" s="64" t="s">
        <v>549</v>
      </c>
      <c r="D664" s="67">
        <f>C622</f>
        <v>0</v>
      </c>
      <c r="E664" s="68">
        <f t="shared" ref="E664" si="1931">D622</f>
        <v>1</v>
      </c>
      <c r="F664" s="68">
        <f t="shared" ref="F664" si="1932">E622</f>
        <v>0</v>
      </c>
      <c r="G664" s="68">
        <f t="shared" ref="G664" si="1933">F622</f>
        <v>0</v>
      </c>
      <c r="H664" s="68">
        <f t="shared" ref="H664" si="1934">G622</f>
        <v>0</v>
      </c>
      <c r="I664" s="68">
        <f t="shared" ref="I664" si="1935">H622</f>
        <v>1</v>
      </c>
      <c r="J664" s="68">
        <f t="shared" ref="J664" si="1936">I622</f>
        <v>1</v>
      </c>
      <c r="K664" s="68">
        <f t="shared" ref="K664" si="1937">J622</f>
        <v>0</v>
      </c>
      <c r="L664" s="68">
        <f t="shared" ref="L664" si="1938">K622</f>
        <v>0</v>
      </c>
      <c r="M664" s="68">
        <f t="shared" ref="M664" si="1939">L622</f>
        <v>1</v>
      </c>
      <c r="N664" s="68">
        <f t="shared" ref="N664" si="1940">M622</f>
        <v>0</v>
      </c>
      <c r="O664" s="68">
        <f t="shared" ref="O664" si="1941">N622</f>
        <v>1</v>
      </c>
      <c r="P664" s="68">
        <f t="shared" ref="P664" si="1942">O622</f>
        <v>1</v>
      </c>
      <c r="Q664" s="68">
        <f t="shared" ref="Q664" si="1943">P622</f>
        <v>1</v>
      </c>
      <c r="R664" s="68">
        <f t="shared" ref="R664" si="1944">Q622</f>
        <v>1</v>
      </c>
      <c r="S664" s="68">
        <f t="shared" ref="S664" si="1945">R622</f>
        <v>1</v>
      </c>
      <c r="T664" s="68">
        <f t="shared" ref="T664" si="1946">S622</f>
        <v>1</v>
      </c>
      <c r="U664" s="68">
        <f t="shared" ref="U664" si="1947">T622</f>
        <v>0</v>
      </c>
      <c r="V664" s="68">
        <f t="shared" ref="V664" si="1948">U622</f>
        <v>1</v>
      </c>
      <c r="W664" s="68">
        <f t="shared" ref="W664" si="1949">V622</f>
        <v>1</v>
      </c>
      <c r="X664" s="68">
        <f t="shared" ref="X664" si="1950">W622</f>
        <v>1</v>
      </c>
      <c r="Y664" s="68">
        <f t="shared" ref="Y664" si="1951">X622</f>
        <v>0</v>
      </c>
      <c r="Z664" s="68">
        <f t="shared" ref="Z664" si="1952">Y622</f>
        <v>1</v>
      </c>
      <c r="AA664" s="68">
        <f t="shared" ref="AA664" si="1953">Z622</f>
        <v>0</v>
      </c>
      <c r="AB664" s="68">
        <f t="shared" ref="AB664" si="1954">AA622</f>
        <v>0</v>
      </c>
      <c r="AC664" s="68">
        <f t="shared" ref="AC664" si="1955">AB622</f>
        <v>0</v>
      </c>
      <c r="AD664" s="68">
        <f t="shared" ref="AD664" si="1956">AC622</f>
        <v>0</v>
      </c>
      <c r="AE664" s="68">
        <f t="shared" ref="AE664" si="1957">AD622</f>
        <v>1</v>
      </c>
      <c r="AF664" s="68">
        <f t="shared" ref="AF664" si="1958">AE622</f>
        <v>0</v>
      </c>
      <c r="AG664" s="68">
        <f t="shared" ref="AG664" si="1959">AF622</f>
        <v>0</v>
      </c>
      <c r="AH664" s="68">
        <f t="shared" ref="AH664" si="1960">AG622</f>
        <v>1</v>
      </c>
      <c r="AI664" s="68">
        <f t="shared" ref="AI664" si="1961">AH622</f>
        <v>1</v>
      </c>
    </row>
    <row r="666" spans="1:35" ht="24.95" customHeight="1" x14ac:dyDescent="0.25">
      <c r="A666" s="114" t="s">
        <v>576</v>
      </c>
      <c r="B666" s="114"/>
      <c r="C666" s="114"/>
      <c r="D666" s="70">
        <v>1</v>
      </c>
      <c r="E666" s="70">
        <v>2</v>
      </c>
      <c r="F666" s="70">
        <v>3</v>
      </c>
      <c r="G666" s="70">
        <v>4</v>
      </c>
      <c r="H666" s="70">
        <v>5</v>
      </c>
      <c r="I666" s="70">
        <v>6</v>
      </c>
      <c r="J666" s="70">
        <v>7</v>
      </c>
      <c r="K666" s="70">
        <v>8</v>
      </c>
      <c r="L666" s="70">
        <v>9</v>
      </c>
      <c r="M666" s="70">
        <v>10</v>
      </c>
      <c r="N666" s="70">
        <v>11</v>
      </c>
      <c r="O666" s="70">
        <v>12</v>
      </c>
      <c r="P666" s="70">
        <v>13</v>
      </c>
      <c r="Q666" s="70">
        <v>14</v>
      </c>
      <c r="R666" s="70">
        <v>15</v>
      </c>
      <c r="S666" s="70">
        <v>16</v>
      </c>
      <c r="T666" s="70">
        <v>17</v>
      </c>
      <c r="U666" s="70">
        <v>18</v>
      </c>
      <c r="V666" s="70">
        <v>19</v>
      </c>
      <c r="W666" s="70">
        <v>20</v>
      </c>
      <c r="X666" s="70">
        <v>21</v>
      </c>
      <c r="Y666" s="70">
        <v>22</v>
      </c>
      <c r="Z666" s="70">
        <v>23</v>
      </c>
      <c r="AA666" s="70">
        <v>24</v>
      </c>
      <c r="AB666" s="70">
        <v>25</v>
      </c>
      <c r="AC666" s="70">
        <v>26</v>
      </c>
      <c r="AD666" s="70">
        <v>27</v>
      </c>
      <c r="AE666" s="70">
        <v>28</v>
      </c>
      <c r="AF666" s="70">
        <v>29</v>
      </c>
      <c r="AG666" s="70">
        <v>30</v>
      </c>
      <c r="AH666" s="70">
        <v>31</v>
      </c>
      <c r="AI666" s="70">
        <v>32</v>
      </c>
    </row>
    <row r="667" spans="1:35" ht="24.95" customHeight="1" x14ac:dyDescent="0.25">
      <c r="A667" s="64" t="s">
        <v>551</v>
      </c>
      <c r="D667" s="70">
        <f>--_xlfn.XOR(C658,D615)</f>
        <v>1</v>
      </c>
      <c r="E667" s="70">
        <f t="shared" ref="E667:AI667" si="1962">--_xlfn.XOR(D658,E615)</f>
        <v>1</v>
      </c>
      <c r="F667" s="70">
        <f t="shared" si="1962"/>
        <v>0</v>
      </c>
      <c r="G667" s="70">
        <f t="shared" si="1962"/>
        <v>0</v>
      </c>
      <c r="H667" s="70">
        <f t="shared" si="1962"/>
        <v>1</v>
      </c>
      <c r="I667" s="70">
        <f t="shared" si="1962"/>
        <v>1</v>
      </c>
      <c r="J667" s="70">
        <f t="shared" si="1962"/>
        <v>1</v>
      </c>
      <c r="K667" s="70">
        <f t="shared" si="1962"/>
        <v>0</v>
      </c>
      <c r="L667" s="70">
        <f t="shared" si="1962"/>
        <v>0</v>
      </c>
      <c r="M667" s="70">
        <f t="shared" si="1962"/>
        <v>0</v>
      </c>
      <c r="N667" s="70">
        <f t="shared" si="1962"/>
        <v>0</v>
      </c>
      <c r="O667" s="70">
        <f t="shared" si="1962"/>
        <v>1</v>
      </c>
      <c r="P667" s="70">
        <f t="shared" si="1962"/>
        <v>1</v>
      </c>
      <c r="Q667" s="70">
        <f t="shared" si="1962"/>
        <v>0</v>
      </c>
      <c r="R667" s="70">
        <f t="shared" si="1962"/>
        <v>0</v>
      </c>
      <c r="S667" s="70">
        <f t="shared" si="1962"/>
        <v>0</v>
      </c>
      <c r="T667" s="70">
        <f t="shared" si="1962"/>
        <v>0</v>
      </c>
      <c r="U667" s="70">
        <f t="shared" si="1962"/>
        <v>1</v>
      </c>
      <c r="V667" s="70">
        <f t="shared" si="1962"/>
        <v>1</v>
      </c>
      <c r="W667" s="70">
        <f t="shared" si="1962"/>
        <v>0</v>
      </c>
      <c r="X667" s="70">
        <f t="shared" si="1962"/>
        <v>0</v>
      </c>
      <c r="Y667" s="70">
        <f t="shared" si="1962"/>
        <v>0</v>
      </c>
      <c r="Z667" s="70">
        <f t="shared" si="1962"/>
        <v>0</v>
      </c>
      <c r="AA667" s="70">
        <f t="shared" si="1962"/>
        <v>0</v>
      </c>
      <c r="AB667" s="70">
        <f t="shared" si="1962"/>
        <v>1</v>
      </c>
      <c r="AC667" s="70">
        <f t="shared" si="1962"/>
        <v>0</v>
      </c>
      <c r="AD667" s="70">
        <f t="shared" si="1962"/>
        <v>1</v>
      </c>
      <c r="AE667" s="70">
        <f t="shared" si="1962"/>
        <v>0</v>
      </c>
      <c r="AF667" s="70">
        <f t="shared" si="1962"/>
        <v>0</v>
      </c>
      <c r="AG667" s="70">
        <f t="shared" si="1962"/>
        <v>1</v>
      </c>
      <c r="AH667" s="70">
        <f t="shared" si="1962"/>
        <v>0</v>
      </c>
      <c r="AI667" s="70">
        <f t="shared" si="1962"/>
        <v>0</v>
      </c>
    </row>
    <row r="668" spans="1:35" ht="24.95" customHeight="1" x14ac:dyDescent="0.25">
      <c r="A668" s="132" t="s">
        <v>619</v>
      </c>
    </row>
    <row r="669" spans="1:35" s="132" customFormat="1" ht="24.95" customHeight="1" x14ac:dyDescent="0.25">
      <c r="B669" s="133"/>
      <c r="C669" s="134"/>
    </row>
    <row r="670" spans="1:35" ht="24.95" customHeight="1" x14ac:dyDescent="0.25">
      <c r="B670" s="21"/>
      <c r="C670" s="70">
        <v>1</v>
      </c>
      <c r="D670" s="70">
        <v>2</v>
      </c>
      <c r="E670" s="70">
        <v>3</v>
      </c>
      <c r="F670" s="70">
        <v>4</v>
      </c>
      <c r="G670" s="70">
        <v>5</v>
      </c>
      <c r="H670" s="70">
        <v>6</v>
      </c>
      <c r="I670" s="70">
        <v>7</v>
      </c>
      <c r="J670" s="70">
        <v>8</v>
      </c>
      <c r="K670" s="70">
        <v>9</v>
      </c>
      <c r="L670" s="70">
        <v>10</v>
      </c>
      <c r="M670" s="70">
        <v>11</v>
      </c>
      <c r="N670" s="70">
        <v>12</v>
      </c>
      <c r="O670" s="70">
        <v>13</v>
      </c>
      <c r="P670" s="70">
        <v>14</v>
      </c>
      <c r="Q670" s="70">
        <v>15</v>
      </c>
      <c r="R670" s="70">
        <v>16</v>
      </c>
      <c r="S670" s="70">
        <v>17</v>
      </c>
      <c r="T670" s="70">
        <v>18</v>
      </c>
      <c r="U670" s="70">
        <v>19</v>
      </c>
      <c r="V670" s="70">
        <v>20</v>
      </c>
      <c r="W670" s="70">
        <v>21</v>
      </c>
      <c r="X670" s="70">
        <v>22</v>
      </c>
      <c r="Y670" s="70">
        <v>23</v>
      </c>
      <c r="Z670" s="70">
        <v>24</v>
      </c>
      <c r="AA670" s="70">
        <v>25</v>
      </c>
      <c r="AB670" s="70">
        <v>26</v>
      </c>
      <c r="AC670" s="70">
        <v>27</v>
      </c>
      <c r="AD670" s="70">
        <v>28</v>
      </c>
      <c r="AE670" s="70">
        <v>29</v>
      </c>
      <c r="AF670" s="70">
        <v>30</v>
      </c>
      <c r="AG670" s="70">
        <v>31</v>
      </c>
      <c r="AH670" s="70">
        <v>32</v>
      </c>
    </row>
    <row r="671" spans="1:35" ht="24.95" customHeight="1" x14ac:dyDescent="0.25">
      <c r="A671" s="114" t="s">
        <v>576</v>
      </c>
      <c r="B671" s="114"/>
      <c r="C671" s="70">
        <f>D667</f>
        <v>1</v>
      </c>
      <c r="D671" s="70">
        <f t="shared" ref="D671:AH671" si="1963">E667</f>
        <v>1</v>
      </c>
      <c r="E671" s="70">
        <f t="shared" si="1963"/>
        <v>0</v>
      </c>
      <c r="F671" s="70">
        <f t="shared" si="1963"/>
        <v>0</v>
      </c>
      <c r="G671" s="70">
        <f t="shared" si="1963"/>
        <v>1</v>
      </c>
      <c r="H671" s="70">
        <f t="shared" si="1963"/>
        <v>1</v>
      </c>
      <c r="I671" s="70">
        <f t="shared" si="1963"/>
        <v>1</v>
      </c>
      <c r="J671" s="70">
        <f t="shared" si="1963"/>
        <v>0</v>
      </c>
      <c r="K671" s="70">
        <f t="shared" si="1963"/>
        <v>0</v>
      </c>
      <c r="L671" s="70">
        <f t="shared" si="1963"/>
        <v>0</v>
      </c>
      <c r="M671" s="70">
        <f t="shared" si="1963"/>
        <v>0</v>
      </c>
      <c r="N671" s="70">
        <f t="shared" si="1963"/>
        <v>1</v>
      </c>
      <c r="O671" s="70">
        <f t="shared" si="1963"/>
        <v>1</v>
      </c>
      <c r="P671" s="70">
        <f t="shared" si="1963"/>
        <v>0</v>
      </c>
      <c r="Q671" s="70">
        <f t="shared" si="1963"/>
        <v>0</v>
      </c>
      <c r="R671" s="70">
        <f t="shared" si="1963"/>
        <v>0</v>
      </c>
      <c r="S671" s="70">
        <f t="shared" si="1963"/>
        <v>0</v>
      </c>
      <c r="T671" s="70">
        <f t="shared" si="1963"/>
        <v>1</v>
      </c>
      <c r="U671" s="70">
        <f t="shared" si="1963"/>
        <v>1</v>
      </c>
      <c r="V671" s="70">
        <f t="shared" si="1963"/>
        <v>0</v>
      </c>
      <c r="W671" s="70">
        <f t="shared" si="1963"/>
        <v>0</v>
      </c>
      <c r="X671" s="70">
        <f t="shared" si="1963"/>
        <v>0</v>
      </c>
      <c r="Y671" s="70">
        <f t="shared" si="1963"/>
        <v>0</v>
      </c>
      <c r="Z671" s="70">
        <f t="shared" si="1963"/>
        <v>0</v>
      </c>
      <c r="AA671" s="70">
        <f t="shared" si="1963"/>
        <v>1</v>
      </c>
      <c r="AB671" s="70">
        <f t="shared" si="1963"/>
        <v>0</v>
      </c>
      <c r="AC671" s="70">
        <f t="shared" si="1963"/>
        <v>1</v>
      </c>
      <c r="AD671" s="70">
        <f t="shared" si="1963"/>
        <v>0</v>
      </c>
      <c r="AE671" s="70">
        <f t="shared" si="1963"/>
        <v>0</v>
      </c>
      <c r="AF671" s="70">
        <f t="shared" si="1963"/>
        <v>1</v>
      </c>
      <c r="AG671" s="70">
        <f t="shared" si="1963"/>
        <v>0</v>
      </c>
      <c r="AH671" s="70">
        <f t="shared" si="1963"/>
        <v>0</v>
      </c>
      <c r="AI671" s="135"/>
    </row>
    <row r="673" spans="1:51" ht="24.95" customHeight="1" x14ac:dyDescent="0.25">
      <c r="A673" s="132"/>
      <c r="B673" s="133"/>
      <c r="C673" s="134"/>
      <c r="D673" s="132"/>
      <c r="E673" s="132"/>
      <c r="F673" s="132"/>
      <c r="G673" s="132"/>
      <c r="H673" s="132"/>
      <c r="I673" s="132"/>
      <c r="J673" s="132"/>
      <c r="K673" s="132"/>
      <c r="L673" s="132"/>
      <c r="M673" s="132"/>
      <c r="N673" s="132"/>
      <c r="O673" s="132"/>
      <c r="P673" s="132"/>
      <c r="Q673" s="132"/>
      <c r="R673" s="132"/>
      <c r="S673" s="132"/>
      <c r="T673" s="132"/>
      <c r="U673" s="132"/>
      <c r="V673" s="132"/>
      <c r="W673" s="132"/>
      <c r="X673" s="132"/>
      <c r="Y673" s="132"/>
      <c r="Z673" s="132"/>
      <c r="AA673" s="132"/>
      <c r="AB673" s="132"/>
      <c r="AC673" s="132"/>
      <c r="AD673" s="132"/>
      <c r="AE673" s="132"/>
      <c r="AF673" s="132"/>
      <c r="AG673" s="132"/>
      <c r="AH673" s="132"/>
      <c r="AI673" s="132"/>
      <c r="AJ673" s="132"/>
      <c r="AK673" s="132"/>
      <c r="AL673" s="132"/>
      <c r="AM673" s="132"/>
      <c r="AN673" s="132"/>
      <c r="AO673" s="132"/>
      <c r="AP673" s="132"/>
      <c r="AQ673" s="132"/>
      <c r="AR673" s="132"/>
      <c r="AS673" s="132"/>
      <c r="AT673" s="132"/>
      <c r="AU673" s="132"/>
      <c r="AV673" s="132"/>
      <c r="AW673" s="132"/>
      <c r="AX673" s="132"/>
      <c r="AY673" s="132"/>
    </row>
    <row r="675" spans="1:51" ht="24.95" customHeight="1" x14ac:dyDescent="0.25">
      <c r="A675" s="118" t="s">
        <v>532</v>
      </c>
      <c r="B675" s="118"/>
      <c r="C675" s="75">
        <v>32</v>
      </c>
      <c r="D675" s="74">
        <v>1</v>
      </c>
      <c r="E675" s="74">
        <v>2</v>
      </c>
      <c r="F675" s="74">
        <v>3</v>
      </c>
      <c r="G675" s="74">
        <v>4</v>
      </c>
      <c r="H675" s="73">
        <v>5</v>
      </c>
      <c r="I675" s="122"/>
      <c r="J675" s="118">
        <f>AH671</f>
        <v>0</v>
      </c>
      <c r="K675" s="118">
        <f>C671</f>
        <v>1</v>
      </c>
      <c r="L675" s="118">
        <f>D671</f>
        <v>1</v>
      </c>
      <c r="M675" s="118">
        <f>E671</f>
        <v>0</v>
      </c>
      <c r="N675" s="69">
        <f>F671</f>
        <v>0</v>
      </c>
      <c r="O675" s="119">
        <f>G671</f>
        <v>1</v>
      </c>
      <c r="P675" s="122"/>
    </row>
    <row r="676" spans="1:51" ht="24.95" customHeight="1" x14ac:dyDescent="0.25">
      <c r="C676" s="75">
        <v>4</v>
      </c>
      <c r="D676" s="74">
        <v>5</v>
      </c>
      <c r="E676" s="74">
        <v>6</v>
      </c>
      <c r="F676" s="74">
        <v>7</v>
      </c>
      <c r="G676" s="74">
        <v>8</v>
      </c>
      <c r="H676" s="73">
        <v>9</v>
      </c>
      <c r="I676" s="122"/>
      <c r="J676" s="118">
        <f t="shared" ref="J676" si="1964">F671</f>
        <v>0</v>
      </c>
      <c r="K676" s="69">
        <f t="shared" ref="K676" si="1965">G671</f>
        <v>1</v>
      </c>
      <c r="L676" s="69">
        <f t="shared" ref="L676" si="1966">H671</f>
        <v>1</v>
      </c>
      <c r="M676" s="69">
        <f t="shared" ref="M676" si="1967">I671</f>
        <v>1</v>
      </c>
      <c r="N676" s="69">
        <f t="shared" ref="N676" si="1968">J671</f>
        <v>0</v>
      </c>
      <c r="O676" s="119">
        <f t="shared" ref="O676" si="1969">K671</f>
        <v>0</v>
      </c>
      <c r="P676" s="122"/>
    </row>
    <row r="677" spans="1:51" ht="24.95" customHeight="1" x14ac:dyDescent="0.25">
      <c r="C677" s="75">
        <v>8</v>
      </c>
      <c r="D677" s="74">
        <v>9</v>
      </c>
      <c r="E677" s="74">
        <v>10</v>
      </c>
      <c r="F677" s="74">
        <v>11</v>
      </c>
      <c r="G677" s="74">
        <v>12</v>
      </c>
      <c r="H677" s="73">
        <v>13</v>
      </c>
      <c r="I677" s="123"/>
      <c r="J677" s="120">
        <f t="shared" ref="J677:O677" si="1970">J671</f>
        <v>0</v>
      </c>
      <c r="K677" s="69">
        <f t="shared" si="1970"/>
        <v>0</v>
      </c>
      <c r="L677" s="69">
        <f t="shared" si="1970"/>
        <v>0</v>
      </c>
      <c r="M677" s="69">
        <f t="shared" si="1970"/>
        <v>0</v>
      </c>
      <c r="N677" s="69">
        <f t="shared" si="1970"/>
        <v>1</v>
      </c>
      <c r="O677" s="119">
        <f t="shared" si="1970"/>
        <v>1</v>
      </c>
      <c r="P677" s="123"/>
    </row>
    <row r="678" spans="1:51" ht="24.95" customHeight="1" x14ac:dyDescent="0.25">
      <c r="C678" s="75">
        <v>12</v>
      </c>
      <c r="D678" s="74">
        <v>13</v>
      </c>
      <c r="E678" s="74">
        <v>14</v>
      </c>
      <c r="F678" s="74">
        <v>15</v>
      </c>
      <c r="G678" s="74">
        <v>16</v>
      </c>
      <c r="H678" s="73">
        <v>17</v>
      </c>
      <c r="I678" s="122"/>
      <c r="J678" s="118">
        <f t="shared" ref="J678" si="1971">N671</f>
        <v>1</v>
      </c>
      <c r="K678" s="69">
        <f t="shared" ref="K678" si="1972">O671</f>
        <v>1</v>
      </c>
      <c r="L678" s="69">
        <f t="shared" ref="L678" si="1973">P671</f>
        <v>0</v>
      </c>
      <c r="M678" s="69">
        <f t="shared" ref="M678" si="1974">Q671</f>
        <v>0</v>
      </c>
      <c r="N678" s="69">
        <f t="shared" ref="N678" si="1975">R671</f>
        <v>0</v>
      </c>
      <c r="O678" s="119">
        <f t="shared" ref="O678" si="1976">S671</f>
        <v>0</v>
      </c>
      <c r="P678" s="122"/>
    </row>
    <row r="679" spans="1:51" ht="24.95" customHeight="1" x14ac:dyDescent="0.25">
      <c r="C679" s="75">
        <v>16</v>
      </c>
      <c r="D679" s="74">
        <v>17</v>
      </c>
      <c r="E679" s="74">
        <v>18</v>
      </c>
      <c r="F679" s="74">
        <v>19</v>
      </c>
      <c r="G679" s="74">
        <v>20</v>
      </c>
      <c r="H679" s="73">
        <v>21</v>
      </c>
      <c r="I679" s="122"/>
      <c r="J679" s="118">
        <f t="shared" ref="J679" si="1977">R671</f>
        <v>0</v>
      </c>
      <c r="K679" s="69">
        <f t="shared" ref="K679" si="1978">S671</f>
        <v>0</v>
      </c>
      <c r="L679" s="69">
        <f t="shared" ref="L679" si="1979">T671</f>
        <v>1</v>
      </c>
      <c r="M679" s="69">
        <f t="shared" ref="M679" si="1980">U671</f>
        <v>1</v>
      </c>
      <c r="N679" s="69">
        <f t="shared" ref="N679" si="1981">V671</f>
        <v>0</v>
      </c>
      <c r="O679" s="119">
        <f t="shared" ref="O679" si="1982">W671</f>
        <v>0</v>
      </c>
      <c r="P679" s="122"/>
    </row>
    <row r="680" spans="1:51" ht="24.95" customHeight="1" x14ac:dyDescent="0.25">
      <c r="C680" s="75">
        <v>20</v>
      </c>
      <c r="D680" s="74">
        <v>21</v>
      </c>
      <c r="E680" s="74">
        <v>22</v>
      </c>
      <c r="F680" s="74">
        <v>23</v>
      </c>
      <c r="G680" s="74">
        <v>24</v>
      </c>
      <c r="H680" s="73">
        <v>25</v>
      </c>
      <c r="I680" s="122"/>
      <c r="J680" s="118">
        <f t="shared" ref="J680" si="1983">V671</f>
        <v>0</v>
      </c>
      <c r="K680" s="69">
        <f t="shared" ref="K680" si="1984">W671</f>
        <v>0</v>
      </c>
      <c r="L680" s="69">
        <f t="shared" ref="L680" si="1985">X671</f>
        <v>0</v>
      </c>
      <c r="M680" s="69">
        <f t="shared" ref="M680" si="1986">Y671</f>
        <v>0</v>
      </c>
      <c r="N680" s="69">
        <f t="shared" ref="N680" si="1987">Z671</f>
        <v>0</v>
      </c>
      <c r="O680" s="119">
        <f t="shared" ref="O680" si="1988">AA671</f>
        <v>1</v>
      </c>
      <c r="P680" s="122"/>
    </row>
    <row r="681" spans="1:51" ht="24.95" customHeight="1" x14ac:dyDescent="0.25">
      <c r="C681" s="75">
        <v>24</v>
      </c>
      <c r="D681" s="74">
        <v>25</v>
      </c>
      <c r="E681" s="74">
        <v>26</v>
      </c>
      <c r="F681" s="74">
        <v>27</v>
      </c>
      <c r="G681" s="74">
        <v>28</v>
      </c>
      <c r="H681" s="73">
        <v>29</v>
      </c>
      <c r="I681" s="122"/>
      <c r="J681" s="118">
        <f t="shared" ref="J681" si="1989">Z671</f>
        <v>0</v>
      </c>
      <c r="K681" s="69">
        <f t="shared" ref="K681" si="1990">AA671</f>
        <v>1</v>
      </c>
      <c r="L681" s="69">
        <f t="shared" ref="L681" si="1991">AB671</f>
        <v>0</v>
      </c>
      <c r="M681" s="69">
        <f t="shared" ref="M681" si="1992">AC671</f>
        <v>1</v>
      </c>
      <c r="N681" s="69">
        <f t="shared" ref="N681" si="1993">AD671</f>
        <v>0</v>
      </c>
      <c r="O681" s="119">
        <f t="shared" ref="O681" si="1994">AE671</f>
        <v>0</v>
      </c>
      <c r="P681" s="122"/>
    </row>
    <row r="682" spans="1:51" ht="24.95" customHeight="1" x14ac:dyDescent="0.25">
      <c r="C682" s="75">
        <v>28</v>
      </c>
      <c r="D682" s="74">
        <v>29</v>
      </c>
      <c r="E682" s="74">
        <v>30</v>
      </c>
      <c r="F682" s="74">
        <v>31</v>
      </c>
      <c r="G682" s="74">
        <v>32</v>
      </c>
      <c r="H682" s="73">
        <v>1</v>
      </c>
      <c r="I682" s="122"/>
      <c r="J682" s="70">
        <f>AD671</f>
        <v>0</v>
      </c>
      <c r="K682" s="71">
        <f>AE671</f>
        <v>0</v>
      </c>
      <c r="L682" s="71">
        <f>AF671</f>
        <v>1</v>
      </c>
      <c r="M682" s="71">
        <f>AG671</f>
        <v>0</v>
      </c>
      <c r="N682" s="71">
        <f>AH671</f>
        <v>0</v>
      </c>
      <c r="O682" s="121">
        <f>C671</f>
        <v>1</v>
      </c>
      <c r="P682" s="122"/>
    </row>
    <row r="685" spans="1:51" ht="24.95" customHeight="1" x14ac:dyDescent="0.25">
      <c r="A685" s="124" t="s">
        <v>533</v>
      </c>
      <c r="B685" s="124"/>
      <c r="C685" s="125">
        <v>1</v>
      </c>
      <c r="D685" s="126">
        <v>2</v>
      </c>
      <c r="E685" s="125">
        <v>3</v>
      </c>
      <c r="F685" s="126">
        <v>4</v>
      </c>
      <c r="G685" s="125">
        <v>5</v>
      </c>
      <c r="H685" s="126">
        <v>6</v>
      </c>
      <c r="I685" s="125">
        <v>7</v>
      </c>
      <c r="J685" s="126">
        <v>8</v>
      </c>
      <c r="K685" s="125">
        <v>9</v>
      </c>
      <c r="L685" s="126">
        <v>10</v>
      </c>
      <c r="M685" s="125">
        <v>11</v>
      </c>
      <c r="N685" s="126">
        <v>12</v>
      </c>
      <c r="O685" s="125">
        <v>13</v>
      </c>
      <c r="P685" s="126">
        <v>14</v>
      </c>
      <c r="Q685" s="125">
        <v>15</v>
      </c>
      <c r="R685" s="126">
        <v>16</v>
      </c>
      <c r="S685" s="125">
        <v>17</v>
      </c>
      <c r="T685" s="126">
        <v>18</v>
      </c>
      <c r="U685" s="125">
        <v>19</v>
      </c>
      <c r="V685" s="126">
        <v>20</v>
      </c>
      <c r="W685" s="125">
        <v>21</v>
      </c>
      <c r="X685" s="126">
        <v>22</v>
      </c>
      <c r="Y685" s="125">
        <v>23</v>
      </c>
      <c r="Z685" s="126">
        <v>24</v>
      </c>
      <c r="AA685" s="125">
        <v>25</v>
      </c>
      <c r="AB685" s="126">
        <v>26</v>
      </c>
      <c r="AC685" s="125">
        <v>27</v>
      </c>
      <c r="AD685" s="126">
        <v>28</v>
      </c>
      <c r="AE685" s="125">
        <v>29</v>
      </c>
      <c r="AF685" s="126">
        <v>30</v>
      </c>
      <c r="AG685" s="125">
        <v>31</v>
      </c>
      <c r="AH685" s="126">
        <v>32</v>
      </c>
      <c r="AI685" s="125">
        <v>33</v>
      </c>
      <c r="AJ685" s="126">
        <v>34</v>
      </c>
      <c r="AK685" s="125">
        <v>35</v>
      </c>
      <c r="AL685" s="126">
        <v>36</v>
      </c>
      <c r="AM685" s="125">
        <v>37</v>
      </c>
      <c r="AN685" s="126">
        <v>38</v>
      </c>
      <c r="AO685" s="125">
        <v>39</v>
      </c>
      <c r="AP685" s="126">
        <v>40</v>
      </c>
      <c r="AQ685" s="125">
        <v>41</v>
      </c>
      <c r="AR685" s="126">
        <v>42</v>
      </c>
      <c r="AS685" s="125">
        <v>43</v>
      </c>
      <c r="AT685" s="126">
        <v>44</v>
      </c>
      <c r="AU685" s="125">
        <v>45</v>
      </c>
      <c r="AV685" s="126">
        <v>46</v>
      </c>
      <c r="AW685" s="125">
        <v>47</v>
      </c>
      <c r="AX685" s="126">
        <v>48</v>
      </c>
    </row>
    <row r="686" spans="1:51" ht="24.95" customHeight="1" x14ac:dyDescent="0.25">
      <c r="C686" s="125">
        <f t="shared" ref="C686" si="1995">J675</f>
        <v>0</v>
      </c>
      <c r="D686" s="125">
        <f t="shared" ref="D686" si="1996">K675</f>
        <v>1</v>
      </c>
      <c r="E686" s="125">
        <f t="shared" ref="E686" si="1997">L675</f>
        <v>1</v>
      </c>
      <c r="F686" s="125">
        <f t="shared" ref="F686" si="1998">M675</f>
        <v>0</v>
      </c>
      <c r="G686" s="126">
        <f t="shared" ref="G686" si="1999">N675</f>
        <v>0</v>
      </c>
      <c r="H686" s="126">
        <f t="shared" ref="H686" si="2000">O675</f>
        <v>1</v>
      </c>
      <c r="I686" s="125">
        <f t="shared" ref="I686" si="2001">J676</f>
        <v>0</v>
      </c>
      <c r="J686" s="125">
        <f t="shared" ref="J686" si="2002">K676</f>
        <v>1</v>
      </c>
      <c r="K686" s="125">
        <f t="shared" ref="K686" si="2003">L676</f>
        <v>1</v>
      </c>
      <c r="L686" s="125">
        <f t="shared" ref="L686" si="2004">M676</f>
        <v>1</v>
      </c>
      <c r="M686" s="125">
        <f t="shared" ref="M686" si="2005">N676</f>
        <v>0</v>
      </c>
      <c r="N686" s="125">
        <f t="shared" ref="N686" si="2006">O676</f>
        <v>0</v>
      </c>
      <c r="O686" s="126">
        <f t="shared" ref="O686" si="2007">J677</f>
        <v>0</v>
      </c>
      <c r="P686" s="126">
        <f t="shared" ref="P686" si="2008">K677</f>
        <v>0</v>
      </c>
      <c r="Q686" s="126">
        <f t="shared" ref="Q686" si="2009">L677</f>
        <v>0</v>
      </c>
      <c r="R686" s="126">
        <f t="shared" ref="R686" si="2010">M677</f>
        <v>0</v>
      </c>
      <c r="S686" s="126">
        <f t="shared" ref="S686" si="2011">N677</f>
        <v>1</v>
      </c>
      <c r="T686" s="126">
        <f t="shared" ref="T686" si="2012">O677</f>
        <v>1</v>
      </c>
      <c r="U686" s="125">
        <f t="shared" ref="U686" si="2013">J678</f>
        <v>1</v>
      </c>
      <c r="V686" s="126">
        <f t="shared" ref="V686" si="2014">K678</f>
        <v>1</v>
      </c>
      <c r="W686" s="125">
        <f t="shared" ref="W686" si="2015">L678</f>
        <v>0</v>
      </c>
      <c r="X686" s="126">
        <f t="shared" ref="X686" si="2016">M678</f>
        <v>0</v>
      </c>
      <c r="Y686" s="125">
        <f t="shared" ref="Y686" si="2017">N678</f>
        <v>0</v>
      </c>
      <c r="Z686" s="126">
        <f t="shared" ref="Z686" si="2018">O678</f>
        <v>0</v>
      </c>
      <c r="AA686" s="125">
        <f t="shared" ref="AA686" si="2019">J679</f>
        <v>0</v>
      </c>
      <c r="AB686" s="126">
        <f t="shared" ref="AB686" si="2020">K679</f>
        <v>0</v>
      </c>
      <c r="AC686" s="125">
        <f t="shared" ref="AC686" si="2021">L679</f>
        <v>1</v>
      </c>
      <c r="AD686" s="126">
        <f t="shared" ref="AD686" si="2022">M679</f>
        <v>1</v>
      </c>
      <c r="AE686" s="125">
        <f t="shared" ref="AE686" si="2023">N679</f>
        <v>0</v>
      </c>
      <c r="AF686" s="126">
        <f t="shared" ref="AF686" si="2024">O679</f>
        <v>0</v>
      </c>
      <c r="AG686" s="125">
        <f t="shared" ref="AG686" si="2025">J680</f>
        <v>0</v>
      </c>
      <c r="AH686" s="126">
        <f t="shared" ref="AH686" si="2026">K680</f>
        <v>0</v>
      </c>
      <c r="AI686" s="125">
        <f t="shared" ref="AI686" si="2027">L680</f>
        <v>0</v>
      </c>
      <c r="AJ686" s="126">
        <f t="shared" ref="AJ686" si="2028">M680</f>
        <v>0</v>
      </c>
      <c r="AK686" s="125">
        <f t="shared" ref="AK686" si="2029">N680</f>
        <v>0</v>
      </c>
      <c r="AL686" s="126">
        <f t="shared" ref="AL686" si="2030">O680</f>
        <v>1</v>
      </c>
      <c r="AM686" s="125">
        <f t="shared" ref="AM686" si="2031">J681</f>
        <v>0</v>
      </c>
      <c r="AN686" s="126">
        <f t="shared" ref="AN686" si="2032">K681</f>
        <v>1</v>
      </c>
      <c r="AO686" s="125">
        <f t="shared" ref="AO686" si="2033">L681</f>
        <v>0</v>
      </c>
      <c r="AP686" s="126">
        <f t="shared" ref="AP686" si="2034">M681</f>
        <v>1</v>
      </c>
      <c r="AQ686" s="125">
        <f t="shared" ref="AQ686" si="2035">N681</f>
        <v>0</v>
      </c>
      <c r="AR686" s="126">
        <f t="shared" ref="AR686" si="2036">O681</f>
        <v>0</v>
      </c>
      <c r="AS686" s="125">
        <f t="shared" ref="AS686" si="2037">J682</f>
        <v>0</v>
      </c>
      <c r="AT686" s="126">
        <f t="shared" ref="AT686" si="2038">K682</f>
        <v>0</v>
      </c>
      <c r="AU686" s="125">
        <f t="shared" ref="AU686" si="2039">L682</f>
        <v>1</v>
      </c>
      <c r="AV686" s="126">
        <f t="shared" ref="AV686" si="2040">M682</f>
        <v>0</v>
      </c>
      <c r="AW686" s="125">
        <f t="shared" ref="AW686" si="2041">N682</f>
        <v>0</v>
      </c>
      <c r="AX686" s="126">
        <f t="shared" ref="AX686" si="2042">O682</f>
        <v>1</v>
      </c>
    </row>
    <row r="689" spans="1:55" ht="24.95" customHeight="1" x14ac:dyDescent="0.25">
      <c r="A689" s="127" t="s">
        <v>620</v>
      </c>
      <c r="B689" s="127"/>
      <c r="C689" s="77">
        <f>'Key Generator'!D514</f>
        <v>1</v>
      </c>
      <c r="D689" s="77">
        <f>'Key Generator'!E514</f>
        <v>2</v>
      </c>
      <c r="E689" s="77">
        <f>'Key Generator'!F514</f>
        <v>3</v>
      </c>
      <c r="F689" s="77">
        <f>'Key Generator'!G514</f>
        <v>4</v>
      </c>
      <c r="G689" s="77">
        <f>'Key Generator'!H514</f>
        <v>5</v>
      </c>
      <c r="H689" s="77">
        <f>'Key Generator'!I514</f>
        <v>6</v>
      </c>
      <c r="I689" s="77">
        <f>'Key Generator'!J514</f>
        <v>7</v>
      </c>
      <c r="J689" s="77">
        <f>'Key Generator'!K514</f>
        <v>8</v>
      </c>
      <c r="K689" s="77">
        <f>'Key Generator'!L514</f>
        <v>9</v>
      </c>
      <c r="L689" s="77">
        <f>'Key Generator'!M514</f>
        <v>10</v>
      </c>
      <c r="M689" s="77">
        <f>'Key Generator'!N514</f>
        <v>11</v>
      </c>
      <c r="N689" s="77">
        <f>'Key Generator'!O514</f>
        <v>12</v>
      </c>
      <c r="O689" s="77">
        <f>'Key Generator'!P514</f>
        <v>13</v>
      </c>
      <c r="P689" s="77">
        <f>'Key Generator'!Q514</f>
        <v>14</v>
      </c>
      <c r="Q689" s="77">
        <f>'Key Generator'!R514</f>
        <v>15</v>
      </c>
      <c r="R689" s="77">
        <f>'Key Generator'!S514</f>
        <v>16</v>
      </c>
      <c r="S689" s="77">
        <f>'Key Generator'!T514</f>
        <v>17</v>
      </c>
      <c r="T689" s="77">
        <f>'Key Generator'!U514</f>
        <v>18</v>
      </c>
      <c r="U689" s="77">
        <f>'Key Generator'!V514</f>
        <v>19</v>
      </c>
      <c r="V689" s="77">
        <f>'Key Generator'!W514</f>
        <v>20</v>
      </c>
      <c r="W689" s="77">
        <f>'Key Generator'!X514</f>
        <v>21</v>
      </c>
      <c r="X689" s="77">
        <f>'Key Generator'!Y514</f>
        <v>22</v>
      </c>
      <c r="Y689" s="77">
        <f>'Key Generator'!Z514</f>
        <v>23</v>
      </c>
      <c r="Z689" s="77">
        <f>'Key Generator'!AA514</f>
        <v>24</v>
      </c>
      <c r="AA689" s="77">
        <f>'Key Generator'!AB514</f>
        <v>25</v>
      </c>
      <c r="AB689" s="77">
        <f>'Key Generator'!AC514</f>
        <v>26</v>
      </c>
      <c r="AC689" s="77">
        <f>'Key Generator'!AD514</f>
        <v>27</v>
      </c>
      <c r="AD689" s="77">
        <f>'Key Generator'!AE514</f>
        <v>28</v>
      </c>
      <c r="AE689" s="77">
        <f>'Key Generator'!AF514</f>
        <v>29</v>
      </c>
      <c r="AF689" s="77">
        <f>'Key Generator'!AG514</f>
        <v>30</v>
      </c>
      <c r="AG689" s="77">
        <f>'Key Generator'!AH514</f>
        <v>31</v>
      </c>
      <c r="AH689" s="77">
        <f>'Key Generator'!AI514</f>
        <v>32</v>
      </c>
      <c r="AI689" s="77">
        <f>'Key Generator'!AJ514</f>
        <v>33</v>
      </c>
      <c r="AJ689" s="77">
        <f>'Key Generator'!AK514</f>
        <v>34</v>
      </c>
      <c r="AK689" s="77">
        <f>'Key Generator'!AL514</f>
        <v>35</v>
      </c>
      <c r="AL689" s="77">
        <f>'Key Generator'!AM514</f>
        <v>36</v>
      </c>
      <c r="AM689" s="77">
        <f>'Key Generator'!AN514</f>
        <v>37</v>
      </c>
      <c r="AN689" s="77">
        <f>'Key Generator'!AO514</f>
        <v>38</v>
      </c>
      <c r="AO689" s="77">
        <f>'Key Generator'!AP514</f>
        <v>39</v>
      </c>
      <c r="AP689" s="77">
        <f>'Key Generator'!AQ514</f>
        <v>40</v>
      </c>
      <c r="AQ689" s="77">
        <f>'Key Generator'!AR514</f>
        <v>41</v>
      </c>
      <c r="AR689" s="77">
        <f>'Key Generator'!AS514</f>
        <v>42</v>
      </c>
      <c r="AS689" s="77">
        <f>'Key Generator'!AT514</f>
        <v>43</v>
      </c>
      <c r="AT689" s="77">
        <f>'Key Generator'!AU514</f>
        <v>44</v>
      </c>
      <c r="AU689" s="77">
        <f>'Key Generator'!AV514</f>
        <v>45</v>
      </c>
      <c r="AV689" s="77">
        <f>'Key Generator'!AW514</f>
        <v>46</v>
      </c>
      <c r="AW689" s="77">
        <f>'Key Generator'!AX514</f>
        <v>47</v>
      </c>
      <c r="AX689" s="77">
        <f>'Key Generator'!AY514</f>
        <v>48</v>
      </c>
    </row>
    <row r="690" spans="1:55" ht="24.95" customHeight="1" x14ac:dyDescent="0.25">
      <c r="C690" s="77">
        <f>'Key Generator'!D515</f>
        <v>0</v>
      </c>
      <c r="D690" s="77">
        <f>'Key Generator'!E515</f>
        <v>1</v>
      </c>
      <c r="E690" s="77">
        <f>'Key Generator'!F515</f>
        <v>0</v>
      </c>
      <c r="F690" s="77">
        <f>'Key Generator'!G515</f>
        <v>1</v>
      </c>
      <c r="G690" s="77">
        <f>'Key Generator'!H515</f>
        <v>0</v>
      </c>
      <c r="H690" s="77">
        <f>'Key Generator'!I515</f>
        <v>0</v>
      </c>
      <c r="I690" s="77">
        <f>'Key Generator'!J515</f>
        <v>0</v>
      </c>
      <c r="J690" s="77">
        <f>'Key Generator'!K515</f>
        <v>0</v>
      </c>
      <c r="K690" s="77">
        <f>'Key Generator'!L515</f>
        <v>1</v>
      </c>
      <c r="L690" s="77">
        <f>'Key Generator'!M515</f>
        <v>0</v>
      </c>
      <c r="M690" s="77">
        <f>'Key Generator'!N515</f>
        <v>1</v>
      </c>
      <c r="N690" s="77">
        <f>'Key Generator'!O515</f>
        <v>0</v>
      </c>
      <c r="O690" s="77">
        <f>'Key Generator'!P515</f>
        <v>1</v>
      </c>
      <c r="P690" s="77">
        <f>'Key Generator'!Q515</f>
        <v>0</v>
      </c>
      <c r="Q690" s="77">
        <f>'Key Generator'!R515</f>
        <v>0</v>
      </c>
      <c r="R690" s="77">
        <f>'Key Generator'!S515</f>
        <v>0</v>
      </c>
      <c r="S690" s="77">
        <f>'Key Generator'!T515</f>
        <v>0</v>
      </c>
      <c r="T690" s="77">
        <f>'Key Generator'!U515</f>
        <v>0</v>
      </c>
      <c r="U690" s="77">
        <f>'Key Generator'!V515</f>
        <v>0</v>
      </c>
      <c r="V690" s="77">
        <f>'Key Generator'!W515</f>
        <v>1</v>
      </c>
      <c r="W690" s="77">
        <f>'Key Generator'!X515</f>
        <v>1</v>
      </c>
      <c r="X690" s="77">
        <f>'Key Generator'!Y515</f>
        <v>1</v>
      </c>
      <c r="Y690" s="77">
        <f>'Key Generator'!Z515</f>
        <v>0</v>
      </c>
      <c r="Z690" s="77">
        <f>'Key Generator'!AA515</f>
        <v>0</v>
      </c>
      <c r="AA690" s="77">
        <f>'Key Generator'!AB515</f>
        <v>1</v>
      </c>
      <c r="AB690" s="77">
        <f>'Key Generator'!AC515</f>
        <v>1</v>
      </c>
      <c r="AC690" s="77">
        <f>'Key Generator'!AD515</f>
        <v>1</v>
      </c>
      <c r="AD690" s="77">
        <f>'Key Generator'!AE515</f>
        <v>1</v>
      </c>
      <c r="AE690" s="77">
        <f>'Key Generator'!AF515</f>
        <v>1</v>
      </c>
      <c r="AF690" s="77">
        <f>'Key Generator'!AG515</f>
        <v>1</v>
      </c>
      <c r="AG690" s="77">
        <f>'Key Generator'!AH515</f>
        <v>1</v>
      </c>
      <c r="AH690" s="77">
        <f>'Key Generator'!AI515</f>
        <v>0</v>
      </c>
      <c r="AI690" s="77">
        <f>'Key Generator'!AJ515</f>
        <v>0</v>
      </c>
      <c r="AJ690" s="77">
        <f>'Key Generator'!AK515</f>
        <v>1</v>
      </c>
      <c r="AK690" s="77">
        <f>'Key Generator'!AL515</f>
        <v>1</v>
      </c>
      <c r="AL690" s="77">
        <f>'Key Generator'!AM515</f>
        <v>0</v>
      </c>
      <c r="AM690" s="77">
        <f>'Key Generator'!AN515</f>
        <v>1</v>
      </c>
      <c r="AN690" s="77">
        <f>'Key Generator'!AO515</f>
        <v>1</v>
      </c>
      <c r="AO690" s="77">
        <f>'Key Generator'!AP515</f>
        <v>1</v>
      </c>
      <c r="AP690" s="77">
        <f>'Key Generator'!AQ515</f>
        <v>0</v>
      </c>
      <c r="AQ690" s="77">
        <f>'Key Generator'!AR515</f>
        <v>0</v>
      </c>
      <c r="AR690" s="77">
        <f>'Key Generator'!AS515</f>
        <v>0</v>
      </c>
      <c r="AS690" s="77">
        <f>'Key Generator'!AT515</f>
        <v>0</v>
      </c>
      <c r="AT690" s="77">
        <f>'Key Generator'!AU515</f>
        <v>1</v>
      </c>
      <c r="AU690" s="77">
        <f>'Key Generator'!AV515</f>
        <v>0</v>
      </c>
      <c r="AV690" s="77">
        <f>'Key Generator'!AW515</f>
        <v>0</v>
      </c>
      <c r="AW690" s="77">
        <f>'Key Generator'!AX515</f>
        <v>0</v>
      </c>
      <c r="AX690" s="77">
        <f>'Key Generator'!AY515</f>
        <v>1</v>
      </c>
    </row>
    <row r="693" spans="1:55" ht="24.95" customHeight="1" x14ac:dyDescent="0.25">
      <c r="A693" s="128" t="s">
        <v>535</v>
      </c>
      <c r="B693" s="129"/>
      <c r="C693" s="79">
        <v>1</v>
      </c>
      <c r="D693" s="80">
        <v>2</v>
      </c>
      <c r="E693" s="79">
        <v>3</v>
      </c>
      <c r="F693" s="80">
        <v>4</v>
      </c>
      <c r="G693" s="79">
        <v>5</v>
      </c>
      <c r="H693" s="80">
        <v>6</v>
      </c>
      <c r="I693" s="79">
        <v>7</v>
      </c>
      <c r="J693" s="80">
        <v>8</v>
      </c>
      <c r="K693" s="79">
        <v>9</v>
      </c>
      <c r="L693" s="80">
        <v>10</v>
      </c>
      <c r="M693" s="79">
        <v>11</v>
      </c>
      <c r="N693" s="80">
        <v>12</v>
      </c>
      <c r="O693" s="79">
        <v>13</v>
      </c>
      <c r="P693" s="80">
        <v>14</v>
      </c>
      <c r="Q693" s="79">
        <v>15</v>
      </c>
      <c r="R693" s="80">
        <v>16</v>
      </c>
      <c r="S693" s="79">
        <v>17</v>
      </c>
      <c r="T693" s="80">
        <v>18</v>
      </c>
      <c r="U693" s="79">
        <v>19</v>
      </c>
      <c r="V693" s="80">
        <v>20</v>
      </c>
      <c r="W693" s="79">
        <v>21</v>
      </c>
      <c r="X693" s="80">
        <v>22</v>
      </c>
      <c r="Y693" s="79">
        <v>23</v>
      </c>
      <c r="Z693" s="80">
        <v>24</v>
      </c>
      <c r="AA693" s="79">
        <v>25</v>
      </c>
      <c r="AB693" s="80">
        <v>26</v>
      </c>
      <c r="AC693" s="79">
        <v>27</v>
      </c>
      <c r="AD693" s="80">
        <v>28</v>
      </c>
      <c r="AE693" s="79">
        <v>29</v>
      </c>
      <c r="AF693" s="80">
        <v>30</v>
      </c>
      <c r="AG693" s="79">
        <v>31</v>
      </c>
      <c r="AH693" s="80">
        <v>32</v>
      </c>
      <c r="AI693" s="79">
        <v>33</v>
      </c>
      <c r="AJ693" s="80">
        <v>34</v>
      </c>
      <c r="AK693" s="79">
        <v>35</v>
      </c>
      <c r="AL693" s="80">
        <v>36</v>
      </c>
      <c r="AM693" s="79">
        <v>37</v>
      </c>
      <c r="AN693" s="80">
        <v>38</v>
      </c>
      <c r="AO693" s="79">
        <v>39</v>
      </c>
      <c r="AP693" s="80">
        <v>40</v>
      </c>
      <c r="AQ693" s="79">
        <v>41</v>
      </c>
      <c r="AR693" s="80">
        <v>42</v>
      </c>
      <c r="AS693" s="79">
        <v>43</v>
      </c>
      <c r="AT693" s="80">
        <v>44</v>
      </c>
      <c r="AU693" s="79">
        <v>45</v>
      </c>
      <c r="AV693" s="80">
        <v>46</v>
      </c>
      <c r="AW693" s="79">
        <v>47</v>
      </c>
      <c r="AX693" s="80">
        <v>48</v>
      </c>
    </row>
    <row r="694" spans="1:55" ht="24.95" customHeight="1" x14ac:dyDescent="0.25">
      <c r="C694" s="88">
        <f>--_xlfn.XOR(C686,'Key Generator'!D515)</f>
        <v>0</v>
      </c>
      <c r="D694" s="88">
        <f>--_xlfn.XOR(D686,'Key Generator'!E515)</f>
        <v>0</v>
      </c>
      <c r="E694" s="88">
        <f>--_xlfn.XOR(E686,'Key Generator'!F515)</f>
        <v>1</v>
      </c>
      <c r="F694" s="88">
        <f>--_xlfn.XOR(F686,'Key Generator'!G515)</f>
        <v>1</v>
      </c>
      <c r="G694" s="88">
        <f>--_xlfn.XOR(G686,'Key Generator'!H515)</f>
        <v>0</v>
      </c>
      <c r="H694" s="88">
        <f>--_xlfn.XOR(H686,'Key Generator'!I515)</f>
        <v>1</v>
      </c>
      <c r="I694" s="87">
        <f>--_xlfn.XOR(I686,'Key Generator'!J515)</f>
        <v>0</v>
      </c>
      <c r="J694" s="87">
        <f>--_xlfn.XOR(J686,'Key Generator'!K515)</f>
        <v>1</v>
      </c>
      <c r="K694" s="87">
        <f>--_xlfn.XOR(K686,'Key Generator'!L515)</f>
        <v>0</v>
      </c>
      <c r="L694" s="87">
        <f>--_xlfn.XOR(L686,'Key Generator'!M515)</f>
        <v>1</v>
      </c>
      <c r="M694" s="87">
        <f>--_xlfn.XOR(M686,'Key Generator'!N515)</f>
        <v>1</v>
      </c>
      <c r="N694" s="87">
        <f>--_xlfn.XOR(N686,'Key Generator'!O515)</f>
        <v>0</v>
      </c>
      <c r="O694" s="89">
        <f>--_xlfn.XOR(O686,'Key Generator'!P515)</f>
        <v>1</v>
      </c>
      <c r="P694" s="89">
        <f>--_xlfn.XOR(P686,'Key Generator'!Q515)</f>
        <v>0</v>
      </c>
      <c r="Q694" s="89">
        <f>--_xlfn.XOR(Q686,'Key Generator'!R515)</f>
        <v>0</v>
      </c>
      <c r="R694" s="89">
        <f>--_xlfn.XOR(R686,'Key Generator'!S515)</f>
        <v>0</v>
      </c>
      <c r="S694" s="89">
        <f>--_xlfn.XOR(S686,'Key Generator'!T515)</f>
        <v>1</v>
      </c>
      <c r="T694" s="89">
        <f>--_xlfn.XOR(T686,'Key Generator'!U515)</f>
        <v>1</v>
      </c>
      <c r="U694" s="90">
        <f>--_xlfn.XOR(U686,'Key Generator'!V515)</f>
        <v>1</v>
      </c>
      <c r="V694" s="90">
        <f>--_xlfn.XOR(V686,'Key Generator'!W515)</f>
        <v>0</v>
      </c>
      <c r="W694" s="90">
        <f>--_xlfn.XOR(W686,'Key Generator'!X515)</f>
        <v>1</v>
      </c>
      <c r="X694" s="90">
        <f>--_xlfn.XOR(X686,'Key Generator'!Y515)</f>
        <v>1</v>
      </c>
      <c r="Y694" s="90">
        <f>--_xlfn.XOR(Y686,'Key Generator'!Z515)</f>
        <v>0</v>
      </c>
      <c r="Z694" s="90">
        <f>--_xlfn.XOR(Z686,'Key Generator'!AA515)</f>
        <v>0</v>
      </c>
      <c r="AA694" s="91">
        <f>--_xlfn.XOR(AA686,'Key Generator'!AB515)</f>
        <v>1</v>
      </c>
      <c r="AB694" s="91">
        <f>--_xlfn.XOR(AB686,'Key Generator'!AC515)</f>
        <v>1</v>
      </c>
      <c r="AC694" s="91">
        <f>--_xlfn.XOR(AC686,'Key Generator'!AD515)</f>
        <v>0</v>
      </c>
      <c r="AD694" s="91">
        <f>--_xlfn.XOR(AD686,'Key Generator'!AE515)</f>
        <v>0</v>
      </c>
      <c r="AE694" s="91">
        <f>--_xlfn.XOR(AE686,'Key Generator'!AF515)</f>
        <v>1</v>
      </c>
      <c r="AF694" s="91">
        <f>--_xlfn.XOR(AF686,'Key Generator'!AG515)</f>
        <v>1</v>
      </c>
      <c r="AG694" s="92">
        <f>--_xlfn.XOR(AG686,'Key Generator'!AH515)</f>
        <v>1</v>
      </c>
      <c r="AH694" s="92">
        <f>--_xlfn.XOR(AH686,'Key Generator'!AI515)</f>
        <v>0</v>
      </c>
      <c r="AI694" s="92">
        <f>--_xlfn.XOR(AI686,'Key Generator'!AJ515)</f>
        <v>0</v>
      </c>
      <c r="AJ694" s="92">
        <f>--_xlfn.XOR(AJ686,'Key Generator'!AK515)</f>
        <v>1</v>
      </c>
      <c r="AK694" s="92">
        <f>--_xlfn.XOR(AK686,'Key Generator'!AL515)</f>
        <v>1</v>
      </c>
      <c r="AL694" s="92">
        <f>--_xlfn.XOR(AL686,'Key Generator'!AM515)</f>
        <v>1</v>
      </c>
      <c r="AM694" s="86">
        <f>--_xlfn.XOR(AM686,'Key Generator'!AN515)</f>
        <v>1</v>
      </c>
      <c r="AN694" s="86">
        <f>--_xlfn.XOR(AN686,'Key Generator'!AO515)</f>
        <v>0</v>
      </c>
      <c r="AO694" s="86">
        <f>--_xlfn.XOR(AO686,'Key Generator'!AP515)</f>
        <v>1</v>
      </c>
      <c r="AP694" s="86">
        <f>--_xlfn.XOR(AP686,'Key Generator'!AQ515)</f>
        <v>1</v>
      </c>
      <c r="AQ694" s="86">
        <f>--_xlfn.XOR(AQ686,'Key Generator'!AR515)</f>
        <v>0</v>
      </c>
      <c r="AR694" s="86">
        <f>--_xlfn.XOR(AR686,'Key Generator'!AS515)</f>
        <v>0</v>
      </c>
      <c r="AS694" s="81">
        <f>--_xlfn.XOR(AS686,'Key Generator'!AT515)</f>
        <v>0</v>
      </c>
      <c r="AT694" s="81">
        <f>--_xlfn.XOR(AT686,'Key Generator'!AU515)</f>
        <v>1</v>
      </c>
      <c r="AU694" s="81">
        <f>--_xlfn.XOR(AU686,'Key Generator'!AV515)</f>
        <v>1</v>
      </c>
      <c r="AV694" s="81">
        <f>--_xlfn.XOR(AV686,'Key Generator'!AW515)</f>
        <v>0</v>
      </c>
      <c r="AW694" s="81">
        <f>--_xlfn.XOR(AW686,'Key Generator'!AX515)</f>
        <v>0</v>
      </c>
      <c r="AX694" s="81">
        <f>--_xlfn.XOR(AX686,'Key Generator'!AY515)</f>
        <v>0</v>
      </c>
      <c r="AZ694" s="20"/>
      <c r="BA694" s="20"/>
      <c r="BB694" s="20"/>
      <c r="BC694" s="20"/>
    </row>
    <row r="695" spans="1:55" ht="24.95" customHeight="1" x14ac:dyDescent="0.25">
      <c r="C695" s="93"/>
      <c r="D695" s="94"/>
      <c r="E695" s="94"/>
      <c r="F695" s="94"/>
      <c r="G695" s="94"/>
      <c r="H695" s="94"/>
      <c r="AZ695" s="20"/>
      <c r="BA695" s="20"/>
      <c r="BB695" s="20"/>
      <c r="BC695" s="20"/>
    </row>
    <row r="696" spans="1:55" ht="24.95" customHeight="1" x14ac:dyDescent="0.25">
      <c r="A696" s="96" t="s">
        <v>545</v>
      </c>
      <c r="B696" s="97"/>
      <c r="C696" s="101">
        <f>D694*8+E694*4+F694*2+G694</f>
        <v>6</v>
      </c>
      <c r="D696" s="123" t="s">
        <v>536</v>
      </c>
      <c r="E696" s="97"/>
      <c r="F696" s="97"/>
      <c r="G696" s="97"/>
      <c r="H696" s="97"/>
      <c r="I696" s="101">
        <f>J694*8+K694*4+L694*2+M694</f>
        <v>11</v>
      </c>
      <c r="J696" s="122" t="s">
        <v>537</v>
      </c>
      <c r="K696" s="97"/>
      <c r="L696" s="97"/>
      <c r="M696" s="97"/>
      <c r="N696" s="97"/>
      <c r="O696" s="101">
        <f>P694*8+Q694*4+R694*2+S694</f>
        <v>1</v>
      </c>
      <c r="P696" s="122" t="s">
        <v>538</v>
      </c>
      <c r="Q696" s="97"/>
      <c r="R696" s="97"/>
      <c r="S696" s="97"/>
      <c r="T696" s="97"/>
      <c r="U696" s="101">
        <f>V694*8+W694*4+X694*2+Y694</f>
        <v>6</v>
      </c>
      <c r="V696" s="122" t="s">
        <v>539</v>
      </c>
      <c r="W696" s="97"/>
      <c r="X696" s="97"/>
      <c r="Y696" s="97"/>
      <c r="Z696" s="97"/>
      <c r="AA696" s="101">
        <f>AB694*8+AC694*4+AD694*2+AE694</f>
        <v>9</v>
      </c>
      <c r="AB696" s="122" t="s">
        <v>540</v>
      </c>
      <c r="AC696" s="97"/>
      <c r="AD696" s="97"/>
      <c r="AE696" s="97"/>
      <c r="AF696" s="97"/>
      <c r="AG696" s="101">
        <f>AH694*8+AI694*4+AJ694*2+AK694</f>
        <v>3</v>
      </c>
      <c r="AH696" s="122" t="s">
        <v>541</v>
      </c>
      <c r="AI696" s="97"/>
      <c r="AJ696" s="97"/>
      <c r="AK696" s="97"/>
      <c r="AL696" s="97"/>
      <c r="AM696" s="101">
        <f>AN694*8+AO694*4+AP694*2+AQ694</f>
        <v>6</v>
      </c>
      <c r="AN696" s="122" t="s">
        <v>542</v>
      </c>
      <c r="AO696" s="97"/>
      <c r="AP696" s="97"/>
      <c r="AQ696" s="97"/>
      <c r="AR696" s="97"/>
      <c r="AS696" s="101">
        <f>AT694*8+AU694*4+AV694*2+AW694</f>
        <v>12</v>
      </c>
      <c r="AT696" s="122" t="s">
        <v>543</v>
      </c>
      <c r="AU696" s="97"/>
      <c r="AV696" s="97"/>
      <c r="AW696" s="97"/>
      <c r="AX696" s="97"/>
      <c r="AY696" s="97"/>
      <c r="AZ696" s="20"/>
      <c r="BA696" s="20"/>
      <c r="BB696" s="20"/>
      <c r="BC696" s="20"/>
    </row>
    <row r="697" spans="1:55" ht="24.95" customHeight="1" x14ac:dyDescent="0.25">
      <c r="A697" s="100" t="s">
        <v>546</v>
      </c>
      <c r="B697" s="99"/>
      <c r="C697" s="87">
        <f>C694*2+H694</f>
        <v>1</v>
      </c>
      <c r="D697" s="98"/>
      <c r="E697" s="98"/>
      <c r="F697" s="99"/>
      <c r="G697" s="99"/>
      <c r="H697" s="99"/>
      <c r="I697" s="87">
        <f>I694*2+N694</f>
        <v>0</v>
      </c>
      <c r="J697" s="99"/>
      <c r="K697" s="99"/>
      <c r="L697" s="99"/>
      <c r="M697" s="99"/>
      <c r="N697" s="99"/>
      <c r="O697" s="87">
        <f>O694*2+T694</f>
        <v>3</v>
      </c>
      <c r="P697" s="99"/>
      <c r="Q697" s="99"/>
      <c r="R697" s="99"/>
      <c r="S697" s="99"/>
      <c r="T697" s="99"/>
      <c r="U697" s="87">
        <f>U694*2+Z694</f>
        <v>2</v>
      </c>
      <c r="V697" s="99"/>
      <c r="W697" s="99"/>
      <c r="X697" s="99"/>
      <c r="Y697" s="99"/>
      <c r="Z697" s="99"/>
      <c r="AA697" s="87">
        <f>AA694*2+AF694</f>
        <v>3</v>
      </c>
      <c r="AB697" s="99"/>
      <c r="AC697" s="99"/>
      <c r="AD697" s="99"/>
      <c r="AE697" s="99"/>
      <c r="AF697" s="99"/>
      <c r="AG697" s="87">
        <f>AG694*2+AL694</f>
        <v>3</v>
      </c>
      <c r="AH697" s="99"/>
      <c r="AI697" s="99"/>
      <c r="AJ697" s="99"/>
      <c r="AK697" s="99"/>
      <c r="AL697" s="99"/>
      <c r="AM697" s="87">
        <f>AM694*2+AR694</f>
        <v>2</v>
      </c>
      <c r="AN697" s="99"/>
      <c r="AO697" s="99"/>
      <c r="AP697" s="99"/>
      <c r="AQ697" s="99"/>
      <c r="AR697" s="99"/>
      <c r="AS697" s="87">
        <f>AS694*2+AX694</f>
        <v>0</v>
      </c>
      <c r="AT697" s="99"/>
      <c r="AU697" s="99"/>
      <c r="AV697" s="99"/>
      <c r="AW697" s="99"/>
      <c r="AX697" s="99"/>
      <c r="AY697" s="99"/>
      <c r="AZ697" s="20"/>
      <c r="BA697" s="20"/>
      <c r="BB697" s="20"/>
      <c r="BC697" s="20"/>
    </row>
    <row r="698" spans="1:55" ht="24.95" customHeight="1" x14ac:dyDescent="0.25">
      <c r="AZ698" s="20"/>
      <c r="BA698" s="20"/>
      <c r="BB698" s="20"/>
      <c r="BC698" s="20"/>
    </row>
    <row r="699" spans="1:55" ht="24.95" customHeight="1" x14ac:dyDescent="0.25">
      <c r="A699" s="117" t="s">
        <v>547</v>
      </c>
      <c r="C699" s="72">
        <f>INDEX('S-Box'!D3:S6,'DES-Enc'!C697+1,'DES-Enc'!C696+1)</f>
        <v>13</v>
      </c>
      <c r="I699" s="102">
        <f>INDEX('S-Box'!D9:S12,'DES-Enc'!I697+1,'DES-Enc'!I696+1)</f>
        <v>13</v>
      </c>
      <c r="O699" s="102">
        <f>INDEX('S-Box'!D15:S18,'DES-Enc'!O697+1,'DES-Enc'!O696+1)</f>
        <v>10</v>
      </c>
      <c r="U699" s="102">
        <f>INDEX('S-Box'!D21:S24,'DES-Enc'!U697+1,'DES-Enc'!U696+1)</f>
        <v>7</v>
      </c>
      <c r="AA699" s="102">
        <f>INDEX('S-Box'!D27:S30,'DES-Enc'!AA697+1,'DES-Enc'!AA696+1)</f>
        <v>15</v>
      </c>
      <c r="AG699" s="102">
        <f>INDEX('S-Box'!D33:S36,'DES-Enc'!AG697+1,'DES-Enc'!AG696+1)</f>
        <v>12</v>
      </c>
      <c r="AM699" s="102">
        <f>INDEX('S-Box'!D39:S42,'DES-Enc'!AM697+1,'DES-Enc'!AM696+1)</f>
        <v>7</v>
      </c>
      <c r="AS699" s="102">
        <f>INDEX('S-Box'!D45:S48,'DES-Enc'!AS697+1,'DES-Enc'!AS696+1)</f>
        <v>5</v>
      </c>
      <c r="AZ699" s="20"/>
      <c r="BA699" s="20"/>
      <c r="BB699" s="20"/>
      <c r="BC699" s="20"/>
    </row>
    <row r="700" spans="1:55" ht="24.95" customHeight="1" x14ac:dyDescent="0.25">
      <c r="C700" s="104"/>
      <c r="I700" s="95"/>
      <c r="O700" s="95"/>
      <c r="U700" s="95"/>
      <c r="AA700" s="95"/>
      <c r="AG700" s="95"/>
      <c r="AM700" s="95"/>
      <c r="AS700" s="95"/>
    </row>
    <row r="701" spans="1:55" ht="24.95" customHeight="1" x14ac:dyDescent="0.25">
      <c r="C701" s="105" t="str">
        <f>MID(DEC2BIN(C699,4),1,1)</f>
        <v>1</v>
      </c>
      <c r="D701" s="106" t="str">
        <f>MID(DEC2BIN(C699,4),2,1)</f>
        <v>1</v>
      </c>
      <c r="E701" s="106" t="str">
        <f>MID(DEC2BIN(C699,4),3,1)</f>
        <v>0</v>
      </c>
      <c r="F701" s="107" t="str">
        <f>MID(DEC2BIN(C699,4),4,1)</f>
        <v>1</v>
      </c>
      <c r="I701" s="105" t="str">
        <f>MID(DEC2BIN(I699,4),1,1)</f>
        <v>1</v>
      </c>
      <c r="J701" s="106" t="str">
        <f>MID(DEC2BIN(I699,4),2,1)</f>
        <v>1</v>
      </c>
      <c r="K701" s="106" t="str">
        <f>MID(DEC2BIN(I699,4),3,1)</f>
        <v>0</v>
      </c>
      <c r="L701" s="107" t="str">
        <f>MID(DEC2BIN(I699,4),4,1)</f>
        <v>1</v>
      </c>
      <c r="O701" s="105" t="str">
        <f>MID(DEC2BIN(O699,4),1,1)</f>
        <v>1</v>
      </c>
      <c r="P701" s="106" t="str">
        <f>MID(DEC2BIN(O699,4),2,1)</f>
        <v>0</v>
      </c>
      <c r="Q701" s="106" t="str">
        <f>MID(DEC2BIN(O699,4),3,1)</f>
        <v>1</v>
      </c>
      <c r="R701" s="107" t="str">
        <f>MID(DEC2BIN(O699,4),4,1)</f>
        <v>0</v>
      </c>
      <c r="U701" s="105" t="str">
        <f>MID(DEC2BIN(U699,4),1,1)</f>
        <v>0</v>
      </c>
      <c r="V701" s="106" t="str">
        <f>MID(DEC2BIN(U699,4),2,1)</f>
        <v>1</v>
      </c>
      <c r="W701" s="106" t="str">
        <f>MID(DEC2BIN(U699,4),3,1)</f>
        <v>1</v>
      </c>
      <c r="X701" s="107" t="str">
        <f>MID(DEC2BIN(U699,4),4,1)</f>
        <v>1</v>
      </c>
      <c r="AA701" s="105" t="str">
        <f>MID(DEC2BIN(AA699,4),1,1)</f>
        <v>1</v>
      </c>
      <c r="AB701" s="106" t="str">
        <f>MID(DEC2BIN(AA699,4),2,1)</f>
        <v>1</v>
      </c>
      <c r="AC701" s="106" t="str">
        <f>MID(DEC2BIN(AA699,4),3,1)</f>
        <v>1</v>
      </c>
      <c r="AD701" s="107" t="str">
        <f>MID(DEC2BIN(AA699,4),4,1)</f>
        <v>1</v>
      </c>
      <c r="AG701" s="105" t="str">
        <f>MID(DEC2BIN(AG699,4),1,1)</f>
        <v>1</v>
      </c>
      <c r="AH701" s="106" t="str">
        <f>MID(DEC2BIN(AG699,4),2,1)</f>
        <v>1</v>
      </c>
      <c r="AI701" s="106" t="str">
        <f>MID(DEC2BIN(AG699,4),3,1)</f>
        <v>0</v>
      </c>
      <c r="AJ701" s="107" t="str">
        <f>MID(DEC2BIN(AG699,4),4,1)</f>
        <v>0</v>
      </c>
      <c r="AM701" s="105" t="str">
        <f>MID(DEC2BIN(AM699,4),1,1)</f>
        <v>0</v>
      </c>
      <c r="AN701" s="106" t="str">
        <f>MID(DEC2BIN(AM699,4),2,1)</f>
        <v>1</v>
      </c>
      <c r="AO701" s="106" t="str">
        <f>MID(DEC2BIN(AM699,4),3,1)</f>
        <v>1</v>
      </c>
      <c r="AP701" s="107" t="str">
        <f>MID(DEC2BIN(AM699,4),4,1)</f>
        <v>1</v>
      </c>
      <c r="AS701" s="105" t="str">
        <f>MID(DEC2BIN(AS699,4),1,1)</f>
        <v>0</v>
      </c>
      <c r="AT701" s="106" t="str">
        <f>MID(DEC2BIN(AS699,4),2,1)</f>
        <v>1</v>
      </c>
      <c r="AU701" s="106" t="str">
        <f>MID(DEC2BIN(AS699,4),3,1)</f>
        <v>0</v>
      </c>
      <c r="AV701" s="107" t="str">
        <f>MID(DEC2BIN(AS699,4),4,1)</f>
        <v>1</v>
      </c>
    </row>
    <row r="702" spans="1:55" ht="24.95" customHeight="1" x14ac:dyDescent="0.25">
      <c r="C702" s="21">
        <f>VALUE(C701)</f>
        <v>1</v>
      </c>
      <c r="D702" s="21">
        <f t="shared" ref="D702" si="2043">VALUE(D701)</f>
        <v>1</v>
      </c>
      <c r="E702" s="21">
        <f t="shared" ref="E702" si="2044">VALUE(E701)</f>
        <v>0</v>
      </c>
      <c r="F702" s="21">
        <f t="shared" ref="F702" si="2045">VALUE(F701)</f>
        <v>1</v>
      </c>
      <c r="I702" s="21">
        <f t="shared" ref="I702" si="2046">VALUE(I701)</f>
        <v>1</v>
      </c>
      <c r="J702" s="21">
        <f t="shared" ref="J702" si="2047">VALUE(J701)</f>
        <v>1</v>
      </c>
      <c r="K702" s="21">
        <f t="shared" ref="K702" si="2048">VALUE(K701)</f>
        <v>0</v>
      </c>
      <c r="L702" s="21">
        <f t="shared" ref="L702" si="2049">VALUE(L701)</f>
        <v>1</v>
      </c>
      <c r="O702" s="21">
        <f>VALUE(O701)</f>
        <v>1</v>
      </c>
      <c r="P702" s="21">
        <f t="shared" ref="P702" si="2050">VALUE(P701)</f>
        <v>0</v>
      </c>
      <c r="Q702" s="21">
        <f t="shared" ref="Q702" si="2051">VALUE(Q701)</f>
        <v>1</v>
      </c>
      <c r="R702" s="21">
        <f t="shared" ref="R702" si="2052">VALUE(R701)</f>
        <v>0</v>
      </c>
      <c r="U702" s="21">
        <f>VALUE(U701)</f>
        <v>0</v>
      </c>
      <c r="V702" s="21">
        <f t="shared" ref="V702" si="2053">VALUE(V701)</f>
        <v>1</v>
      </c>
      <c r="W702" s="21">
        <f t="shared" ref="W702" si="2054">VALUE(W701)</f>
        <v>1</v>
      </c>
      <c r="X702" s="21">
        <f t="shared" ref="X702" si="2055">VALUE(X701)</f>
        <v>1</v>
      </c>
      <c r="AA702" s="21">
        <f>VALUE(AA701)</f>
        <v>1</v>
      </c>
      <c r="AB702" s="21">
        <f t="shared" ref="AB702" si="2056">VALUE(AB701)</f>
        <v>1</v>
      </c>
      <c r="AC702" s="21">
        <f t="shared" ref="AC702" si="2057">VALUE(AC701)</f>
        <v>1</v>
      </c>
      <c r="AD702" s="21">
        <f t="shared" ref="AD702" si="2058">VALUE(AD701)</f>
        <v>1</v>
      </c>
      <c r="AG702" s="21">
        <f>VALUE(AG701)</f>
        <v>1</v>
      </c>
      <c r="AH702" s="21">
        <f t="shared" ref="AH702" si="2059">VALUE(AH701)</f>
        <v>1</v>
      </c>
      <c r="AI702" s="21">
        <f t="shared" ref="AI702" si="2060">VALUE(AI701)</f>
        <v>0</v>
      </c>
      <c r="AJ702" s="21">
        <f t="shared" ref="AJ702" si="2061">VALUE(AJ701)</f>
        <v>0</v>
      </c>
      <c r="AM702" s="21">
        <f>VALUE(AM701)</f>
        <v>0</v>
      </c>
      <c r="AN702" s="21">
        <f t="shared" ref="AN702" si="2062">VALUE(AN701)</f>
        <v>1</v>
      </c>
      <c r="AO702" s="21">
        <f t="shared" ref="AO702" si="2063">VALUE(AO701)</f>
        <v>1</v>
      </c>
      <c r="AP702" s="21">
        <f t="shared" ref="AP702" si="2064">VALUE(AP701)</f>
        <v>1</v>
      </c>
      <c r="AS702" s="21">
        <f>VALUE(AS701)</f>
        <v>0</v>
      </c>
      <c r="AT702" s="21">
        <f t="shared" ref="AT702" si="2065">VALUE(AT701)</f>
        <v>1</v>
      </c>
      <c r="AU702" s="21">
        <f t="shared" ref="AU702" si="2066">VALUE(AU701)</f>
        <v>0</v>
      </c>
      <c r="AV702" s="21">
        <f t="shared" ref="AV702" si="2067">VALUE(AV701)</f>
        <v>1</v>
      </c>
    </row>
    <row r="703" spans="1:55" ht="24.95" customHeight="1" x14ac:dyDescent="0.25">
      <c r="A703" s="111" t="s">
        <v>588</v>
      </c>
      <c r="B703" s="111"/>
      <c r="C703" s="111">
        <v>1</v>
      </c>
      <c r="D703" s="76">
        <v>2</v>
      </c>
      <c r="E703" s="111">
        <v>3</v>
      </c>
      <c r="F703" s="76">
        <v>4</v>
      </c>
      <c r="G703" s="111">
        <v>5</v>
      </c>
      <c r="H703" s="76">
        <v>6</v>
      </c>
      <c r="I703" s="111">
        <v>7</v>
      </c>
      <c r="J703" s="76">
        <v>8</v>
      </c>
      <c r="K703" s="111">
        <v>9</v>
      </c>
      <c r="L703" s="76">
        <v>10</v>
      </c>
      <c r="M703" s="111">
        <v>11</v>
      </c>
      <c r="N703" s="76">
        <v>12</v>
      </c>
      <c r="O703" s="111">
        <v>13</v>
      </c>
      <c r="P703" s="76">
        <v>14</v>
      </c>
      <c r="Q703" s="111">
        <v>15</v>
      </c>
      <c r="R703" s="76">
        <v>16</v>
      </c>
      <c r="S703" s="111">
        <v>17</v>
      </c>
      <c r="T703" s="76">
        <v>18</v>
      </c>
      <c r="U703" s="111">
        <v>19</v>
      </c>
      <c r="V703" s="76">
        <v>20</v>
      </c>
      <c r="W703" s="111">
        <v>21</v>
      </c>
      <c r="X703" s="76">
        <v>22</v>
      </c>
      <c r="Y703" s="111">
        <v>23</v>
      </c>
      <c r="Z703" s="76">
        <v>24</v>
      </c>
      <c r="AA703" s="111">
        <v>25</v>
      </c>
      <c r="AB703" s="76">
        <v>26</v>
      </c>
      <c r="AC703" s="111">
        <v>27</v>
      </c>
      <c r="AD703" s="76">
        <v>28</v>
      </c>
      <c r="AE703" s="111">
        <v>29</v>
      </c>
      <c r="AF703" s="76">
        <v>30</v>
      </c>
      <c r="AG703" s="111">
        <v>31</v>
      </c>
      <c r="AH703" s="76">
        <v>32</v>
      </c>
    </row>
    <row r="704" spans="1:55" ht="24.95" customHeight="1" x14ac:dyDescent="0.25">
      <c r="C704" s="108">
        <f>C702</f>
        <v>1</v>
      </c>
      <c r="D704" s="108">
        <f t="shared" ref="D704:F704" si="2068">D702</f>
        <v>1</v>
      </c>
      <c r="E704" s="108">
        <f t="shared" si="2068"/>
        <v>0</v>
      </c>
      <c r="F704" s="108">
        <f t="shared" si="2068"/>
        <v>1</v>
      </c>
      <c r="G704" s="23">
        <f>I702</f>
        <v>1</v>
      </c>
      <c r="H704" s="23">
        <f t="shared" ref="H704" si="2069">J702</f>
        <v>1</v>
      </c>
      <c r="I704" s="23">
        <f t="shared" ref="I704" si="2070">K702</f>
        <v>0</v>
      </c>
      <c r="J704" s="23">
        <f t="shared" ref="J704" si="2071">L702</f>
        <v>1</v>
      </c>
      <c r="K704" s="23">
        <f>O702</f>
        <v>1</v>
      </c>
      <c r="L704" s="23">
        <f t="shared" ref="L704" si="2072">P702</f>
        <v>0</v>
      </c>
      <c r="M704" s="23">
        <f t="shared" ref="M704" si="2073">Q702</f>
        <v>1</v>
      </c>
      <c r="N704" s="23">
        <f t="shared" ref="N704" si="2074">R702</f>
        <v>0</v>
      </c>
      <c r="O704" s="23">
        <f>U702</f>
        <v>0</v>
      </c>
      <c r="P704" s="23">
        <f t="shared" ref="P704" si="2075">V702</f>
        <v>1</v>
      </c>
      <c r="Q704" s="23">
        <f t="shared" ref="Q704" si="2076">W702</f>
        <v>1</v>
      </c>
      <c r="R704" s="23">
        <f t="shared" ref="R704" si="2077">X702</f>
        <v>1</v>
      </c>
      <c r="S704" s="23">
        <f>AA702</f>
        <v>1</v>
      </c>
      <c r="T704" s="23">
        <f t="shared" ref="T704" si="2078">AB702</f>
        <v>1</v>
      </c>
      <c r="U704" s="23">
        <f t="shared" ref="U704" si="2079">AC702</f>
        <v>1</v>
      </c>
      <c r="V704" s="23">
        <f t="shared" ref="V704" si="2080">AD702</f>
        <v>1</v>
      </c>
      <c r="W704" s="23">
        <f>AG702</f>
        <v>1</v>
      </c>
      <c r="X704" s="23">
        <f t="shared" ref="X704" si="2081">AH702</f>
        <v>1</v>
      </c>
      <c r="Y704" s="23">
        <f t="shared" ref="Y704" si="2082">AI702</f>
        <v>0</v>
      </c>
      <c r="Z704" s="23">
        <f t="shared" ref="Z704" si="2083">AJ702</f>
        <v>0</v>
      </c>
      <c r="AA704" s="23">
        <f>AM702</f>
        <v>0</v>
      </c>
      <c r="AB704" s="23">
        <f t="shared" ref="AB704" si="2084">AN702</f>
        <v>1</v>
      </c>
      <c r="AC704" s="23">
        <f t="shared" ref="AC704" si="2085">AO702</f>
        <v>1</v>
      </c>
      <c r="AD704" s="23">
        <f t="shared" ref="AD704" si="2086">AP702</f>
        <v>1</v>
      </c>
      <c r="AE704" s="23">
        <f>AS702</f>
        <v>0</v>
      </c>
      <c r="AF704" s="23">
        <f t="shared" ref="AF704" si="2087">AT702</f>
        <v>1</v>
      </c>
      <c r="AG704" s="23">
        <f t="shared" ref="AG704" si="2088">AU702</f>
        <v>0</v>
      </c>
      <c r="AH704" s="23">
        <f t="shared" ref="AH704" si="2089">AV702</f>
        <v>1</v>
      </c>
    </row>
    <row r="706" spans="1:35" ht="24.95" customHeight="1" x14ac:dyDescent="0.25">
      <c r="A706" s="110" t="s">
        <v>548</v>
      </c>
      <c r="B706" s="110"/>
      <c r="C706" s="109">
        <v>16</v>
      </c>
      <c r="D706" s="110">
        <v>7</v>
      </c>
      <c r="E706" s="110">
        <v>20</v>
      </c>
      <c r="F706" s="110">
        <v>21</v>
      </c>
      <c r="G706" s="110">
        <v>29</v>
      </c>
      <c r="H706" s="110">
        <v>12</v>
      </c>
      <c r="I706" s="110">
        <v>28</v>
      </c>
      <c r="J706" s="110">
        <v>17</v>
      </c>
      <c r="K706" s="110">
        <v>1</v>
      </c>
      <c r="L706" s="110">
        <v>15</v>
      </c>
      <c r="M706" s="110">
        <v>23</v>
      </c>
      <c r="N706" s="110">
        <v>26</v>
      </c>
      <c r="O706" s="110">
        <v>5</v>
      </c>
      <c r="P706" s="110">
        <v>18</v>
      </c>
      <c r="Q706" s="110">
        <v>31</v>
      </c>
      <c r="R706" s="110">
        <v>10</v>
      </c>
      <c r="S706" s="110">
        <v>2</v>
      </c>
      <c r="T706" s="110">
        <v>8</v>
      </c>
      <c r="U706" s="110">
        <v>24</v>
      </c>
      <c r="V706" s="110">
        <v>14</v>
      </c>
      <c r="W706" s="110">
        <v>32</v>
      </c>
      <c r="X706" s="110">
        <v>27</v>
      </c>
      <c r="Y706" s="110">
        <v>3</v>
      </c>
      <c r="Z706" s="110">
        <v>9</v>
      </c>
      <c r="AA706" s="110">
        <v>19</v>
      </c>
      <c r="AB706" s="110">
        <v>13</v>
      </c>
      <c r="AC706" s="110">
        <v>30</v>
      </c>
      <c r="AD706" s="110">
        <v>6</v>
      </c>
      <c r="AE706" s="110">
        <v>22</v>
      </c>
      <c r="AF706" s="110">
        <v>11</v>
      </c>
      <c r="AG706" s="110">
        <v>4</v>
      </c>
      <c r="AH706" s="110">
        <v>25</v>
      </c>
    </row>
    <row r="707" spans="1:35" ht="24.95" customHeight="1" x14ac:dyDescent="0.25">
      <c r="C707" s="103">
        <f>K704</f>
        <v>1</v>
      </c>
      <c r="D707" s="103">
        <f>S704</f>
        <v>1</v>
      </c>
      <c r="E707" s="103">
        <f>Y704</f>
        <v>0</v>
      </c>
      <c r="F707" s="112">
        <f>AG704</f>
        <v>0</v>
      </c>
      <c r="G707" s="103">
        <f>O704</f>
        <v>0</v>
      </c>
      <c r="H707" s="103">
        <f>AD704</f>
        <v>1</v>
      </c>
      <c r="I707" s="103">
        <f>D704</f>
        <v>1</v>
      </c>
      <c r="J707" s="103">
        <f>T704</f>
        <v>1</v>
      </c>
      <c r="K707" s="103">
        <f>Z704</f>
        <v>0</v>
      </c>
      <c r="L707" s="103">
        <f>R704</f>
        <v>1</v>
      </c>
      <c r="M707" s="103">
        <f>AF704</f>
        <v>1</v>
      </c>
      <c r="N707" s="103">
        <f>H704</f>
        <v>1</v>
      </c>
      <c r="O707" s="103">
        <f>AB704</f>
        <v>1</v>
      </c>
      <c r="P707" s="103">
        <f>V704</f>
        <v>1</v>
      </c>
      <c r="Q707" s="103">
        <f>L704</f>
        <v>0</v>
      </c>
      <c r="R707" s="103">
        <f>C704</f>
        <v>1</v>
      </c>
      <c r="S707" s="103">
        <f>J704</f>
        <v>1</v>
      </c>
      <c r="T707" s="103">
        <f>P704</f>
        <v>1</v>
      </c>
      <c r="U707" s="103">
        <f>AA704</f>
        <v>0</v>
      </c>
      <c r="V707" s="103">
        <f>E704</f>
        <v>0</v>
      </c>
      <c r="W707" s="103">
        <f>F704</f>
        <v>1</v>
      </c>
      <c r="X707" s="103">
        <f>AE704</f>
        <v>0</v>
      </c>
      <c r="Y707" s="103">
        <f>M704</f>
        <v>1</v>
      </c>
      <c r="Z707" s="103">
        <f>U704</f>
        <v>1</v>
      </c>
      <c r="AA707" s="103">
        <f>AH704</f>
        <v>1</v>
      </c>
      <c r="AB707" s="103">
        <f>N704</f>
        <v>0</v>
      </c>
      <c r="AC707" s="103">
        <f>X704</f>
        <v>1</v>
      </c>
      <c r="AD707" s="103">
        <f>I704</f>
        <v>0</v>
      </c>
      <c r="AE707" s="103">
        <f>G704</f>
        <v>1</v>
      </c>
      <c r="AF707" s="103">
        <f>AC704</f>
        <v>1</v>
      </c>
      <c r="AG707" s="103">
        <f>Q704</f>
        <v>1</v>
      </c>
      <c r="AH707" s="103">
        <f>W704</f>
        <v>1</v>
      </c>
    </row>
    <row r="708" spans="1:35" ht="24.95" customHeight="1" x14ac:dyDescent="0.25">
      <c r="C708" s="130">
        <v>1</v>
      </c>
      <c r="D708" s="131">
        <v>2</v>
      </c>
      <c r="E708" s="130">
        <v>3</v>
      </c>
      <c r="F708" s="131">
        <v>4</v>
      </c>
      <c r="G708" s="130">
        <v>5</v>
      </c>
      <c r="H708" s="131">
        <v>6</v>
      </c>
      <c r="I708" s="130">
        <v>7</v>
      </c>
      <c r="J708" s="131">
        <v>8</v>
      </c>
      <c r="K708" s="130">
        <v>9</v>
      </c>
      <c r="L708" s="131">
        <v>10</v>
      </c>
      <c r="M708" s="130">
        <v>11</v>
      </c>
      <c r="N708" s="131">
        <v>12</v>
      </c>
      <c r="O708" s="130">
        <v>13</v>
      </c>
      <c r="P708" s="131">
        <v>14</v>
      </c>
      <c r="Q708" s="130">
        <v>15</v>
      </c>
      <c r="R708" s="131">
        <v>16</v>
      </c>
      <c r="S708" s="130">
        <v>17</v>
      </c>
      <c r="T708" s="131">
        <v>18</v>
      </c>
      <c r="U708" s="130">
        <v>19</v>
      </c>
      <c r="V708" s="131">
        <v>20</v>
      </c>
      <c r="W708" s="130">
        <v>21</v>
      </c>
      <c r="X708" s="131">
        <v>22</v>
      </c>
      <c r="Y708" s="130">
        <v>23</v>
      </c>
      <c r="Z708" s="131">
        <v>24</v>
      </c>
      <c r="AA708" s="130">
        <v>25</v>
      </c>
      <c r="AB708" s="131">
        <v>26</v>
      </c>
      <c r="AC708" s="130">
        <v>27</v>
      </c>
      <c r="AD708" s="131">
        <v>28</v>
      </c>
      <c r="AE708" s="130">
        <v>29</v>
      </c>
      <c r="AF708" s="131">
        <v>30</v>
      </c>
      <c r="AG708" s="130">
        <v>31</v>
      </c>
      <c r="AH708" s="131">
        <v>32</v>
      </c>
    </row>
    <row r="712" spans="1:35" ht="24.95" customHeight="1" x14ac:dyDescent="0.25">
      <c r="A712" s="114" t="s">
        <v>578</v>
      </c>
      <c r="B712" s="114"/>
      <c r="C712" s="114"/>
      <c r="D712" s="68">
        <v>1</v>
      </c>
      <c r="E712" s="68">
        <v>2</v>
      </c>
      <c r="F712" s="68">
        <v>3</v>
      </c>
      <c r="G712" s="68">
        <v>4</v>
      </c>
      <c r="H712" s="68">
        <v>5</v>
      </c>
      <c r="I712" s="68">
        <v>6</v>
      </c>
      <c r="J712" s="68">
        <v>7</v>
      </c>
      <c r="K712" s="68">
        <v>8</v>
      </c>
      <c r="L712" s="68">
        <v>9</v>
      </c>
      <c r="M712" s="68">
        <v>10</v>
      </c>
      <c r="N712" s="68">
        <v>11</v>
      </c>
      <c r="O712" s="68">
        <v>12</v>
      </c>
      <c r="P712" s="68">
        <v>13</v>
      </c>
      <c r="Q712" s="68">
        <v>14</v>
      </c>
      <c r="R712" s="68">
        <v>15</v>
      </c>
      <c r="S712" s="68">
        <v>16</v>
      </c>
      <c r="T712" s="68">
        <v>17</v>
      </c>
      <c r="U712" s="68">
        <v>18</v>
      </c>
      <c r="V712" s="68">
        <v>19</v>
      </c>
      <c r="W712" s="68">
        <v>20</v>
      </c>
      <c r="X712" s="68">
        <v>21</v>
      </c>
      <c r="Y712" s="68">
        <v>22</v>
      </c>
      <c r="Z712" s="68">
        <v>23</v>
      </c>
      <c r="AA712" s="68">
        <v>24</v>
      </c>
      <c r="AB712" s="68">
        <v>25</v>
      </c>
      <c r="AC712" s="68">
        <v>26</v>
      </c>
      <c r="AD712" s="68">
        <v>27</v>
      </c>
      <c r="AE712" s="68">
        <v>28</v>
      </c>
      <c r="AF712" s="68">
        <v>29</v>
      </c>
      <c r="AG712" s="68">
        <v>30</v>
      </c>
      <c r="AH712" s="68">
        <v>31</v>
      </c>
      <c r="AI712" s="68">
        <v>32</v>
      </c>
    </row>
    <row r="713" spans="1:35" ht="24.95" customHeight="1" x14ac:dyDescent="0.25">
      <c r="A713" s="64" t="s">
        <v>549</v>
      </c>
      <c r="D713" s="67">
        <f>C671</f>
        <v>1</v>
      </c>
      <c r="E713" s="68">
        <f t="shared" ref="E713" si="2090">D671</f>
        <v>1</v>
      </c>
      <c r="F713" s="68">
        <f t="shared" ref="F713" si="2091">E671</f>
        <v>0</v>
      </c>
      <c r="G713" s="68">
        <f t="shared" ref="G713" si="2092">F671</f>
        <v>0</v>
      </c>
      <c r="H713" s="68">
        <f t="shared" ref="H713" si="2093">G671</f>
        <v>1</v>
      </c>
      <c r="I713" s="68">
        <f t="shared" ref="I713" si="2094">H671</f>
        <v>1</v>
      </c>
      <c r="J713" s="68">
        <f t="shared" ref="J713" si="2095">I671</f>
        <v>1</v>
      </c>
      <c r="K713" s="68">
        <f t="shared" ref="K713" si="2096">J671</f>
        <v>0</v>
      </c>
      <c r="L713" s="68">
        <f t="shared" ref="L713" si="2097">K671</f>
        <v>0</v>
      </c>
      <c r="M713" s="68">
        <f t="shared" ref="M713" si="2098">L671</f>
        <v>0</v>
      </c>
      <c r="N713" s="68">
        <f t="shared" ref="N713" si="2099">M671</f>
        <v>0</v>
      </c>
      <c r="O713" s="68">
        <f t="shared" ref="O713" si="2100">N671</f>
        <v>1</v>
      </c>
      <c r="P713" s="68">
        <f t="shared" ref="P713" si="2101">O671</f>
        <v>1</v>
      </c>
      <c r="Q713" s="68">
        <f t="shared" ref="Q713" si="2102">P671</f>
        <v>0</v>
      </c>
      <c r="R713" s="68">
        <f t="shared" ref="R713" si="2103">Q671</f>
        <v>0</v>
      </c>
      <c r="S713" s="68">
        <f t="shared" ref="S713" si="2104">R671</f>
        <v>0</v>
      </c>
      <c r="T713" s="68">
        <f t="shared" ref="T713" si="2105">S671</f>
        <v>0</v>
      </c>
      <c r="U713" s="68">
        <f t="shared" ref="U713" si="2106">T671</f>
        <v>1</v>
      </c>
      <c r="V713" s="68">
        <f t="shared" ref="V713" si="2107">U671</f>
        <v>1</v>
      </c>
      <c r="W713" s="68">
        <f t="shared" ref="W713" si="2108">V671</f>
        <v>0</v>
      </c>
      <c r="X713" s="68">
        <f t="shared" ref="X713" si="2109">W671</f>
        <v>0</v>
      </c>
      <c r="Y713" s="68">
        <f t="shared" ref="Y713" si="2110">X671</f>
        <v>0</v>
      </c>
      <c r="Z713" s="68">
        <f t="shared" ref="Z713" si="2111">Y671</f>
        <v>0</v>
      </c>
      <c r="AA713" s="68">
        <f t="shared" ref="AA713" si="2112">Z671</f>
        <v>0</v>
      </c>
      <c r="AB713" s="68">
        <f t="shared" ref="AB713" si="2113">AA671</f>
        <v>1</v>
      </c>
      <c r="AC713" s="68">
        <f t="shared" ref="AC713" si="2114">AB671</f>
        <v>0</v>
      </c>
      <c r="AD713" s="68">
        <f t="shared" ref="AD713" si="2115">AC671</f>
        <v>1</v>
      </c>
      <c r="AE713" s="68">
        <f t="shared" ref="AE713" si="2116">AD671</f>
        <v>0</v>
      </c>
      <c r="AF713" s="68">
        <f t="shared" ref="AF713" si="2117">AE671</f>
        <v>0</v>
      </c>
      <c r="AG713" s="68">
        <f t="shared" ref="AG713" si="2118">AF671</f>
        <v>1</v>
      </c>
      <c r="AH713" s="68">
        <f t="shared" ref="AH713" si="2119">AG671</f>
        <v>0</v>
      </c>
      <c r="AI713" s="68">
        <f t="shared" ref="AI713" si="2120">AH671</f>
        <v>0</v>
      </c>
    </row>
    <row r="715" spans="1:35" ht="24.95" customHeight="1" x14ac:dyDescent="0.25">
      <c r="A715" s="114" t="s">
        <v>579</v>
      </c>
      <c r="B715" s="114"/>
      <c r="C715" s="114"/>
      <c r="D715" s="70">
        <v>1</v>
      </c>
      <c r="E715" s="70">
        <v>2</v>
      </c>
      <c r="F715" s="70">
        <v>3</v>
      </c>
      <c r="G715" s="70">
        <v>4</v>
      </c>
      <c r="H715" s="70">
        <v>5</v>
      </c>
      <c r="I715" s="70">
        <v>6</v>
      </c>
      <c r="J715" s="70">
        <v>7</v>
      </c>
      <c r="K715" s="70">
        <v>8</v>
      </c>
      <c r="L715" s="70">
        <v>9</v>
      </c>
      <c r="M715" s="70">
        <v>10</v>
      </c>
      <c r="N715" s="70">
        <v>11</v>
      </c>
      <c r="O715" s="70">
        <v>12</v>
      </c>
      <c r="P715" s="70">
        <v>13</v>
      </c>
      <c r="Q715" s="70">
        <v>14</v>
      </c>
      <c r="R715" s="70">
        <v>15</v>
      </c>
      <c r="S715" s="70">
        <v>16</v>
      </c>
      <c r="T715" s="70">
        <v>17</v>
      </c>
      <c r="U715" s="70">
        <v>18</v>
      </c>
      <c r="V715" s="70">
        <v>19</v>
      </c>
      <c r="W715" s="70">
        <v>20</v>
      </c>
      <c r="X715" s="70">
        <v>21</v>
      </c>
      <c r="Y715" s="70">
        <v>22</v>
      </c>
      <c r="Z715" s="70">
        <v>23</v>
      </c>
      <c r="AA715" s="70">
        <v>24</v>
      </c>
      <c r="AB715" s="70">
        <v>25</v>
      </c>
      <c r="AC715" s="70">
        <v>26</v>
      </c>
      <c r="AD715" s="70">
        <v>27</v>
      </c>
      <c r="AE715" s="70">
        <v>28</v>
      </c>
      <c r="AF715" s="70">
        <v>29</v>
      </c>
      <c r="AG715" s="70">
        <v>30</v>
      </c>
      <c r="AH715" s="70">
        <v>31</v>
      </c>
      <c r="AI715" s="70">
        <v>32</v>
      </c>
    </row>
    <row r="716" spans="1:35" ht="24.95" customHeight="1" x14ac:dyDescent="0.25">
      <c r="A716" s="64" t="s">
        <v>551</v>
      </c>
      <c r="D716" s="70">
        <f>--_xlfn.XOR(C707,D664)</f>
        <v>1</v>
      </c>
      <c r="E716" s="70">
        <f t="shared" ref="E716:AI716" si="2121">--_xlfn.XOR(D707,E664)</f>
        <v>0</v>
      </c>
      <c r="F716" s="70">
        <f t="shared" si="2121"/>
        <v>0</v>
      </c>
      <c r="G716" s="70">
        <f t="shared" si="2121"/>
        <v>0</v>
      </c>
      <c r="H716" s="70">
        <f t="shared" si="2121"/>
        <v>0</v>
      </c>
      <c r="I716" s="70">
        <f t="shared" si="2121"/>
        <v>0</v>
      </c>
      <c r="J716" s="70">
        <f t="shared" si="2121"/>
        <v>0</v>
      </c>
      <c r="K716" s="70">
        <f t="shared" si="2121"/>
        <v>1</v>
      </c>
      <c r="L716" s="70">
        <f t="shared" si="2121"/>
        <v>0</v>
      </c>
      <c r="M716" s="70">
        <f t="shared" si="2121"/>
        <v>0</v>
      </c>
      <c r="N716" s="70">
        <f t="shared" si="2121"/>
        <v>1</v>
      </c>
      <c r="O716" s="70">
        <f t="shared" si="2121"/>
        <v>0</v>
      </c>
      <c r="P716" s="70">
        <f t="shared" si="2121"/>
        <v>0</v>
      </c>
      <c r="Q716" s="70">
        <f t="shared" si="2121"/>
        <v>0</v>
      </c>
      <c r="R716" s="70">
        <f t="shared" si="2121"/>
        <v>1</v>
      </c>
      <c r="S716" s="70">
        <f t="shared" si="2121"/>
        <v>0</v>
      </c>
      <c r="T716" s="70">
        <f t="shared" si="2121"/>
        <v>0</v>
      </c>
      <c r="U716" s="70">
        <f t="shared" si="2121"/>
        <v>1</v>
      </c>
      <c r="V716" s="70">
        <f t="shared" si="2121"/>
        <v>1</v>
      </c>
      <c r="W716" s="70">
        <f t="shared" si="2121"/>
        <v>1</v>
      </c>
      <c r="X716" s="70">
        <f t="shared" si="2121"/>
        <v>0</v>
      </c>
      <c r="Y716" s="70">
        <f t="shared" si="2121"/>
        <v>0</v>
      </c>
      <c r="Z716" s="70">
        <f t="shared" si="2121"/>
        <v>0</v>
      </c>
      <c r="AA716" s="70">
        <f t="shared" si="2121"/>
        <v>1</v>
      </c>
      <c r="AB716" s="70">
        <f t="shared" si="2121"/>
        <v>1</v>
      </c>
      <c r="AC716" s="70">
        <f t="shared" si="2121"/>
        <v>0</v>
      </c>
      <c r="AD716" s="70">
        <f t="shared" si="2121"/>
        <v>1</v>
      </c>
      <c r="AE716" s="70">
        <f t="shared" si="2121"/>
        <v>1</v>
      </c>
      <c r="AF716" s="70">
        <f t="shared" si="2121"/>
        <v>1</v>
      </c>
      <c r="AG716" s="70">
        <f t="shared" si="2121"/>
        <v>1</v>
      </c>
      <c r="AH716" s="70">
        <f t="shared" si="2121"/>
        <v>0</v>
      </c>
      <c r="AI716" s="70">
        <f t="shared" si="2121"/>
        <v>0</v>
      </c>
    </row>
    <row r="717" spans="1:35" ht="24.95" customHeight="1" x14ac:dyDescent="0.25">
      <c r="A717" s="132" t="s">
        <v>621</v>
      </c>
    </row>
    <row r="718" spans="1:35" s="132" customFormat="1" ht="24.95" customHeight="1" x14ac:dyDescent="0.25">
      <c r="B718" s="133"/>
      <c r="C718" s="134"/>
    </row>
    <row r="719" spans="1:35" ht="24.95" customHeight="1" x14ac:dyDescent="0.25">
      <c r="B719" s="21"/>
      <c r="C719" s="70">
        <v>1</v>
      </c>
      <c r="D719" s="70">
        <v>2</v>
      </c>
      <c r="E719" s="70">
        <v>3</v>
      </c>
      <c r="F719" s="70">
        <v>4</v>
      </c>
      <c r="G719" s="70">
        <v>5</v>
      </c>
      <c r="H719" s="70">
        <v>6</v>
      </c>
      <c r="I719" s="70">
        <v>7</v>
      </c>
      <c r="J719" s="70">
        <v>8</v>
      </c>
      <c r="K719" s="70">
        <v>9</v>
      </c>
      <c r="L719" s="70">
        <v>10</v>
      </c>
      <c r="M719" s="70">
        <v>11</v>
      </c>
      <c r="N719" s="70">
        <v>12</v>
      </c>
      <c r="O719" s="70">
        <v>13</v>
      </c>
      <c r="P719" s="70">
        <v>14</v>
      </c>
      <c r="Q719" s="70">
        <v>15</v>
      </c>
      <c r="R719" s="70">
        <v>16</v>
      </c>
      <c r="S719" s="70">
        <v>17</v>
      </c>
      <c r="T719" s="70">
        <v>18</v>
      </c>
      <c r="U719" s="70">
        <v>19</v>
      </c>
      <c r="V719" s="70">
        <v>20</v>
      </c>
      <c r="W719" s="70">
        <v>21</v>
      </c>
      <c r="X719" s="70">
        <v>22</v>
      </c>
      <c r="Y719" s="70">
        <v>23</v>
      </c>
      <c r="Z719" s="70">
        <v>24</v>
      </c>
      <c r="AA719" s="70">
        <v>25</v>
      </c>
      <c r="AB719" s="70">
        <v>26</v>
      </c>
      <c r="AC719" s="70">
        <v>27</v>
      </c>
      <c r="AD719" s="70">
        <v>28</v>
      </c>
      <c r="AE719" s="70">
        <v>29</v>
      </c>
      <c r="AF719" s="70">
        <v>30</v>
      </c>
      <c r="AG719" s="70">
        <v>31</v>
      </c>
      <c r="AH719" s="70">
        <v>32</v>
      </c>
    </row>
    <row r="720" spans="1:35" ht="24.95" customHeight="1" x14ac:dyDescent="0.25">
      <c r="A720" s="114" t="s">
        <v>579</v>
      </c>
      <c r="B720" s="114"/>
      <c r="C720" s="70">
        <f>D716</f>
        <v>1</v>
      </c>
      <c r="D720" s="70">
        <f t="shared" ref="D720:AH720" si="2122">E716</f>
        <v>0</v>
      </c>
      <c r="E720" s="70">
        <f t="shared" si="2122"/>
        <v>0</v>
      </c>
      <c r="F720" s="70">
        <f t="shared" si="2122"/>
        <v>0</v>
      </c>
      <c r="G720" s="70">
        <f t="shared" si="2122"/>
        <v>0</v>
      </c>
      <c r="H720" s="70">
        <f t="shared" si="2122"/>
        <v>0</v>
      </c>
      <c r="I720" s="70">
        <f t="shared" si="2122"/>
        <v>0</v>
      </c>
      <c r="J720" s="70">
        <f t="shared" si="2122"/>
        <v>1</v>
      </c>
      <c r="K720" s="70">
        <f t="shared" si="2122"/>
        <v>0</v>
      </c>
      <c r="L720" s="70">
        <f t="shared" si="2122"/>
        <v>0</v>
      </c>
      <c r="M720" s="70">
        <f t="shared" si="2122"/>
        <v>1</v>
      </c>
      <c r="N720" s="70">
        <f t="shared" si="2122"/>
        <v>0</v>
      </c>
      <c r="O720" s="70">
        <f t="shared" si="2122"/>
        <v>0</v>
      </c>
      <c r="P720" s="70">
        <f t="shared" si="2122"/>
        <v>0</v>
      </c>
      <c r="Q720" s="70">
        <f t="shared" si="2122"/>
        <v>1</v>
      </c>
      <c r="R720" s="70">
        <f t="shared" si="2122"/>
        <v>0</v>
      </c>
      <c r="S720" s="70">
        <f t="shared" si="2122"/>
        <v>0</v>
      </c>
      <c r="T720" s="70">
        <f t="shared" si="2122"/>
        <v>1</v>
      </c>
      <c r="U720" s="70">
        <f t="shared" si="2122"/>
        <v>1</v>
      </c>
      <c r="V720" s="70">
        <f t="shared" si="2122"/>
        <v>1</v>
      </c>
      <c r="W720" s="70">
        <f t="shared" si="2122"/>
        <v>0</v>
      </c>
      <c r="X720" s="70">
        <f t="shared" si="2122"/>
        <v>0</v>
      </c>
      <c r="Y720" s="70">
        <f t="shared" si="2122"/>
        <v>0</v>
      </c>
      <c r="Z720" s="70">
        <f t="shared" si="2122"/>
        <v>1</v>
      </c>
      <c r="AA720" s="70">
        <f t="shared" si="2122"/>
        <v>1</v>
      </c>
      <c r="AB720" s="70">
        <f t="shared" si="2122"/>
        <v>0</v>
      </c>
      <c r="AC720" s="70">
        <f t="shared" si="2122"/>
        <v>1</v>
      </c>
      <c r="AD720" s="70">
        <f t="shared" si="2122"/>
        <v>1</v>
      </c>
      <c r="AE720" s="70">
        <f t="shared" si="2122"/>
        <v>1</v>
      </c>
      <c r="AF720" s="70">
        <f t="shared" si="2122"/>
        <v>1</v>
      </c>
      <c r="AG720" s="70">
        <f t="shared" si="2122"/>
        <v>0</v>
      </c>
      <c r="AH720" s="70">
        <f t="shared" si="2122"/>
        <v>0</v>
      </c>
      <c r="AI720" s="135"/>
    </row>
    <row r="722" spans="1:51" ht="24.95" customHeight="1" x14ac:dyDescent="0.25">
      <c r="A722" s="132"/>
      <c r="B722" s="133"/>
      <c r="C722" s="134"/>
      <c r="D722" s="132"/>
      <c r="E722" s="132"/>
      <c r="F722" s="132"/>
      <c r="G722" s="132"/>
      <c r="H722" s="132"/>
      <c r="I722" s="132"/>
      <c r="J722" s="132"/>
      <c r="K722" s="132"/>
      <c r="L722" s="132"/>
      <c r="M722" s="132"/>
      <c r="N722" s="132"/>
      <c r="O722" s="132"/>
      <c r="P722" s="132"/>
      <c r="Q722" s="132"/>
      <c r="R722" s="132"/>
      <c r="S722" s="132"/>
      <c r="T722" s="132"/>
      <c r="U722" s="132"/>
      <c r="V722" s="132"/>
      <c r="W722" s="132"/>
      <c r="X722" s="132"/>
      <c r="Y722" s="132"/>
      <c r="Z722" s="132"/>
      <c r="AA722" s="132"/>
      <c r="AB722" s="132"/>
      <c r="AC722" s="132"/>
      <c r="AD722" s="132"/>
      <c r="AE722" s="132"/>
      <c r="AF722" s="132"/>
      <c r="AG722" s="132"/>
      <c r="AH722" s="132"/>
      <c r="AI722" s="132"/>
      <c r="AJ722" s="132"/>
      <c r="AK722" s="132"/>
      <c r="AL722" s="132"/>
      <c r="AM722" s="132"/>
      <c r="AN722" s="132"/>
      <c r="AO722" s="132"/>
      <c r="AP722" s="132"/>
      <c r="AQ722" s="132"/>
      <c r="AR722" s="132"/>
      <c r="AS722" s="132"/>
      <c r="AT722" s="132"/>
      <c r="AU722" s="132"/>
      <c r="AV722" s="132"/>
      <c r="AW722" s="132"/>
      <c r="AX722" s="132"/>
      <c r="AY722" s="132"/>
    </row>
    <row r="724" spans="1:51" ht="24.95" customHeight="1" x14ac:dyDescent="0.25">
      <c r="A724" s="118" t="s">
        <v>532</v>
      </c>
      <c r="B724" s="118"/>
      <c r="C724" s="75">
        <v>32</v>
      </c>
      <c r="D724" s="74">
        <v>1</v>
      </c>
      <c r="E724" s="74">
        <v>2</v>
      </c>
      <c r="F724" s="74">
        <v>3</v>
      </c>
      <c r="G724" s="74">
        <v>4</v>
      </c>
      <c r="H724" s="73">
        <v>5</v>
      </c>
      <c r="I724" s="122"/>
      <c r="J724" s="118">
        <f>AH720</f>
        <v>0</v>
      </c>
      <c r="K724" s="118">
        <f>C720</f>
        <v>1</v>
      </c>
      <c r="L724" s="118">
        <f>D720</f>
        <v>0</v>
      </c>
      <c r="M724" s="118">
        <f>E720</f>
        <v>0</v>
      </c>
      <c r="N724" s="69">
        <f>F720</f>
        <v>0</v>
      </c>
      <c r="O724" s="119">
        <f>G720</f>
        <v>0</v>
      </c>
      <c r="P724" s="122"/>
    </row>
    <row r="725" spans="1:51" ht="24.95" customHeight="1" x14ac:dyDescent="0.25">
      <c r="C725" s="75">
        <v>4</v>
      </c>
      <c r="D725" s="74">
        <v>5</v>
      </c>
      <c r="E725" s="74">
        <v>6</v>
      </c>
      <c r="F725" s="74">
        <v>7</v>
      </c>
      <c r="G725" s="74">
        <v>8</v>
      </c>
      <c r="H725" s="73">
        <v>9</v>
      </c>
      <c r="I725" s="122"/>
      <c r="J725" s="118">
        <f t="shared" ref="J725" si="2123">F720</f>
        <v>0</v>
      </c>
      <c r="K725" s="69">
        <f t="shared" ref="K725" si="2124">G720</f>
        <v>0</v>
      </c>
      <c r="L725" s="69">
        <f t="shared" ref="L725" si="2125">H720</f>
        <v>0</v>
      </c>
      <c r="M725" s="69">
        <f t="shared" ref="M725" si="2126">I720</f>
        <v>0</v>
      </c>
      <c r="N725" s="69">
        <f t="shared" ref="N725" si="2127">J720</f>
        <v>1</v>
      </c>
      <c r="O725" s="119">
        <f t="shared" ref="O725" si="2128">K720</f>
        <v>0</v>
      </c>
      <c r="P725" s="122"/>
    </row>
    <row r="726" spans="1:51" ht="24.95" customHeight="1" x14ac:dyDescent="0.25">
      <c r="C726" s="75">
        <v>8</v>
      </c>
      <c r="D726" s="74">
        <v>9</v>
      </c>
      <c r="E726" s="74">
        <v>10</v>
      </c>
      <c r="F726" s="74">
        <v>11</v>
      </c>
      <c r="G726" s="74">
        <v>12</v>
      </c>
      <c r="H726" s="73">
        <v>13</v>
      </c>
      <c r="I726" s="123"/>
      <c r="J726" s="120">
        <f t="shared" ref="J726:O726" si="2129">J720</f>
        <v>1</v>
      </c>
      <c r="K726" s="69">
        <f t="shared" si="2129"/>
        <v>0</v>
      </c>
      <c r="L726" s="69">
        <f t="shared" si="2129"/>
        <v>0</v>
      </c>
      <c r="M726" s="69">
        <f t="shared" si="2129"/>
        <v>1</v>
      </c>
      <c r="N726" s="69">
        <f t="shared" si="2129"/>
        <v>0</v>
      </c>
      <c r="O726" s="119">
        <f t="shared" si="2129"/>
        <v>0</v>
      </c>
      <c r="P726" s="123"/>
    </row>
    <row r="727" spans="1:51" ht="24.95" customHeight="1" x14ac:dyDescent="0.25">
      <c r="C727" s="75">
        <v>12</v>
      </c>
      <c r="D727" s="74">
        <v>13</v>
      </c>
      <c r="E727" s="74">
        <v>14</v>
      </c>
      <c r="F727" s="74">
        <v>15</v>
      </c>
      <c r="G727" s="74">
        <v>16</v>
      </c>
      <c r="H727" s="73">
        <v>17</v>
      </c>
      <c r="I727" s="122"/>
      <c r="J727" s="118">
        <f t="shared" ref="J727" si="2130">N720</f>
        <v>0</v>
      </c>
      <c r="K727" s="69">
        <f t="shared" ref="K727" si="2131">O720</f>
        <v>0</v>
      </c>
      <c r="L727" s="69">
        <f t="shared" ref="L727" si="2132">P720</f>
        <v>0</v>
      </c>
      <c r="M727" s="69">
        <f t="shared" ref="M727" si="2133">Q720</f>
        <v>1</v>
      </c>
      <c r="N727" s="69">
        <f t="shared" ref="N727" si="2134">R720</f>
        <v>0</v>
      </c>
      <c r="O727" s="119">
        <f t="shared" ref="O727" si="2135">S720</f>
        <v>0</v>
      </c>
      <c r="P727" s="122"/>
    </row>
    <row r="728" spans="1:51" ht="24.95" customHeight="1" x14ac:dyDescent="0.25">
      <c r="C728" s="75">
        <v>16</v>
      </c>
      <c r="D728" s="74">
        <v>17</v>
      </c>
      <c r="E728" s="74">
        <v>18</v>
      </c>
      <c r="F728" s="74">
        <v>19</v>
      </c>
      <c r="G728" s="74">
        <v>20</v>
      </c>
      <c r="H728" s="73">
        <v>21</v>
      </c>
      <c r="I728" s="122"/>
      <c r="J728" s="118">
        <f t="shared" ref="J728" si="2136">R720</f>
        <v>0</v>
      </c>
      <c r="K728" s="69">
        <f t="shared" ref="K728" si="2137">S720</f>
        <v>0</v>
      </c>
      <c r="L728" s="69">
        <f t="shared" ref="L728" si="2138">T720</f>
        <v>1</v>
      </c>
      <c r="M728" s="69">
        <f t="shared" ref="M728" si="2139">U720</f>
        <v>1</v>
      </c>
      <c r="N728" s="69">
        <f t="shared" ref="N728" si="2140">V720</f>
        <v>1</v>
      </c>
      <c r="O728" s="119">
        <f t="shared" ref="O728" si="2141">W720</f>
        <v>0</v>
      </c>
      <c r="P728" s="122"/>
    </row>
    <row r="729" spans="1:51" ht="24.95" customHeight="1" x14ac:dyDescent="0.25">
      <c r="C729" s="75">
        <v>20</v>
      </c>
      <c r="D729" s="74">
        <v>21</v>
      </c>
      <c r="E729" s="74">
        <v>22</v>
      </c>
      <c r="F729" s="74">
        <v>23</v>
      </c>
      <c r="G729" s="74">
        <v>24</v>
      </c>
      <c r="H729" s="73">
        <v>25</v>
      </c>
      <c r="I729" s="122"/>
      <c r="J729" s="118">
        <f t="shared" ref="J729" si="2142">V720</f>
        <v>1</v>
      </c>
      <c r="K729" s="69">
        <f t="shared" ref="K729" si="2143">W720</f>
        <v>0</v>
      </c>
      <c r="L729" s="69">
        <f t="shared" ref="L729" si="2144">X720</f>
        <v>0</v>
      </c>
      <c r="M729" s="69">
        <f t="shared" ref="M729" si="2145">Y720</f>
        <v>0</v>
      </c>
      <c r="N729" s="69">
        <f t="shared" ref="N729" si="2146">Z720</f>
        <v>1</v>
      </c>
      <c r="O729" s="119">
        <f t="shared" ref="O729" si="2147">AA720</f>
        <v>1</v>
      </c>
      <c r="P729" s="122"/>
    </row>
    <row r="730" spans="1:51" ht="24.95" customHeight="1" x14ac:dyDescent="0.25">
      <c r="C730" s="75">
        <v>24</v>
      </c>
      <c r="D730" s="74">
        <v>25</v>
      </c>
      <c r="E730" s="74">
        <v>26</v>
      </c>
      <c r="F730" s="74">
        <v>27</v>
      </c>
      <c r="G730" s="74">
        <v>28</v>
      </c>
      <c r="H730" s="73">
        <v>29</v>
      </c>
      <c r="I730" s="122"/>
      <c r="J730" s="118">
        <f t="shared" ref="J730" si="2148">Z720</f>
        <v>1</v>
      </c>
      <c r="K730" s="69">
        <f t="shared" ref="K730" si="2149">AA720</f>
        <v>1</v>
      </c>
      <c r="L730" s="69">
        <f t="shared" ref="L730" si="2150">AB720</f>
        <v>0</v>
      </c>
      <c r="M730" s="69">
        <f t="shared" ref="M730" si="2151">AC720</f>
        <v>1</v>
      </c>
      <c r="N730" s="69">
        <f t="shared" ref="N730" si="2152">AD720</f>
        <v>1</v>
      </c>
      <c r="O730" s="119">
        <f t="shared" ref="O730" si="2153">AE720</f>
        <v>1</v>
      </c>
      <c r="P730" s="122"/>
    </row>
    <row r="731" spans="1:51" ht="24.95" customHeight="1" x14ac:dyDescent="0.25">
      <c r="C731" s="75">
        <v>28</v>
      </c>
      <c r="D731" s="74">
        <v>29</v>
      </c>
      <c r="E731" s="74">
        <v>30</v>
      </c>
      <c r="F731" s="74">
        <v>31</v>
      </c>
      <c r="G731" s="74">
        <v>32</v>
      </c>
      <c r="H731" s="73">
        <v>1</v>
      </c>
      <c r="I731" s="122"/>
      <c r="J731" s="70">
        <f>AD720</f>
        <v>1</v>
      </c>
      <c r="K731" s="71">
        <f>AE720</f>
        <v>1</v>
      </c>
      <c r="L731" s="71">
        <f>AF720</f>
        <v>1</v>
      </c>
      <c r="M731" s="71">
        <f>AG720</f>
        <v>0</v>
      </c>
      <c r="N731" s="71">
        <f>AH720</f>
        <v>0</v>
      </c>
      <c r="O731" s="121">
        <f>C720</f>
        <v>1</v>
      </c>
      <c r="P731" s="122"/>
    </row>
    <row r="734" spans="1:51" ht="24.95" customHeight="1" x14ac:dyDescent="0.25">
      <c r="A734" s="124" t="s">
        <v>533</v>
      </c>
      <c r="B734" s="124"/>
      <c r="C734" s="125">
        <v>1</v>
      </c>
      <c r="D734" s="126">
        <v>2</v>
      </c>
      <c r="E734" s="125">
        <v>3</v>
      </c>
      <c r="F734" s="126">
        <v>4</v>
      </c>
      <c r="G734" s="125">
        <v>5</v>
      </c>
      <c r="H734" s="126">
        <v>6</v>
      </c>
      <c r="I734" s="125">
        <v>7</v>
      </c>
      <c r="J734" s="126">
        <v>8</v>
      </c>
      <c r="K734" s="125">
        <v>9</v>
      </c>
      <c r="L734" s="126">
        <v>10</v>
      </c>
      <c r="M734" s="125">
        <v>11</v>
      </c>
      <c r="N734" s="126">
        <v>12</v>
      </c>
      <c r="O734" s="125">
        <v>13</v>
      </c>
      <c r="P734" s="126">
        <v>14</v>
      </c>
      <c r="Q734" s="125">
        <v>15</v>
      </c>
      <c r="R734" s="126">
        <v>16</v>
      </c>
      <c r="S734" s="125">
        <v>17</v>
      </c>
      <c r="T734" s="126">
        <v>18</v>
      </c>
      <c r="U734" s="125">
        <v>19</v>
      </c>
      <c r="V734" s="126">
        <v>20</v>
      </c>
      <c r="W734" s="125">
        <v>21</v>
      </c>
      <c r="X734" s="126">
        <v>22</v>
      </c>
      <c r="Y734" s="125">
        <v>23</v>
      </c>
      <c r="Z734" s="126">
        <v>24</v>
      </c>
      <c r="AA734" s="125">
        <v>25</v>
      </c>
      <c r="AB734" s="126">
        <v>26</v>
      </c>
      <c r="AC734" s="125">
        <v>27</v>
      </c>
      <c r="AD734" s="126">
        <v>28</v>
      </c>
      <c r="AE734" s="125">
        <v>29</v>
      </c>
      <c r="AF734" s="126">
        <v>30</v>
      </c>
      <c r="AG734" s="125">
        <v>31</v>
      </c>
      <c r="AH734" s="126">
        <v>32</v>
      </c>
      <c r="AI734" s="125">
        <v>33</v>
      </c>
      <c r="AJ734" s="126">
        <v>34</v>
      </c>
      <c r="AK734" s="125">
        <v>35</v>
      </c>
      <c r="AL734" s="126">
        <v>36</v>
      </c>
      <c r="AM734" s="125">
        <v>37</v>
      </c>
      <c r="AN734" s="126">
        <v>38</v>
      </c>
      <c r="AO734" s="125">
        <v>39</v>
      </c>
      <c r="AP734" s="126">
        <v>40</v>
      </c>
      <c r="AQ734" s="125">
        <v>41</v>
      </c>
      <c r="AR734" s="126">
        <v>42</v>
      </c>
      <c r="AS734" s="125">
        <v>43</v>
      </c>
      <c r="AT734" s="126">
        <v>44</v>
      </c>
      <c r="AU734" s="125">
        <v>45</v>
      </c>
      <c r="AV734" s="126">
        <v>46</v>
      </c>
      <c r="AW734" s="125">
        <v>47</v>
      </c>
      <c r="AX734" s="126">
        <v>48</v>
      </c>
    </row>
    <row r="735" spans="1:51" ht="24.95" customHeight="1" x14ac:dyDescent="0.25">
      <c r="C735" s="125">
        <f t="shared" ref="C735" si="2154">J724</f>
        <v>0</v>
      </c>
      <c r="D735" s="125">
        <f t="shared" ref="D735" si="2155">K724</f>
        <v>1</v>
      </c>
      <c r="E735" s="125">
        <f t="shared" ref="E735" si="2156">L724</f>
        <v>0</v>
      </c>
      <c r="F735" s="125">
        <f t="shared" ref="F735" si="2157">M724</f>
        <v>0</v>
      </c>
      <c r="G735" s="126">
        <f t="shared" ref="G735" si="2158">N724</f>
        <v>0</v>
      </c>
      <c r="H735" s="126">
        <f t="shared" ref="H735" si="2159">O724</f>
        <v>0</v>
      </c>
      <c r="I735" s="125">
        <f t="shared" ref="I735" si="2160">J725</f>
        <v>0</v>
      </c>
      <c r="J735" s="125">
        <f t="shared" ref="J735" si="2161">K725</f>
        <v>0</v>
      </c>
      <c r="K735" s="125">
        <f t="shared" ref="K735" si="2162">L725</f>
        <v>0</v>
      </c>
      <c r="L735" s="125">
        <f t="shared" ref="L735" si="2163">M725</f>
        <v>0</v>
      </c>
      <c r="M735" s="125">
        <f t="shared" ref="M735" si="2164">N725</f>
        <v>1</v>
      </c>
      <c r="N735" s="125">
        <f t="shared" ref="N735" si="2165">O725</f>
        <v>0</v>
      </c>
      <c r="O735" s="126">
        <f t="shared" ref="O735" si="2166">J726</f>
        <v>1</v>
      </c>
      <c r="P735" s="126">
        <f t="shared" ref="P735" si="2167">K726</f>
        <v>0</v>
      </c>
      <c r="Q735" s="126">
        <f t="shared" ref="Q735" si="2168">L726</f>
        <v>0</v>
      </c>
      <c r="R735" s="126">
        <f t="shared" ref="R735" si="2169">M726</f>
        <v>1</v>
      </c>
      <c r="S735" s="126">
        <f t="shared" ref="S735" si="2170">N726</f>
        <v>0</v>
      </c>
      <c r="T735" s="126">
        <f t="shared" ref="T735" si="2171">O726</f>
        <v>0</v>
      </c>
      <c r="U735" s="125">
        <f t="shared" ref="U735" si="2172">J727</f>
        <v>0</v>
      </c>
      <c r="V735" s="126">
        <f t="shared" ref="V735" si="2173">K727</f>
        <v>0</v>
      </c>
      <c r="W735" s="125">
        <f t="shared" ref="W735" si="2174">L727</f>
        <v>0</v>
      </c>
      <c r="X735" s="126">
        <f t="shared" ref="X735" si="2175">M727</f>
        <v>1</v>
      </c>
      <c r="Y735" s="125">
        <f t="shared" ref="Y735" si="2176">N727</f>
        <v>0</v>
      </c>
      <c r="Z735" s="126">
        <f t="shared" ref="Z735" si="2177">O727</f>
        <v>0</v>
      </c>
      <c r="AA735" s="125">
        <f t="shared" ref="AA735" si="2178">J728</f>
        <v>0</v>
      </c>
      <c r="AB735" s="126">
        <f t="shared" ref="AB735" si="2179">K728</f>
        <v>0</v>
      </c>
      <c r="AC735" s="125">
        <f t="shared" ref="AC735" si="2180">L728</f>
        <v>1</v>
      </c>
      <c r="AD735" s="126">
        <f t="shared" ref="AD735" si="2181">M728</f>
        <v>1</v>
      </c>
      <c r="AE735" s="125">
        <f t="shared" ref="AE735" si="2182">N728</f>
        <v>1</v>
      </c>
      <c r="AF735" s="126">
        <f t="shared" ref="AF735" si="2183">O728</f>
        <v>0</v>
      </c>
      <c r="AG735" s="125">
        <f t="shared" ref="AG735" si="2184">J729</f>
        <v>1</v>
      </c>
      <c r="AH735" s="126">
        <f t="shared" ref="AH735" si="2185">K729</f>
        <v>0</v>
      </c>
      <c r="AI735" s="125">
        <f t="shared" ref="AI735" si="2186">L729</f>
        <v>0</v>
      </c>
      <c r="AJ735" s="126">
        <f t="shared" ref="AJ735" si="2187">M729</f>
        <v>0</v>
      </c>
      <c r="AK735" s="125">
        <f t="shared" ref="AK735" si="2188">N729</f>
        <v>1</v>
      </c>
      <c r="AL735" s="126">
        <f t="shared" ref="AL735" si="2189">O729</f>
        <v>1</v>
      </c>
      <c r="AM735" s="125">
        <f t="shared" ref="AM735" si="2190">J730</f>
        <v>1</v>
      </c>
      <c r="AN735" s="126">
        <f t="shared" ref="AN735" si="2191">K730</f>
        <v>1</v>
      </c>
      <c r="AO735" s="125">
        <f t="shared" ref="AO735" si="2192">L730</f>
        <v>0</v>
      </c>
      <c r="AP735" s="126">
        <f t="shared" ref="AP735" si="2193">M730</f>
        <v>1</v>
      </c>
      <c r="AQ735" s="125">
        <f t="shared" ref="AQ735" si="2194">N730</f>
        <v>1</v>
      </c>
      <c r="AR735" s="126">
        <f t="shared" ref="AR735" si="2195">O730</f>
        <v>1</v>
      </c>
      <c r="AS735" s="125">
        <f t="shared" ref="AS735" si="2196">J731</f>
        <v>1</v>
      </c>
      <c r="AT735" s="126">
        <f t="shared" ref="AT735" si="2197">K731</f>
        <v>1</v>
      </c>
      <c r="AU735" s="125">
        <f t="shared" ref="AU735" si="2198">L731</f>
        <v>1</v>
      </c>
      <c r="AV735" s="126">
        <f t="shared" ref="AV735" si="2199">M731</f>
        <v>0</v>
      </c>
      <c r="AW735" s="125">
        <f t="shared" ref="AW735" si="2200">N731</f>
        <v>0</v>
      </c>
      <c r="AX735" s="126">
        <f t="shared" ref="AX735" si="2201">O731</f>
        <v>1</v>
      </c>
    </row>
    <row r="738" spans="1:55" ht="24.95" customHeight="1" x14ac:dyDescent="0.25">
      <c r="A738" s="127" t="s">
        <v>622</v>
      </c>
      <c r="B738" s="127"/>
      <c r="C738" s="77">
        <f>'Key Generator'!D549</f>
        <v>1</v>
      </c>
      <c r="D738" s="77">
        <f>'Key Generator'!E549</f>
        <v>2</v>
      </c>
      <c r="E738" s="77">
        <f>'Key Generator'!F549</f>
        <v>3</v>
      </c>
      <c r="F738" s="77">
        <f>'Key Generator'!G549</f>
        <v>4</v>
      </c>
      <c r="G738" s="77">
        <f>'Key Generator'!H549</f>
        <v>5</v>
      </c>
      <c r="H738" s="77">
        <f>'Key Generator'!I549</f>
        <v>6</v>
      </c>
      <c r="I738" s="77">
        <f>'Key Generator'!J549</f>
        <v>7</v>
      </c>
      <c r="J738" s="77">
        <f>'Key Generator'!K549</f>
        <v>8</v>
      </c>
      <c r="K738" s="77">
        <f>'Key Generator'!L549</f>
        <v>9</v>
      </c>
      <c r="L738" s="77">
        <f>'Key Generator'!M549</f>
        <v>10</v>
      </c>
      <c r="M738" s="77">
        <f>'Key Generator'!N549</f>
        <v>11</v>
      </c>
      <c r="N738" s="77">
        <f>'Key Generator'!O549</f>
        <v>12</v>
      </c>
      <c r="O738" s="77">
        <f>'Key Generator'!P549</f>
        <v>13</v>
      </c>
      <c r="P738" s="77">
        <f>'Key Generator'!Q549</f>
        <v>14</v>
      </c>
      <c r="Q738" s="77">
        <f>'Key Generator'!R549</f>
        <v>15</v>
      </c>
      <c r="R738" s="77">
        <f>'Key Generator'!S549</f>
        <v>16</v>
      </c>
      <c r="S738" s="77">
        <f>'Key Generator'!T549</f>
        <v>17</v>
      </c>
      <c r="T738" s="77">
        <f>'Key Generator'!U549</f>
        <v>18</v>
      </c>
      <c r="U738" s="77">
        <f>'Key Generator'!V549</f>
        <v>19</v>
      </c>
      <c r="V738" s="77">
        <f>'Key Generator'!W549</f>
        <v>20</v>
      </c>
      <c r="W738" s="77">
        <f>'Key Generator'!X549</f>
        <v>21</v>
      </c>
      <c r="X738" s="77">
        <f>'Key Generator'!Y549</f>
        <v>22</v>
      </c>
      <c r="Y738" s="77">
        <f>'Key Generator'!Z549</f>
        <v>23</v>
      </c>
      <c r="Z738" s="77">
        <f>'Key Generator'!AA549</f>
        <v>24</v>
      </c>
      <c r="AA738" s="77">
        <f>'Key Generator'!AB549</f>
        <v>25</v>
      </c>
      <c r="AB738" s="77">
        <f>'Key Generator'!AC549</f>
        <v>26</v>
      </c>
      <c r="AC738" s="77">
        <f>'Key Generator'!AD549</f>
        <v>27</v>
      </c>
      <c r="AD738" s="77">
        <f>'Key Generator'!AE549</f>
        <v>28</v>
      </c>
      <c r="AE738" s="77">
        <f>'Key Generator'!AF549</f>
        <v>29</v>
      </c>
      <c r="AF738" s="77">
        <f>'Key Generator'!AG549</f>
        <v>30</v>
      </c>
      <c r="AG738" s="77">
        <f>'Key Generator'!AH549</f>
        <v>31</v>
      </c>
      <c r="AH738" s="77">
        <f>'Key Generator'!AI549</f>
        <v>32</v>
      </c>
      <c r="AI738" s="77">
        <f>'Key Generator'!AJ549</f>
        <v>33</v>
      </c>
      <c r="AJ738" s="77">
        <f>'Key Generator'!AK549</f>
        <v>34</v>
      </c>
      <c r="AK738" s="77">
        <f>'Key Generator'!AL549</f>
        <v>35</v>
      </c>
      <c r="AL738" s="77">
        <f>'Key Generator'!AM549</f>
        <v>36</v>
      </c>
      <c r="AM738" s="77">
        <f>'Key Generator'!AN549</f>
        <v>37</v>
      </c>
      <c r="AN738" s="77">
        <f>'Key Generator'!AO549</f>
        <v>38</v>
      </c>
      <c r="AO738" s="77">
        <f>'Key Generator'!AP549</f>
        <v>39</v>
      </c>
      <c r="AP738" s="77">
        <f>'Key Generator'!AQ549</f>
        <v>40</v>
      </c>
      <c r="AQ738" s="77">
        <f>'Key Generator'!AR549</f>
        <v>41</v>
      </c>
      <c r="AR738" s="77">
        <f>'Key Generator'!AS549</f>
        <v>42</v>
      </c>
      <c r="AS738" s="77">
        <f>'Key Generator'!AT549</f>
        <v>43</v>
      </c>
      <c r="AT738" s="77">
        <f>'Key Generator'!AU549</f>
        <v>44</v>
      </c>
      <c r="AU738" s="77">
        <f>'Key Generator'!AV549</f>
        <v>45</v>
      </c>
      <c r="AV738" s="77">
        <f>'Key Generator'!AW549</f>
        <v>46</v>
      </c>
      <c r="AW738" s="77">
        <f>'Key Generator'!AX549</f>
        <v>47</v>
      </c>
      <c r="AX738" s="77">
        <f>'Key Generator'!AY549</f>
        <v>48</v>
      </c>
    </row>
    <row r="739" spans="1:55" ht="24.95" customHeight="1" x14ac:dyDescent="0.25">
      <c r="C739" s="77">
        <f>'Key Generator'!D550</f>
        <v>0</v>
      </c>
      <c r="D739" s="77">
        <f>'Key Generator'!E550</f>
        <v>0</v>
      </c>
      <c r="E739" s="77">
        <f>'Key Generator'!F550</f>
        <v>0</v>
      </c>
      <c r="F739" s="77">
        <f>'Key Generator'!G550</f>
        <v>1</v>
      </c>
      <c r="G739" s="77">
        <f>'Key Generator'!H550</f>
        <v>0</v>
      </c>
      <c r="H739" s="77">
        <f>'Key Generator'!I550</f>
        <v>1</v>
      </c>
      <c r="I739" s="77">
        <f>'Key Generator'!J550</f>
        <v>0</v>
      </c>
      <c r="J739" s="77">
        <f>'Key Generator'!K550</f>
        <v>0</v>
      </c>
      <c r="K739" s="77">
        <f>'Key Generator'!L550</f>
        <v>0</v>
      </c>
      <c r="L739" s="77">
        <f>'Key Generator'!M550</f>
        <v>0</v>
      </c>
      <c r="M739" s="77">
        <f>'Key Generator'!N550</f>
        <v>1</v>
      </c>
      <c r="N739" s="77">
        <f>'Key Generator'!O550</f>
        <v>0</v>
      </c>
      <c r="O739" s="77">
        <f>'Key Generator'!P550</f>
        <v>1</v>
      </c>
      <c r="P739" s="77">
        <f>'Key Generator'!Q550</f>
        <v>1</v>
      </c>
      <c r="Q739" s="77">
        <f>'Key Generator'!R550</f>
        <v>0</v>
      </c>
      <c r="R739" s="77">
        <f>'Key Generator'!S550</f>
        <v>0</v>
      </c>
      <c r="S739" s="77">
        <f>'Key Generator'!T550</f>
        <v>0</v>
      </c>
      <c r="T739" s="77">
        <f>'Key Generator'!U550</f>
        <v>0</v>
      </c>
      <c r="U739" s="77">
        <f>'Key Generator'!V550</f>
        <v>0</v>
      </c>
      <c r="V739" s="77">
        <f>'Key Generator'!W550</f>
        <v>0</v>
      </c>
      <c r="W739" s="77">
        <f>'Key Generator'!X550</f>
        <v>0</v>
      </c>
      <c r="X739" s="77">
        <f>'Key Generator'!Y550</f>
        <v>1</v>
      </c>
      <c r="Y739" s="77">
        <f>'Key Generator'!Z550</f>
        <v>1</v>
      </c>
      <c r="Z739" s="77">
        <f>'Key Generator'!AA550</f>
        <v>0</v>
      </c>
      <c r="AA739" s="77">
        <f>'Key Generator'!AB550</f>
        <v>1</v>
      </c>
      <c r="AB739" s="77">
        <f>'Key Generator'!AC550</f>
        <v>0</v>
      </c>
      <c r="AC739" s="77">
        <f>'Key Generator'!AD550</f>
        <v>0</v>
      </c>
      <c r="AD739" s="77">
        <f>'Key Generator'!AE550</f>
        <v>1</v>
      </c>
      <c r="AE739" s="77">
        <f>'Key Generator'!AF550</f>
        <v>1</v>
      </c>
      <c r="AF739" s="77">
        <f>'Key Generator'!AG550</f>
        <v>0</v>
      </c>
      <c r="AG739" s="77">
        <f>'Key Generator'!AH550</f>
        <v>1</v>
      </c>
      <c r="AH739" s="77">
        <f>'Key Generator'!AI550</f>
        <v>0</v>
      </c>
      <c r="AI739" s="77">
        <f>'Key Generator'!AJ550</f>
        <v>1</v>
      </c>
      <c r="AJ739" s="77">
        <f>'Key Generator'!AK550</f>
        <v>1</v>
      </c>
      <c r="AK739" s="77">
        <f>'Key Generator'!AL550</f>
        <v>0</v>
      </c>
      <c r="AL739" s="77">
        <f>'Key Generator'!AM550</f>
        <v>0</v>
      </c>
      <c r="AM739" s="77">
        <f>'Key Generator'!AN550</f>
        <v>1</v>
      </c>
      <c r="AN739" s="77">
        <f>'Key Generator'!AO550</f>
        <v>0</v>
      </c>
      <c r="AO739" s="77">
        <f>'Key Generator'!AP550</f>
        <v>1</v>
      </c>
      <c r="AP739" s="77">
        <f>'Key Generator'!AQ550</f>
        <v>0</v>
      </c>
      <c r="AQ739" s="77">
        <f>'Key Generator'!AR550</f>
        <v>0</v>
      </c>
      <c r="AR739" s="77">
        <f>'Key Generator'!AS550</f>
        <v>1</v>
      </c>
      <c r="AS739" s="77">
        <f>'Key Generator'!AT550</f>
        <v>0</v>
      </c>
      <c r="AT739" s="77">
        <f>'Key Generator'!AU550</f>
        <v>1</v>
      </c>
      <c r="AU739" s="77">
        <f>'Key Generator'!AV550</f>
        <v>1</v>
      </c>
      <c r="AV739" s="77">
        <f>'Key Generator'!AW550</f>
        <v>0</v>
      </c>
      <c r="AW739" s="77">
        <f>'Key Generator'!AX550</f>
        <v>1</v>
      </c>
      <c r="AX739" s="77">
        <f>'Key Generator'!AY550</f>
        <v>1</v>
      </c>
    </row>
    <row r="742" spans="1:55" ht="24.95" customHeight="1" x14ac:dyDescent="0.25">
      <c r="A742" s="128" t="s">
        <v>535</v>
      </c>
      <c r="B742" s="129"/>
      <c r="C742" s="79">
        <v>1</v>
      </c>
      <c r="D742" s="80">
        <v>2</v>
      </c>
      <c r="E742" s="79">
        <v>3</v>
      </c>
      <c r="F742" s="80">
        <v>4</v>
      </c>
      <c r="G742" s="79">
        <v>5</v>
      </c>
      <c r="H742" s="80">
        <v>6</v>
      </c>
      <c r="I742" s="79">
        <v>7</v>
      </c>
      <c r="J742" s="80">
        <v>8</v>
      </c>
      <c r="K742" s="79">
        <v>9</v>
      </c>
      <c r="L742" s="80">
        <v>10</v>
      </c>
      <c r="M742" s="79">
        <v>11</v>
      </c>
      <c r="N742" s="80">
        <v>12</v>
      </c>
      <c r="O742" s="79">
        <v>13</v>
      </c>
      <c r="P742" s="80">
        <v>14</v>
      </c>
      <c r="Q742" s="79">
        <v>15</v>
      </c>
      <c r="R742" s="80">
        <v>16</v>
      </c>
      <c r="S742" s="79">
        <v>17</v>
      </c>
      <c r="T742" s="80">
        <v>18</v>
      </c>
      <c r="U742" s="79">
        <v>19</v>
      </c>
      <c r="V742" s="80">
        <v>20</v>
      </c>
      <c r="W742" s="79">
        <v>21</v>
      </c>
      <c r="X742" s="80">
        <v>22</v>
      </c>
      <c r="Y742" s="79">
        <v>23</v>
      </c>
      <c r="Z742" s="80">
        <v>24</v>
      </c>
      <c r="AA742" s="79">
        <v>25</v>
      </c>
      <c r="AB742" s="80">
        <v>26</v>
      </c>
      <c r="AC742" s="79">
        <v>27</v>
      </c>
      <c r="AD742" s="80">
        <v>28</v>
      </c>
      <c r="AE742" s="79">
        <v>29</v>
      </c>
      <c r="AF742" s="80">
        <v>30</v>
      </c>
      <c r="AG742" s="79">
        <v>31</v>
      </c>
      <c r="AH742" s="80">
        <v>32</v>
      </c>
      <c r="AI742" s="79">
        <v>33</v>
      </c>
      <c r="AJ742" s="80">
        <v>34</v>
      </c>
      <c r="AK742" s="79">
        <v>35</v>
      </c>
      <c r="AL742" s="80">
        <v>36</v>
      </c>
      <c r="AM742" s="79">
        <v>37</v>
      </c>
      <c r="AN742" s="80">
        <v>38</v>
      </c>
      <c r="AO742" s="79">
        <v>39</v>
      </c>
      <c r="AP742" s="80">
        <v>40</v>
      </c>
      <c r="AQ742" s="79">
        <v>41</v>
      </c>
      <c r="AR742" s="80">
        <v>42</v>
      </c>
      <c r="AS742" s="79">
        <v>43</v>
      </c>
      <c r="AT742" s="80">
        <v>44</v>
      </c>
      <c r="AU742" s="79">
        <v>45</v>
      </c>
      <c r="AV742" s="80">
        <v>46</v>
      </c>
      <c r="AW742" s="79">
        <v>47</v>
      </c>
      <c r="AX742" s="80">
        <v>48</v>
      </c>
    </row>
    <row r="743" spans="1:55" ht="24.95" customHeight="1" x14ac:dyDescent="0.25">
      <c r="C743" s="88">
        <f>--_xlfn.XOR(C735,'Key Generator'!D550)</f>
        <v>0</v>
      </c>
      <c r="D743" s="88">
        <f>--_xlfn.XOR(D735,'Key Generator'!E550)</f>
        <v>1</v>
      </c>
      <c r="E743" s="88">
        <f>--_xlfn.XOR(E735,'Key Generator'!F550)</f>
        <v>0</v>
      </c>
      <c r="F743" s="88">
        <f>--_xlfn.XOR(F735,'Key Generator'!G550)</f>
        <v>1</v>
      </c>
      <c r="G743" s="88">
        <f>--_xlfn.XOR(G735,'Key Generator'!H550)</f>
        <v>0</v>
      </c>
      <c r="H743" s="88">
        <f>--_xlfn.XOR(H735,'Key Generator'!I550)</f>
        <v>1</v>
      </c>
      <c r="I743" s="87">
        <f>--_xlfn.XOR(I735,'Key Generator'!J550)</f>
        <v>0</v>
      </c>
      <c r="J743" s="87">
        <f>--_xlfn.XOR(J735,'Key Generator'!K550)</f>
        <v>0</v>
      </c>
      <c r="K743" s="87">
        <f>--_xlfn.XOR(K735,'Key Generator'!L550)</f>
        <v>0</v>
      </c>
      <c r="L743" s="87">
        <f>--_xlfn.XOR(L735,'Key Generator'!M550)</f>
        <v>0</v>
      </c>
      <c r="M743" s="87">
        <f>--_xlfn.XOR(M735,'Key Generator'!N550)</f>
        <v>0</v>
      </c>
      <c r="N743" s="87">
        <f>--_xlfn.XOR(N735,'Key Generator'!O550)</f>
        <v>0</v>
      </c>
      <c r="O743" s="89">
        <f>--_xlfn.XOR(O735,'Key Generator'!P550)</f>
        <v>0</v>
      </c>
      <c r="P743" s="89">
        <f>--_xlfn.XOR(P735,'Key Generator'!Q550)</f>
        <v>1</v>
      </c>
      <c r="Q743" s="89">
        <f>--_xlfn.XOR(Q735,'Key Generator'!R550)</f>
        <v>0</v>
      </c>
      <c r="R743" s="89">
        <f>--_xlfn.XOR(R735,'Key Generator'!S550)</f>
        <v>1</v>
      </c>
      <c r="S743" s="89">
        <f>--_xlfn.XOR(S735,'Key Generator'!T550)</f>
        <v>0</v>
      </c>
      <c r="T743" s="89">
        <f>--_xlfn.XOR(T735,'Key Generator'!U550)</f>
        <v>0</v>
      </c>
      <c r="U743" s="90">
        <f>--_xlfn.XOR(U735,'Key Generator'!V550)</f>
        <v>0</v>
      </c>
      <c r="V743" s="90">
        <f>--_xlfn.XOR(V735,'Key Generator'!W550)</f>
        <v>0</v>
      </c>
      <c r="W743" s="90">
        <f>--_xlfn.XOR(W735,'Key Generator'!X550)</f>
        <v>0</v>
      </c>
      <c r="X743" s="90">
        <f>--_xlfn.XOR(X735,'Key Generator'!Y550)</f>
        <v>0</v>
      </c>
      <c r="Y743" s="90">
        <f>--_xlfn.XOR(Y735,'Key Generator'!Z550)</f>
        <v>1</v>
      </c>
      <c r="Z743" s="90">
        <f>--_xlfn.XOR(Z735,'Key Generator'!AA550)</f>
        <v>0</v>
      </c>
      <c r="AA743" s="91">
        <f>--_xlfn.XOR(AA735,'Key Generator'!AB550)</f>
        <v>1</v>
      </c>
      <c r="AB743" s="91">
        <f>--_xlfn.XOR(AB735,'Key Generator'!AC550)</f>
        <v>0</v>
      </c>
      <c r="AC743" s="91">
        <f>--_xlfn.XOR(AC735,'Key Generator'!AD550)</f>
        <v>1</v>
      </c>
      <c r="AD743" s="91">
        <f>--_xlfn.XOR(AD735,'Key Generator'!AE550)</f>
        <v>0</v>
      </c>
      <c r="AE743" s="91">
        <f>--_xlfn.XOR(AE735,'Key Generator'!AF550)</f>
        <v>0</v>
      </c>
      <c r="AF743" s="91">
        <f>--_xlfn.XOR(AF735,'Key Generator'!AG550)</f>
        <v>0</v>
      </c>
      <c r="AG743" s="92">
        <f>--_xlfn.XOR(AG735,'Key Generator'!AH550)</f>
        <v>0</v>
      </c>
      <c r="AH743" s="92">
        <f>--_xlfn.XOR(AH735,'Key Generator'!AI550)</f>
        <v>0</v>
      </c>
      <c r="AI743" s="92">
        <f>--_xlfn.XOR(AI735,'Key Generator'!AJ550)</f>
        <v>1</v>
      </c>
      <c r="AJ743" s="92">
        <f>--_xlfn.XOR(AJ735,'Key Generator'!AK550)</f>
        <v>1</v>
      </c>
      <c r="AK743" s="92">
        <f>--_xlfn.XOR(AK735,'Key Generator'!AL550)</f>
        <v>1</v>
      </c>
      <c r="AL743" s="92">
        <f>--_xlfn.XOR(AL735,'Key Generator'!AM550)</f>
        <v>1</v>
      </c>
      <c r="AM743" s="86">
        <f>--_xlfn.XOR(AM735,'Key Generator'!AN550)</f>
        <v>0</v>
      </c>
      <c r="AN743" s="86">
        <f>--_xlfn.XOR(AN735,'Key Generator'!AO550)</f>
        <v>1</v>
      </c>
      <c r="AO743" s="86">
        <f>--_xlfn.XOR(AO735,'Key Generator'!AP550)</f>
        <v>1</v>
      </c>
      <c r="AP743" s="86">
        <f>--_xlfn.XOR(AP735,'Key Generator'!AQ550)</f>
        <v>1</v>
      </c>
      <c r="AQ743" s="86">
        <f>--_xlfn.XOR(AQ735,'Key Generator'!AR550)</f>
        <v>1</v>
      </c>
      <c r="AR743" s="86">
        <f>--_xlfn.XOR(AR735,'Key Generator'!AS550)</f>
        <v>0</v>
      </c>
      <c r="AS743" s="81">
        <f>--_xlfn.XOR(AS735,'Key Generator'!AT550)</f>
        <v>1</v>
      </c>
      <c r="AT743" s="81">
        <f>--_xlfn.XOR(AT735,'Key Generator'!AU550)</f>
        <v>0</v>
      </c>
      <c r="AU743" s="81">
        <f>--_xlfn.XOR(AU735,'Key Generator'!AV550)</f>
        <v>0</v>
      </c>
      <c r="AV743" s="81">
        <f>--_xlfn.XOR(AV735,'Key Generator'!AW550)</f>
        <v>0</v>
      </c>
      <c r="AW743" s="81">
        <f>--_xlfn.XOR(AW735,'Key Generator'!AX550)</f>
        <v>1</v>
      </c>
      <c r="AX743" s="81">
        <f>--_xlfn.XOR(AX735,'Key Generator'!AY550)</f>
        <v>0</v>
      </c>
      <c r="AZ743" s="20"/>
      <c r="BA743" s="20"/>
      <c r="BB743" s="20"/>
      <c r="BC743" s="20"/>
    </row>
    <row r="744" spans="1:55" ht="24.95" customHeight="1" x14ac:dyDescent="0.25">
      <c r="C744" s="93"/>
      <c r="D744" s="94"/>
      <c r="E744" s="94"/>
      <c r="F744" s="94"/>
      <c r="G744" s="94"/>
      <c r="H744" s="94"/>
      <c r="AZ744" s="20"/>
      <c r="BA744" s="20"/>
      <c r="BB744" s="20"/>
      <c r="BC744" s="20"/>
    </row>
    <row r="745" spans="1:55" ht="24.95" customHeight="1" x14ac:dyDescent="0.25">
      <c r="A745" s="96" t="s">
        <v>545</v>
      </c>
      <c r="B745" s="97"/>
      <c r="C745" s="101">
        <f>D743*8+E743*4+F743*2+G743</f>
        <v>10</v>
      </c>
      <c r="D745" s="123" t="s">
        <v>536</v>
      </c>
      <c r="E745" s="97"/>
      <c r="F745" s="97"/>
      <c r="G745" s="97"/>
      <c r="H745" s="97"/>
      <c r="I745" s="101">
        <f>J743*8+K743*4+L743*2+M743</f>
        <v>0</v>
      </c>
      <c r="J745" s="122" t="s">
        <v>537</v>
      </c>
      <c r="K745" s="97"/>
      <c r="L745" s="97"/>
      <c r="M745" s="97"/>
      <c r="N745" s="97"/>
      <c r="O745" s="101">
        <f>P743*8+Q743*4+R743*2+S743</f>
        <v>10</v>
      </c>
      <c r="P745" s="122" t="s">
        <v>538</v>
      </c>
      <c r="Q745" s="97"/>
      <c r="R745" s="97"/>
      <c r="S745" s="97"/>
      <c r="T745" s="97"/>
      <c r="U745" s="101">
        <f>V743*8+W743*4+X743*2+Y743</f>
        <v>1</v>
      </c>
      <c r="V745" s="122" t="s">
        <v>539</v>
      </c>
      <c r="W745" s="97"/>
      <c r="X745" s="97"/>
      <c r="Y745" s="97"/>
      <c r="Z745" s="97"/>
      <c r="AA745" s="101">
        <f>AB743*8+AC743*4+AD743*2+AE743</f>
        <v>4</v>
      </c>
      <c r="AB745" s="122" t="s">
        <v>540</v>
      </c>
      <c r="AC745" s="97"/>
      <c r="AD745" s="97"/>
      <c r="AE745" s="97"/>
      <c r="AF745" s="97"/>
      <c r="AG745" s="101">
        <f>AH743*8+AI743*4+AJ743*2+AK743</f>
        <v>7</v>
      </c>
      <c r="AH745" s="122" t="s">
        <v>541</v>
      </c>
      <c r="AI745" s="97"/>
      <c r="AJ745" s="97"/>
      <c r="AK745" s="97"/>
      <c r="AL745" s="97"/>
      <c r="AM745" s="101">
        <f>AN743*8+AO743*4+AP743*2+AQ743</f>
        <v>15</v>
      </c>
      <c r="AN745" s="122" t="s">
        <v>542</v>
      </c>
      <c r="AO745" s="97"/>
      <c r="AP745" s="97"/>
      <c r="AQ745" s="97"/>
      <c r="AR745" s="97"/>
      <c r="AS745" s="101">
        <f>AT743*8+AU743*4+AV743*2+AW743</f>
        <v>1</v>
      </c>
      <c r="AT745" s="122" t="s">
        <v>543</v>
      </c>
      <c r="AU745" s="97"/>
      <c r="AV745" s="97"/>
      <c r="AW745" s="97"/>
      <c r="AX745" s="97"/>
      <c r="AY745" s="97"/>
      <c r="AZ745" s="20"/>
      <c r="BA745" s="20"/>
      <c r="BB745" s="20"/>
      <c r="BC745" s="20"/>
    </row>
    <row r="746" spans="1:55" ht="24.95" customHeight="1" x14ac:dyDescent="0.25">
      <c r="A746" s="100" t="s">
        <v>546</v>
      </c>
      <c r="B746" s="99"/>
      <c r="C746" s="87">
        <f>C743*2+H743</f>
        <v>1</v>
      </c>
      <c r="D746" s="98"/>
      <c r="E746" s="98"/>
      <c r="F746" s="99"/>
      <c r="G746" s="99"/>
      <c r="H746" s="99"/>
      <c r="I746" s="87">
        <f>I743*2+N743</f>
        <v>0</v>
      </c>
      <c r="J746" s="99"/>
      <c r="K746" s="99"/>
      <c r="L746" s="99"/>
      <c r="M746" s="99"/>
      <c r="N746" s="99"/>
      <c r="O746" s="87">
        <f>O743*2+T743</f>
        <v>0</v>
      </c>
      <c r="P746" s="99"/>
      <c r="Q746" s="99"/>
      <c r="R746" s="99"/>
      <c r="S746" s="99"/>
      <c r="T746" s="99"/>
      <c r="U746" s="87">
        <f>U743*2+Z743</f>
        <v>0</v>
      </c>
      <c r="V746" s="99"/>
      <c r="W746" s="99"/>
      <c r="X746" s="99"/>
      <c r="Y746" s="99"/>
      <c r="Z746" s="99"/>
      <c r="AA746" s="87">
        <f>AA743*2+AF743</f>
        <v>2</v>
      </c>
      <c r="AB746" s="99"/>
      <c r="AC746" s="99"/>
      <c r="AD746" s="99"/>
      <c r="AE746" s="99"/>
      <c r="AF746" s="99"/>
      <c r="AG746" s="87">
        <f>AG743*2+AL743</f>
        <v>1</v>
      </c>
      <c r="AH746" s="99"/>
      <c r="AI746" s="99"/>
      <c r="AJ746" s="99"/>
      <c r="AK746" s="99"/>
      <c r="AL746" s="99"/>
      <c r="AM746" s="87">
        <f>AM743*2+AR743</f>
        <v>0</v>
      </c>
      <c r="AN746" s="99"/>
      <c r="AO746" s="99"/>
      <c r="AP746" s="99"/>
      <c r="AQ746" s="99"/>
      <c r="AR746" s="99"/>
      <c r="AS746" s="87">
        <f>AS743*2+AX743</f>
        <v>2</v>
      </c>
      <c r="AT746" s="99"/>
      <c r="AU746" s="99"/>
      <c r="AV746" s="99"/>
      <c r="AW746" s="99"/>
      <c r="AX746" s="99"/>
      <c r="AY746" s="99"/>
      <c r="AZ746" s="20"/>
      <c r="BA746" s="20"/>
      <c r="BB746" s="20"/>
      <c r="BC746" s="20"/>
    </row>
    <row r="747" spans="1:55" ht="24.95" customHeight="1" x14ac:dyDescent="0.25">
      <c r="AZ747" s="20"/>
      <c r="BA747" s="20"/>
      <c r="BB747" s="20"/>
      <c r="BC747" s="20"/>
    </row>
    <row r="748" spans="1:55" ht="24.95" customHeight="1" x14ac:dyDescent="0.25">
      <c r="A748" s="117" t="s">
        <v>547</v>
      </c>
      <c r="C748" s="72">
        <f>INDEX('S-Box'!D3:S6,'DES-Enc'!C746+1,'DES-Enc'!C745+1)</f>
        <v>12</v>
      </c>
      <c r="I748" s="102">
        <f>INDEX('S-Box'!D9:S12,'DES-Enc'!I746+1,'DES-Enc'!I745+1)</f>
        <v>15</v>
      </c>
      <c r="O748" s="102">
        <f>INDEX('S-Box'!D15:S18,'DES-Enc'!O746+1,'DES-Enc'!O745+1)</f>
        <v>12</v>
      </c>
      <c r="U748" s="102">
        <f>INDEX('S-Box'!D21:S24,'DES-Enc'!U746+1,'DES-Enc'!U745+1)</f>
        <v>13</v>
      </c>
      <c r="AA748" s="102">
        <f>INDEX('S-Box'!D27:S30,'DES-Enc'!AA746+1,'DES-Enc'!AA745+1)</f>
        <v>10</v>
      </c>
      <c r="AG748" s="102">
        <f>INDEX('S-Box'!D33:S36,'DES-Enc'!AG746+1,'DES-Enc'!AG745+1)</f>
        <v>5</v>
      </c>
      <c r="AM748" s="102">
        <f>INDEX('S-Box'!D39:S42,'DES-Enc'!AM746+1,'DES-Enc'!AM745+1)</f>
        <v>1</v>
      </c>
      <c r="AS748" s="102">
        <f>INDEX('S-Box'!D45:S48,'DES-Enc'!AS746+1,'DES-Enc'!AS745+1)</f>
        <v>11</v>
      </c>
      <c r="AZ748" s="20"/>
      <c r="BA748" s="20"/>
      <c r="BB748" s="20"/>
      <c r="BC748" s="20"/>
    </row>
    <row r="749" spans="1:55" ht="24.95" customHeight="1" x14ac:dyDescent="0.25">
      <c r="C749" s="104"/>
      <c r="I749" s="95"/>
      <c r="O749" s="95"/>
      <c r="U749" s="95"/>
      <c r="AA749" s="95"/>
      <c r="AG749" s="95"/>
      <c r="AM749" s="95"/>
      <c r="AS749" s="95"/>
    </row>
    <row r="750" spans="1:55" ht="24.95" customHeight="1" x14ac:dyDescent="0.25">
      <c r="C750" s="105" t="str">
        <f>MID(DEC2BIN(C748,4),1,1)</f>
        <v>1</v>
      </c>
      <c r="D750" s="106" t="str">
        <f>MID(DEC2BIN(C748,4),2,1)</f>
        <v>1</v>
      </c>
      <c r="E750" s="106" t="str">
        <f>MID(DEC2BIN(C748,4),3,1)</f>
        <v>0</v>
      </c>
      <c r="F750" s="107" t="str">
        <f>MID(DEC2BIN(C748,4),4,1)</f>
        <v>0</v>
      </c>
      <c r="I750" s="105" t="str">
        <f>MID(DEC2BIN(I748,4),1,1)</f>
        <v>1</v>
      </c>
      <c r="J750" s="106" t="str">
        <f>MID(DEC2BIN(I748,4),2,1)</f>
        <v>1</v>
      </c>
      <c r="K750" s="106" t="str">
        <f>MID(DEC2BIN(I748,4),3,1)</f>
        <v>1</v>
      </c>
      <c r="L750" s="107" t="str">
        <f>MID(DEC2BIN(I748,4),4,1)</f>
        <v>1</v>
      </c>
      <c r="O750" s="105" t="str">
        <f>MID(DEC2BIN(O748,4),1,1)</f>
        <v>1</v>
      </c>
      <c r="P750" s="106" t="str">
        <f>MID(DEC2BIN(O748,4),2,1)</f>
        <v>1</v>
      </c>
      <c r="Q750" s="106" t="str">
        <f>MID(DEC2BIN(O748,4),3,1)</f>
        <v>0</v>
      </c>
      <c r="R750" s="107" t="str">
        <f>MID(DEC2BIN(O748,4),4,1)</f>
        <v>0</v>
      </c>
      <c r="U750" s="105" t="str">
        <f>MID(DEC2BIN(U748,4),1,1)</f>
        <v>1</v>
      </c>
      <c r="V750" s="106" t="str">
        <f>MID(DEC2BIN(U748,4),2,1)</f>
        <v>1</v>
      </c>
      <c r="W750" s="106" t="str">
        <f>MID(DEC2BIN(U748,4),3,1)</f>
        <v>0</v>
      </c>
      <c r="X750" s="107" t="str">
        <f>MID(DEC2BIN(U748,4),4,1)</f>
        <v>1</v>
      </c>
      <c r="AA750" s="105" t="str">
        <f>MID(DEC2BIN(AA748,4),1,1)</f>
        <v>1</v>
      </c>
      <c r="AB750" s="106" t="str">
        <f>MID(DEC2BIN(AA748,4),2,1)</f>
        <v>0</v>
      </c>
      <c r="AC750" s="106" t="str">
        <f>MID(DEC2BIN(AA748,4),3,1)</f>
        <v>1</v>
      </c>
      <c r="AD750" s="107" t="str">
        <f>MID(DEC2BIN(AA748,4),4,1)</f>
        <v>0</v>
      </c>
      <c r="AG750" s="105" t="str">
        <f>MID(DEC2BIN(AG748,4),1,1)</f>
        <v>0</v>
      </c>
      <c r="AH750" s="106" t="str">
        <f>MID(DEC2BIN(AG748,4),2,1)</f>
        <v>1</v>
      </c>
      <c r="AI750" s="106" t="str">
        <f>MID(DEC2BIN(AG748,4),3,1)</f>
        <v>0</v>
      </c>
      <c r="AJ750" s="107" t="str">
        <f>MID(DEC2BIN(AG748,4),4,1)</f>
        <v>1</v>
      </c>
      <c r="AM750" s="105" t="str">
        <f>MID(DEC2BIN(AM748,4),1,1)</f>
        <v>0</v>
      </c>
      <c r="AN750" s="106" t="str">
        <f>MID(DEC2BIN(AM748,4),2,1)</f>
        <v>0</v>
      </c>
      <c r="AO750" s="106" t="str">
        <f>MID(DEC2BIN(AM748,4),3,1)</f>
        <v>0</v>
      </c>
      <c r="AP750" s="107" t="str">
        <f>MID(DEC2BIN(AM748,4),4,1)</f>
        <v>1</v>
      </c>
      <c r="AS750" s="105" t="str">
        <f>MID(DEC2BIN(AS748,4),1,1)</f>
        <v>1</v>
      </c>
      <c r="AT750" s="106" t="str">
        <f>MID(DEC2BIN(AS748,4),2,1)</f>
        <v>0</v>
      </c>
      <c r="AU750" s="106" t="str">
        <f>MID(DEC2BIN(AS748,4),3,1)</f>
        <v>1</v>
      </c>
      <c r="AV750" s="107" t="str">
        <f>MID(DEC2BIN(AS748,4),4,1)</f>
        <v>1</v>
      </c>
    </row>
    <row r="751" spans="1:55" ht="24.95" customHeight="1" x14ac:dyDescent="0.25">
      <c r="C751" s="21">
        <f>VALUE(C750)</f>
        <v>1</v>
      </c>
      <c r="D751" s="21">
        <f t="shared" ref="D751" si="2202">VALUE(D750)</f>
        <v>1</v>
      </c>
      <c r="E751" s="21">
        <f t="shared" ref="E751" si="2203">VALUE(E750)</f>
        <v>0</v>
      </c>
      <c r="F751" s="21">
        <f t="shared" ref="F751" si="2204">VALUE(F750)</f>
        <v>0</v>
      </c>
      <c r="I751" s="21">
        <f t="shared" ref="I751" si="2205">VALUE(I750)</f>
        <v>1</v>
      </c>
      <c r="J751" s="21">
        <f t="shared" ref="J751" si="2206">VALUE(J750)</f>
        <v>1</v>
      </c>
      <c r="K751" s="21">
        <f t="shared" ref="K751" si="2207">VALUE(K750)</f>
        <v>1</v>
      </c>
      <c r="L751" s="21">
        <f t="shared" ref="L751" si="2208">VALUE(L750)</f>
        <v>1</v>
      </c>
      <c r="O751" s="21">
        <f>VALUE(O750)</f>
        <v>1</v>
      </c>
      <c r="P751" s="21">
        <f t="shared" ref="P751" si="2209">VALUE(P750)</f>
        <v>1</v>
      </c>
      <c r="Q751" s="21">
        <f t="shared" ref="Q751" si="2210">VALUE(Q750)</f>
        <v>0</v>
      </c>
      <c r="R751" s="21">
        <f t="shared" ref="R751" si="2211">VALUE(R750)</f>
        <v>0</v>
      </c>
      <c r="U751" s="21">
        <f>VALUE(U750)</f>
        <v>1</v>
      </c>
      <c r="V751" s="21">
        <f t="shared" ref="V751" si="2212">VALUE(V750)</f>
        <v>1</v>
      </c>
      <c r="W751" s="21">
        <f t="shared" ref="W751" si="2213">VALUE(W750)</f>
        <v>0</v>
      </c>
      <c r="X751" s="21">
        <f t="shared" ref="X751" si="2214">VALUE(X750)</f>
        <v>1</v>
      </c>
      <c r="AA751" s="21">
        <f>VALUE(AA750)</f>
        <v>1</v>
      </c>
      <c r="AB751" s="21">
        <f t="shared" ref="AB751" si="2215">VALUE(AB750)</f>
        <v>0</v>
      </c>
      <c r="AC751" s="21">
        <f t="shared" ref="AC751" si="2216">VALUE(AC750)</f>
        <v>1</v>
      </c>
      <c r="AD751" s="21">
        <f t="shared" ref="AD751" si="2217">VALUE(AD750)</f>
        <v>0</v>
      </c>
      <c r="AG751" s="21">
        <f>VALUE(AG750)</f>
        <v>0</v>
      </c>
      <c r="AH751" s="21">
        <f t="shared" ref="AH751" si="2218">VALUE(AH750)</f>
        <v>1</v>
      </c>
      <c r="AI751" s="21">
        <f t="shared" ref="AI751" si="2219">VALUE(AI750)</f>
        <v>0</v>
      </c>
      <c r="AJ751" s="21">
        <f t="shared" ref="AJ751" si="2220">VALUE(AJ750)</f>
        <v>1</v>
      </c>
      <c r="AM751" s="21">
        <f>VALUE(AM750)</f>
        <v>0</v>
      </c>
      <c r="AN751" s="21">
        <f t="shared" ref="AN751" si="2221">VALUE(AN750)</f>
        <v>0</v>
      </c>
      <c r="AO751" s="21">
        <f t="shared" ref="AO751" si="2222">VALUE(AO750)</f>
        <v>0</v>
      </c>
      <c r="AP751" s="21">
        <f t="shared" ref="AP751" si="2223">VALUE(AP750)</f>
        <v>1</v>
      </c>
      <c r="AS751" s="21">
        <f>VALUE(AS750)</f>
        <v>1</v>
      </c>
      <c r="AT751" s="21">
        <f t="shared" ref="AT751" si="2224">VALUE(AT750)</f>
        <v>0</v>
      </c>
      <c r="AU751" s="21">
        <f t="shared" ref="AU751" si="2225">VALUE(AU750)</f>
        <v>1</v>
      </c>
      <c r="AV751" s="21">
        <f t="shared" ref="AV751" si="2226">VALUE(AV750)</f>
        <v>1</v>
      </c>
    </row>
    <row r="752" spans="1:55" ht="24.95" customHeight="1" x14ac:dyDescent="0.25">
      <c r="A752" s="111" t="s">
        <v>588</v>
      </c>
      <c r="B752" s="111"/>
      <c r="C752" s="111">
        <v>1</v>
      </c>
      <c r="D752" s="76">
        <v>2</v>
      </c>
      <c r="E752" s="111">
        <v>3</v>
      </c>
      <c r="F752" s="76">
        <v>4</v>
      </c>
      <c r="G752" s="111">
        <v>5</v>
      </c>
      <c r="H752" s="76">
        <v>6</v>
      </c>
      <c r="I752" s="111">
        <v>7</v>
      </c>
      <c r="J752" s="76">
        <v>8</v>
      </c>
      <c r="K752" s="111">
        <v>9</v>
      </c>
      <c r="L752" s="76">
        <v>10</v>
      </c>
      <c r="M752" s="111">
        <v>11</v>
      </c>
      <c r="N752" s="76">
        <v>12</v>
      </c>
      <c r="O752" s="111">
        <v>13</v>
      </c>
      <c r="P752" s="76">
        <v>14</v>
      </c>
      <c r="Q752" s="111">
        <v>15</v>
      </c>
      <c r="R752" s="76">
        <v>16</v>
      </c>
      <c r="S752" s="111">
        <v>17</v>
      </c>
      <c r="T752" s="76">
        <v>18</v>
      </c>
      <c r="U752" s="111">
        <v>19</v>
      </c>
      <c r="V752" s="76">
        <v>20</v>
      </c>
      <c r="W752" s="111">
        <v>21</v>
      </c>
      <c r="X752" s="76">
        <v>22</v>
      </c>
      <c r="Y752" s="111">
        <v>23</v>
      </c>
      <c r="Z752" s="76">
        <v>24</v>
      </c>
      <c r="AA752" s="111">
        <v>25</v>
      </c>
      <c r="AB752" s="76">
        <v>26</v>
      </c>
      <c r="AC752" s="111">
        <v>27</v>
      </c>
      <c r="AD752" s="76">
        <v>28</v>
      </c>
      <c r="AE752" s="111">
        <v>29</v>
      </c>
      <c r="AF752" s="76">
        <v>30</v>
      </c>
      <c r="AG752" s="111">
        <v>31</v>
      </c>
      <c r="AH752" s="76">
        <v>32</v>
      </c>
    </row>
    <row r="753" spans="1:37" ht="24.95" customHeight="1" x14ac:dyDescent="0.25">
      <c r="C753" s="108">
        <f>C751</f>
        <v>1</v>
      </c>
      <c r="D753" s="108">
        <f t="shared" ref="D753:F753" si="2227">D751</f>
        <v>1</v>
      </c>
      <c r="E753" s="108">
        <f t="shared" si="2227"/>
        <v>0</v>
      </c>
      <c r="F753" s="108">
        <f t="shared" si="2227"/>
        <v>0</v>
      </c>
      <c r="G753" s="23">
        <f>I751</f>
        <v>1</v>
      </c>
      <c r="H753" s="23">
        <f t="shared" ref="H753" si="2228">J751</f>
        <v>1</v>
      </c>
      <c r="I753" s="23">
        <f t="shared" ref="I753" si="2229">K751</f>
        <v>1</v>
      </c>
      <c r="J753" s="23">
        <f t="shared" ref="J753" si="2230">L751</f>
        <v>1</v>
      </c>
      <c r="K753" s="23">
        <f>O751</f>
        <v>1</v>
      </c>
      <c r="L753" s="23">
        <f t="shared" ref="L753" si="2231">P751</f>
        <v>1</v>
      </c>
      <c r="M753" s="23">
        <f t="shared" ref="M753" si="2232">Q751</f>
        <v>0</v>
      </c>
      <c r="N753" s="23">
        <f t="shared" ref="N753" si="2233">R751</f>
        <v>0</v>
      </c>
      <c r="O753" s="23">
        <f>U751</f>
        <v>1</v>
      </c>
      <c r="P753" s="23">
        <f t="shared" ref="P753" si="2234">V751</f>
        <v>1</v>
      </c>
      <c r="Q753" s="23">
        <f t="shared" ref="Q753" si="2235">W751</f>
        <v>0</v>
      </c>
      <c r="R753" s="23">
        <f t="shared" ref="R753" si="2236">X751</f>
        <v>1</v>
      </c>
      <c r="S753" s="23">
        <f>AA751</f>
        <v>1</v>
      </c>
      <c r="T753" s="23">
        <f t="shared" ref="T753" si="2237">AB751</f>
        <v>0</v>
      </c>
      <c r="U753" s="23">
        <f t="shared" ref="U753" si="2238">AC751</f>
        <v>1</v>
      </c>
      <c r="V753" s="23">
        <f t="shared" ref="V753" si="2239">AD751</f>
        <v>0</v>
      </c>
      <c r="W753" s="23">
        <f>AG751</f>
        <v>0</v>
      </c>
      <c r="X753" s="23">
        <f t="shared" ref="X753" si="2240">AH751</f>
        <v>1</v>
      </c>
      <c r="Y753" s="23">
        <f t="shared" ref="Y753" si="2241">AI751</f>
        <v>0</v>
      </c>
      <c r="Z753" s="23">
        <f t="shared" ref="Z753" si="2242">AJ751</f>
        <v>1</v>
      </c>
      <c r="AA753" s="23">
        <f>AM751</f>
        <v>0</v>
      </c>
      <c r="AB753" s="23">
        <f t="shared" ref="AB753" si="2243">AN751</f>
        <v>0</v>
      </c>
      <c r="AC753" s="23">
        <f t="shared" ref="AC753" si="2244">AO751</f>
        <v>0</v>
      </c>
      <c r="AD753" s="23">
        <f t="shared" ref="AD753" si="2245">AP751</f>
        <v>1</v>
      </c>
      <c r="AE753" s="23">
        <f>AS751</f>
        <v>1</v>
      </c>
      <c r="AF753" s="23">
        <f t="shared" ref="AF753" si="2246">AT751</f>
        <v>0</v>
      </c>
      <c r="AG753" s="23">
        <f t="shared" ref="AG753" si="2247">AU751</f>
        <v>1</v>
      </c>
      <c r="AH753" s="23">
        <f t="shared" ref="AH753" si="2248">AV751</f>
        <v>1</v>
      </c>
    </row>
    <row r="755" spans="1:37" ht="24.95" customHeight="1" x14ac:dyDescent="0.25">
      <c r="A755" s="110" t="s">
        <v>548</v>
      </c>
      <c r="B755" s="110"/>
      <c r="C755" s="109">
        <v>16</v>
      </c>
      <c r="D755" s="110">
        <v>7</v>
      </c>
      <c r="E755" s="110">
        <v>20</v>
      </c>
      <c r="F755" s="110">
        <v>21</v>
      </c>
      <c r="G755" s="110">
        <v>29</v>
      </c>
      <c r="H755" s="110">
        <v>12</v>
      </c>
      <c r="I755" s="110">
        <v>28</v>
      </c>
      <c r="J755" s="110">
        <v>17</v>
      </c>
      <c r="K755" s="110">
        <v>1</v>
      </c>
      <c r="L755" s="110">
        <v>15</v>
      </c>
      <c r="M755" s="110">
        <v>23</v>
      </c>
      <c r="N755" s="110">
        <v>26</v>
      </c>
      <c r="O755" s="110">
        <v>5</v>
      </c>
      <c r="P755" s="110">
        <v>18</v>
      </c>
      <c r="Q755" s="110">
        <v>31</v>
      </c>
      <c r="R755" s="110">
        <v>10</v>
      </c>
      <c r="S755" s="110">
        <v>2</v>
      </c>
      <c r="T755" s="110">
        <v>8</v>
      </c>
      <c r="U755" s="110">
        <v>24</v>
      </c>
      <c r="V755" s="110">
        <v>14</v>
      </c>
      <c r="W755" s="110">
        <v>32</v>
      </c>
      <c r="X755" s="110">
        <v>27</v>
      </c>
      <c r="Y755" s="110">
        <v>3</v>
      </c>
      <c r="Z755" s="110">
        <v>9</v>
      </c>
      <c r="AA755" s="110">
        <v>19</v>
      </c>
      <c r="AB755" s="110">
        <v>13</v>
      </c>
      <c r="AC755" s="110">
        <v>30</v>
      </c>
      <c r="AD755" s="110">
        <v>6</v>
      </c>
      <c r="AE755" s="110">
        <v>22</v>
      </c>
      <c r="AF755" s="110">
        <v>11</v>
      </c>
      <c r="AG755" s="110">
        <v>4</v>
      </c>
      <c r="AH755" s="110">
        <v>25</v>
      </c>
    </row>
    <row r="756" spans="1:37" ht="24.95" customHeight="1" x14ac:dyDescent="0.25">
      <c r="C756" s="103">
        <f>K753</f>
        <v>1</v>
      </c>
      <c r="D756" s="103">
        <f>S753</f>
        <v>1</v>
      </c>
      <c r="E756" s="103">
        <f>Y753</f>
        <v>0</v>
      </c>
      <c r="F756" s="112">
        <f>AG753</f>
        <v>1</v>
      </c>
      <c r="G756" s="103">
        <f>O753</f>
        <v>1</v>
      </c>
      <c r="H756" s="103">
        <f>AD753</f>
        <v>1</v>
      </c>
      <c r="I756" s="103">
        <f>D753</f>
        <v>1</v>
      </c>
      <c r="J756" s="103">
        <f>T753</f>
        <v>0</v>
      </c>
      <c r="K756" s="103">
        <f>Z753</f>
        <v>1</v>
      </c>
      <c r="L756" s="103">
        <f>R753</f>
        <v>1</v>
      </c>
      <c r="M756" s="103">
        <f>AF753</f>
        <v>0</v>
      </c>
      <c r="N756" s="103">
        <f>H753</f>
        <v>1</v>
      </c>
      <c r="O756" s="103">
        <f>AB753</f>
        <v>0</v>
      </c>
      <c r="P756" s="103">
        <f>V753</f>
        <v>0</v>
      </c>
      <c r="Q756" s="103">
        <f>L753</f>
        <v>1</v>
      </c>
      <c r="R756" s="103">
        <f>C753</f>
        <v>1</v>
      </c>
      <c r="S756" s="103">
        <f>J753</f>
        <v>1</v>
      </c>
      <c r="T756" s="103">
        <f>P753</f>
        <v>1</v>
      </c>
      <c r="U756" s="103">
        <f>AA753</f>
        <v>0</v>
      </c>
      <c r="V756" s="103">
        <f>E753</f>
        <v>0</v>
      </c>
      <c r="W756" s="103">
        <f>F753</f>
        <v>0</v>
      </c>
      <c r="X756" s="103">
        <f>AE753</f>
        <v>1</v>
      </c>
      <c r="Y756" s="103">
        <f>M753</f>
        <v>0</v>
      </c>
      <c r="Z756" s="103">
        <f>U753</f>
        <v>1</v>
      </c>
      <c r="AA756" s="103">
        <f>AH753</f>
        <v>1</v>
      </c>
      <c r="AB756" s="103">
        <f>N753</f>
        <v>0</v>
      </c>
      <c r="AC756" s="103">
        <f>X753</f>
        <v>1</v>
      </c>
      <c r="AD756" s="103">
        <f>I753</f>
        <v>1</v>
      </c>
      <c r="AE756" s="103">
        <f>G753</f>
        <v>1</v>
      </c>
      <c r="AF756" s="103">
        <f>AC753</f>
        <v>0</v>
      </c>
      <c r="AG756" s="103">
        <f>Q753</f>
        <v>0</v>
      </c>
      <c r="AH756" s="103">
        <f>W753</f>
        <v>0</v>
      </c>
    </row>
    <row r="757" spans="1:37" ht="24.95" customHeight="1" x14ac:dyDescent="0.25">
      <c r="C757" s="130">
        <v>1</v>
      </c>
      <c r="D757" s="131">
        <v>2</v>
      </c>
      <c r="E757" s="130">
        <v>3</v>
      </c>
      <c r="F757" s="131">
        <v>4</v>
      </c>
      <c r="G757" s="130">
        <v>5</v>
      </c>
      <c r="H757" s="131">
        <v>6</v>
      </c>
      <c r="I757" s="130">
        <v>7</v>
      </c>
      <c r="J757" s="131">
        <v>8</v>
      </c>
      <c r="K757" s="130">
        <v>9</v>
      </c>
      <c r="L757" s="131">
        <v>10</v>
      </c>
      <c r="M757" s="130">
        <v>11</v>
      </c>
      <c r="N757" s="131">
        <v>12</v>
      </c>
      <c r="O757" s="130">
        <v>13</v>
      </c>
      <c r="P757" s="131">
        <v>14</v>
      </c>
      <c r="Q757" s="130">
        <v>15</v>
      </c>
      <c r="R757" s="131">
        <v>16</v>
      </c>
      <c r="S757" s="130">
        <v>17</v>
      </c>
      <c r="T757" s="131">
        <v>18</v>
      </c>
      <c r="U757" s="130">
        <v>19</v>
      </c>
      <c r="V757" s="131">
        <v>20</v>
      </c>
      <c r="W757" s="130">
        <v>21</v>
      </c>
      <c r="X757" s="131">
        <v>22</v>
      </c>
      <c r="Y757" s="130">
        <v>23</v>
      </c>
      <c r="Z757" s="131">
        <v>24</v>
      </c>
      <c r="AA757" s="130">
        <v>25</v>
      </c>
      <c r="AB757" s="131">
        <v>26</v>
      </c>
      <c r="AC757" s="130">
        <v>27</v>
      </c>
      <c r="AD757" s="131">
        <v>28</v>
      </c>
      <c r="AE757" s="130">
        <v>29</v>
      </c>
      <c r="AF757" s="131">
        <v>30</v>
      </c>
      <c r="AG757" s="130">
        <v>31</v>
      </c>
      <c r="AH757" s="131">
        <v>32</v>
      </c>
    </row>
    <row r="761" spans="1:37" ht="24.95" customHeight="1" x14ac:dyDescent="0.25">
      <c r="A761" s="114" t="s">
        <v>582</v>
      </c>
      <c r="B761" s="114"/>
      <c r="C761" s="114"/>
      <c r="D761" s="68">
        <v>1</v>
      </c>
      <c r="E761" s="68">
        <v>2</v>
      </c>
      <c r="F761" s="68">
        <v>3</v>
      </c>
      <c r="G761" s="68">
        <v>4</v>
      </c>
      <c r="H761" s="68">
        <v>5</v>
      </c>
      <c r="I761" s="68">
        <v>6</v>
      </c>
      <c r="J761" s="68">
        <v>7</v>
      </c>
      <c r="K761" s="68">
        <v>8</v>
      </c>
      <c r="L761" s="68">
        <v>9</v>
      </c>
      <c r="M761" s="68">
        <v>10</v>
      </c>
      <c r="N761" s="68">
        <v>11</v>
      </c>
      <c r="O761" s="68">
        <v>12</v>
      </c>
      <c r="P761" s="68">
        <v>13</v>
      </c>
      <c r="Q761" s="68">
        <v>14</v>
      </c>
      <c r="R761" s="68">
        <v>15</v>
      </c>
      <c r="S761" s="68">
        <v>16</v>
      </c>
      <c r="T761" s="68">
        <v>17</v>
      </c>
      <c r="U761" s="68">
        <v>18</v>
      </c>
      <c r="V761" s="68">
        <v>19</v>
      </c>
      <c r="W761" s="68">
        <v>20</v>
      </c>
      <c r="X761" s="68">
        <v>21</v>
      </c>
      <c r="Y761" s="68">
        <v>22</v>
      </c>
      <c r="Z761" s="68">
        <v>23</v>
      </c>
      <c r="AA761" s="68">
        <v>24</v>
      </c>
      <c r="AB761" s="68">
        <v>25</v>
      </c>
      <c r="AC761" s="68">
        <v>26</v>
      </c>
      <c r="AD761" s="68">
        <v>27</v>
      </c>
      <c r="AE761" s="68">
        <v>28</v>
      </c>
      <c r="AF761" s="68">
        <v>29</v>
      </c>
      <c r="AG761" s="68">
        <v>30</v>
      </c>
      <c r="AH761" s="68">
        <v>31</v>
      </c>
      <c r="AI761" s="68">
        <v>32</v>
      </c>
      <c r="AK761" s="21" t="s">
        <v>268</v>
      </c>
    </row>
    <row r="762" spans="1:37" ht="24.95" customHeight="1" x14ac:dyDescent="0.25">
      <c r="A762" s="64" t="s">
        <v>549</v>
      </c>
      <c r="D762" s="67">
        <f>C720</f>
        <v>1</v>
      </c>
      <c r="E762" s="68">
        <f t="shared" ref="E762" si="2249">D720</f>
        <v>0</v>
      </c>
      <c r="F762" s="68">
        <f t="shared" ref="F762" si="2250">E720</f>
        <v>0</v>
      </c>
      <c r="G762" s="68">
        <f t="shared" ref="G762" si="2251">F720</f>
        <v>0</v>
      </c>
      <c r="H762" s="68">
        <f t="shared" ref="H762" si="2252">G720</f>
        <v>0</v>
      </c>
      <c r="I762" s="68">
        <f t="shared" ref="I762" si="2253">H720</f>
        <v>0</v>
      </c>
      <c r="J762" s="68">
        <f t="shared" ref="J762" si="2254">I720</f>
        <v>0</v>
      </c>
      <c r="K762" s="68">
        <f t="shared" ref="K762" si="2255">J720</f>
        <v>1</v>
      </c>
      <c r="L762" s="68">
        <f t="shared" ref="L762" si="2256">K720</f>
        <v>0</v>
      </c>
      <c r="M762" s="68">
        <f t="shared" ref="M762" si="2257">L720</f>
        <v>0</v>
      </c>
      <c r="N762" s="68">
        <f t="shared" ref="N762" si="2258">M720</f>
        <v>1</v>
      </c>
      <c r="O762" s="68">
        <f t="shared" ref="O762" si="2259">N720</f>
        <v>0</v>
      </c>
      <c r="P762" s="68">
        <f t="shared" ref="P762" si="2260">O720</f>
        <v>0</v>
      </c>
      <c r="Q762" s="68">
        <f t="shared" ref="Q762" si="2261">P720</f>
        <v>0</v>
      </c>
      <c r="R762" s="68">
        <f t="shared" ref="R762" si="2262">Q720</f>
        <v>1</v>
      </c>
      <c r="S762" s="68">
        <f t="shared" ref="S762" si="2263">R720</f>
        <v>0</v>
      </c>
      <c r="T762" s="68">
        <f t="shared" ref="T762" si="2264">S720</f>
        <v>0</v>
      </c>
      <c r="U762" s="68">
        <f t="shared" ref="U762" si="2265">T720</f>
        <v>1</v>
      </c>
      <c r="V762" s="68">
        <f t="shared" ref="V762" si="2266">U720</f>
        <v>1</v>
      </c>
      <c r="W762" s="68">
        <f t="shared" ref="W762" si="2267">V720</f>
        <v>1</v>
      </c>
      <c r="X762" s="68">
        <f t="shared" ref="X762" si="2268">W720</f>
        <v>0</v>
      </c>
      <c r="Y762" s="68">
        <f t="shared" ref="Y762" si="2269">X720</f>
        <v>0</v>
      </c>
      <c r="Z762" s="68">
        <f t="shared" ref="Z762" si="2270">Y720</f>
        <v>0</v>
      </c>
      <c r="AA762" s="68">
        <f t="shared" ref="AA762" si="2271">Z720</f>
        <v>1</v>
      </c>
      <c r="AB762" s="68">
        <f t="shared" ref="AB762" si="2272">AA720</f>
        <v>1</v>
      </c>
      <c r="AC762" s="68">
        <f t="shared" ref="AC762" si="2273">AB720</f>
        <v>0</v>
      </c>
      <c r="AD762" s="68">
        <f t="shared" ref="AD762" si="2274">AC720</f>
        <v>1</v>
      </c>
      <c r="AE762" s="68">
        <f t="shared" ref="AE762" si="2275">AD720</f>
        <v>1</v>
      </c>
      <c r="AF762" s="68">
        <f t="shared" ref="AF762" si="2276">AE720</f>
        <v>1</v>
      </c>
      <c r="AG762" s="68">
        <f t="shared" ref="AG762" si="2277">AF720</f>
        <v>1</v>
      </c>
      <c r="AH762" s="68">
        <f t="shared" ref="AH762" si="2278">AG720</f>
        <v>0</v>
      </c>
      <c r="AI762" s="68">
        <f t="shared" ref="AI762" si="2279">AH720</f>
        <v>0</v>
      </c>
    </row>
    <row r="764" spans="1:37" ht="24.95" customHeight="1" x14ac:dyDescent="0.25">
      <c r="A764" s="114" t="s">
        <v>583</v>
      </c>
      <c r="B764" s="114"/>
      <c r="C764" s="114"/>
      <c r="D764" s="70">
        <v>1</v>
      </c>
      <c r="E764" s="70">
        <v>2</v>
      </c>
      <c r="F764" s="70">
        <v>3</v>
      </c>
      <c r="G764" s="70">
        <v>4</v>
      </c>
      <c r="H764" s="70">
        <v>5</v>
      </c>
      <c r="I764" s="70">
        <v>6</v>
      </c>
      <c r="J764" s="70">
        <v>7</v>
      </c>
      <c r="K764" s="70">
        <v>8</v>
      </c>
      <c r="L764" s="70">
        <v>9</v>
      </c>
      <c r="M764" s="70">
        <v>10</v>
      </c>
      <c r="N764" s="70">
        <v>11</v>
      </c>
      <c r="O764" s="70">
        <v>12</v>
      </c>
      <c r="P764" s="70">
        <v>13</v>
      </c>
      <c r="Q764" s="70">
        <v>14</v>
      </c>
      <c r="R764" s="70">
        <v>15</v>
      </c>
      <c r="S764" s="70">
        <v>16</v>
      </c>
      <c r="T764" s="70">
        <v>17</v>
      </c>
      <c r="U764" s="70">
        <v>18</v>
      </c>
      <c r="V764" s="70">
        <v>19</v>
      </c>
      <c r="W764" s="70">
        <v>20</v>
      </c>
      <c r="X764" s="70">
        <v>21</v>
      </c>
      <c r="Y764" s="70">
        <v>22</v>
      </c>
      <c r="Z764" s="70">
        <v>23</v>
      </c>
      <c r="AA764" s="70">
        <v>24</v>
      </c>
      <c r="AB764" s="70">
        <v>25</v>
      </c>
      <c r="AC764" s="70">
        <v>26</v>
      </c>
      <c r="AD764" s="70">
        <v>27</v>
      </c>
      <c r="AE764" s="70">
        <v>28</v>
      </c>
      <c r="AF764" s="70">
        <v>29</v>
      </c>
      <c r="AG764" s="70">
        <v>30</v>
      </c>
      <c r="AH764" s="70">
        <v>31</v>
      </c>
      <c r="AI764" s="70">
        <v>32</v>
      </c>
      <c r="AJ764" s="21" t="s">
        <v>654</v>
      </c>
      <c r="AK764" s="21" t="s">
        <v>0</v>
      </c>
    </row>
    <row r="765" spans="1:37" ht="24.95" customHeight="1" x14ac:dyDescent="0.25">
      <c r="A765" s="64" t="s">
        <v>551</v>
      </c>
      <c r="D765" s="70">
        <f>--_xlfn.XOR(C756,D713)</f>
        <v>0</v>
      </c>
      <c r="E765" s="70">
        <f t="shared" ref="E765:AI765" si="2280">--_xlfn.XOR(D756,E713)</f>
        <v>0</v>
      </c>
      <c r="F765" s="70">
        <f t="shared" si="2280"/>
        <v>0</v>
      </c>
      <c r="G765" s="70">
        <f t="shared" si="2280"/>
        <v>1</v>
      </c>
      <c r="H765" s="70">
        <f t="shared" si="2280"/>
        <v>0</v>
      </c>
      <c r="I765" s="70">
        <f t="shared" si="2280"/>
        <v>0</v>
      </c>
      <c r="J765" s="70">
        <f t="shared" si="2280"/>
        <v>0</v>
      </c>
      <c r="K765" s="70">
        <f t="shared" si="2280"/>
        <v>0</v>
      </c>
      <c r="L765" s="70">
        <f t="shared" si="2280"/>
        <v>1</v>
      </c>
      <c r="M765" s="70">
        <f t="shared" si="2280"/>
        <v>1</v>
      </c>
      <c r="N765" s="70">
        <f t="shared" si="2280"/>
        <v>0</v>
      </c>
      <c r="O765" s="70">
        <f t="shared" si="2280"/>
        <v>0</v>
      </c>
      <c r="P765" s="70">
        <f t="shared" si="2280"/>
        <v>1</v>
      </c>
      <c r="Q765" s="70">
        <f t="shared" si="2280"/>
        <v>0</v>
      </c>
      <c r="R765" s="70">
        <f t="shared" si="2280"/>
        <v>1</v>
      </c>
      <c r="S765" s="70">
        <f t="shared" si="2280"/>
        <v>1</v>
      </c>
      <c r="T765" s="70">
        <f t="shared" si="2280"/>
        <v>1</v>
      </c>
      <c r="U765" s="70">
        <f t="shared" si="2280"/>
        <v>0</v>
      </c>
      <c r="V765" s="70">
        <f t="shared" si="2280"/>
        <v>1</v>
      </c>
      <c r="W765" s="70">
        <f t="shared" si="2280"/>
        <v>0</v>
      </c>
      <c r="X765" s="70">
        <f t="shared" si="2280"/>
        <v>0</v>
      </c>
      <c r="Y765" s="70">
        <f t="shared" si="2280"/>
        <v>1</v>
      </c>
      <c r="Z765" s="70">
        <f t="shared" si="2280"/>
        <v>0</v>
      </c>
      <c r="AA765" s="70">
        <f t="shared" si="2280"/>
        <v>1</v>
      </c>
      <c r="AB765" s="70">
        <f t="shared" si="2280"/>
        <v>0</v>
      </c>
      <c r="AC765" s="70">
        <f t="shared" si="2280"/>
        <v>0</v>
      </c>
      <c r="AD765" s="70">
        <f t="shared" si="2280"/>
        <v>0</v>
      </c>
      <c r="AE765" s="70">
        <f t="shared" si="2280"/>
        <v>1</v>
      </c>
      <c r="AF765" s="70">
        <f t="shared" si="2280"/>
        <v>1</v>
      </c>
      <c r="AG765" s="70">
        <f t="shared" si="2280"/>
        <v>1</v>
      </c>
      <c r="AH765" s="70">
        <f t="shared" si="2280"/>
        <v>0</v>
      </c>
      <c r="AI765" s="70">
        <f t="shared" si="2280"/>
        <v>0</v>
      </c>
    </row>
    <row r="766" spans="1:37" ht="24.95" customHeight="1" x14ac:dyDescent="0.25">
      <c r="A766" s="132" t="s">
        <v>623</v>
      </c>
    </row>
    <row r="767" spans="1:37" s="132" customFormat="1" ht="24.95" customHeight="1" x14ac:dyDescent="0.25">
      <c r="B767" s="133"/>
      <c r="C767" s="134"/>
    </row>
    <row r="768" spans="1:37" ht="24.95" customHeight="1" x14ac:dyDescent="0.25">
      <c r="B768" s="21"/>
      <c r="C768" s="70">
        <v>1</v>
      </c>
      <c r="D768" s="70">
        <v>2</v>
      </c>
      <c r="E768" s="70">
        <v>3</v>
      </c>
      <c r="F768" s="70">
        <v>4</v>
      </c>
      <c r="G768" s="70">
        <v>5</v>
      </c>
      <c r="H768" s="70">
        <v>6</v>
      </c>
      <c r="I768" s="70">
        <v>7</v>
      </c>
      <c r="J768" s="70">
        <v>8</v>
      </c>
      <c r="K768" s="70">
        <v>9</v>
      </c>
      <c r="L768" s="70">
        <v>10</v>
      </c>
      <c r="M768" s="70">
        <v>11</v>
      </c>
      <c r="N768" s="70">
        <v>12</v>
      </c>
      <c r="O768" s="70">
        <v>13</v>
      </c>
      <c r="P768" s="70">
        <v>14</v>
      </c>
      <c r="Q768" s="70">
        <v>15</v>
      </c>
      <c r="R768" s="70">
        <v>16</v>
      </c>
      <c r="S768" s="70">
        <v>17</v>
      </c>
      <c r="T768" s="70">
        <v>18</v>
      </c>
      <c r="U768" s="70">
        <v>19</v>
      </c>
      <c r="V768" s="70">
        <v>20</v>
      </c>
      <c r="W768" s="70">
        <v>21</v>
      </c>
      <c r="X768" s="70">
        <v>22</v>
      </c>
      <c r="Y768" s="70">
        <v>23</v>
      </c>
      <c r="Z768" s="70">
        <v>24</v>
      </c>
      <c r="AA768" s="70">
        <v>25</v>
      </c>
      <c r="AB768" s="70">
        <v>26</v>
      </c>
      <c r="AC768" s="70">
        <v>27</v>
      </c>
      <c r="AD768" s="70">
        <v>28</v>
      </c>
      <c r="AE768" s="70">
        <v>29</v>
      </c>
      <c r="AF768" s="70">
        <v>30</v>
      </c>
      <c r="AG768" s="70">
        <v>31</v>
      </c>
      <c r="AH768" s="70">
        <v>32</v>
      </c>
    </row>
    <row r="769" spans="1:51" ht="24.95" customHeight="1" x14ac:dyDescent="0.25">
      <c r="A769" s="114" t="s">
        <v>583</v>
      </c>
      <c r="B769" s="114"/>
      <c r="C769" s="70">
        <f>D765</f>
        <v>0</v>
      </c>
      <c r="D769" s="70">
        <f t="shared" ref="D769:AH769" si="2281">E765</f>
        <v>0</v>
      </c>
      <c r="E769" s="70">
        <f t="shared" si="2281"/>
        <v>0</v>
      </c>
      <c r="F769" s="70">
        <f t="shared" si="2281"/>
        <v>1</v>
      </c>
      <c r="G769" s="70">
        <f t="shared" si="2281"/>
        <v>0</v>
      </c>
      <c r="H769" s="70">
        <f t="shared" si="2281"/>
        <v>0</v>
      </c>
      <c r="I769" s="70">
        <f t="shared" si="2281"/>
        <v>0</v>
      </c>
      <c r="J769" s="70">
        <f t="shared" si="2281"/>
        <v>0</v>
      </c>
      <c r="K769" s="70">
        <f t="shared" si="2281"/>
        <v>1</v>
      </c>
      <c r="L769" s="70">
        <f t="shared" si="2281"/>
        <v>1</v>
      </c>
      <c r="M769" s="70">
        <f t="shared" si="2281"/>
        <v>0</v>
      </c>
      <c r="N769" s="70">
        <f t="shared" si="2281"/>
        <v>0</v>
      </c>
      <c r="O769" s="70">
        <f t="shared" si="2281"/>
        <v>1</v>
      </c>
      <c r="P769" s="70">
        <f t="shared" si="2281"/>
        <v>0</v>
      </c>
      <c r="Q769" s="70">
        <f t="shared" si="2281"/>
        <v>1</v>
      </c>
      <c r="R769" s="70">
        <f t="shared" si="2281"/>
        <v>1</v>
      </c>
      <c r="S769" s="70">
        <f t="shared" si="2281"/>
        <v>1</v>
      </c>
      <c r="T769" s="70">
        <f t="shared" si="2281"/>
        <v>0</v>
      </c>
      <c r="U769" s="70">
        <f t="shared" si="2281"/>
        <v>1</v>
      </c>
      <c r="V769" s="70">
        <f t="shared" si="2281"/>
        <v>0</v>
      </c>
      <c r="W769" s="70">
        <f t="shared" si="2281"/>
        <v>0</v>
      </c>
      <c r="X769" s="70">
        <f t="shared" si="2281"/>
        <v>1</v>
      </c>
      <c r="Y769" s="70">
        <f t="shared" si="2281"/>
        <v>0</v>
      </c>
      <c r="Z769" s="70">
        <f t="shared" si="2281"/>
        <v>1</v>
      </c>
      <c r="AA769" s="70">
        <f t="shared" si="2281"/>
        <v>0</v>
      </c>
      <c r="AB769" s="70">
        <f t="shared" si="2281"/>
        <v>0</v>
      </c>
      <c r="AC769" s="70">
        <f t="shared" si="2281"/>
        <v>0</v>
      </c>
      <c r="AD769" s="70">
        <f t="shared" si="2281"/>
        <v>1</v>
      </c>
      <c r="AE769" s="70">
        <f t="shared" si="2281"/>
        <v>1</v>
      </c>
      <c r="AF769" s="70">
        <f t="shared" si="2281"/>
        <v>1</v>
      </c>
      <c r="AG769" s="70">
        <f t="shared" si="2281"/>
        <v>0</v>
      </c>
      <c r="AH769" s="70">
        <f t="shared" si="2281"/>
        <v>0</v>
      </c>
      <c r="AI769" s="135"/>
    </row>
    <row r="771" spans="1:51" ht="24.95" customHeight="1" x14ac:dyDescent="0.25">
      <c r="A771" s="132"/>
      <c r="B771" s="133"/>
      <c r="C771" s="134"/>
      <c r="D771" s="132"/>
      <c r="E771" s="132"/>
      <c r="F771" s="132"/>
      <c r="G771" s="132"/>
      <c r="H771" s="132"/>
      <c r="I771" s="132"/>
      <c r="J771" s="132"/>
      <c r="K771" s="132"/>
      <c r="L771" s="132"/>
      <c r="M771" s="132"/>
      <c r="N771" s="132"/>
      <c r="O771" s="132"/>
      <c r="P771" s="132"/>
      <c r="Q771" s="132"/>
      <c r="R771" s="132"/>
      <c r="S771" s="132"/>
      <c r="T771" s="132"/>
      <c r="U771" s="132"/>
      <c r="V771" s="132"/>
      <c r="W771" s="132"/>
      <c r="X771" s="132"/>
      <c r="Y771" s="132"/>
      <c r="Z771" s="132"/>
      <c r="AA771" s="132"/>
      <c r="AB771" s="132"/>
      <c r="AC771" s="132"/>
      <c r="AD771" s="132"/>
      <c r="AE771" s="132"/>
      <c r="AF771" s="132"/>
      <c r="AG771" s="132"/>
      <c r="AH771" s="132"/>
      <c r="AI771" s="132"/>
      <c r="AJ771" s="132"/>
      <c r="AK771" s="132"/>
      <c r="AL771" s="132"/>
      <c r="AM771" s="132"/>
      <c r="AN771" s="132"/>
      <c r="AO771" s="132"/>
      <c r="AP771" s="132"/>
      <c r="AQ771" s="132"/>
      <c r="AR771" s="132"/>
      <c r="AS771" s="132"/>
      <c r="AT771" s="132"/>
      <c r="AU771" s="132"/>
      <c r="AV771" s="132"/>
      <c r="AW771" s="132"/>
      <c r="AX771" s="132"/>
      <c r="AY771" s="132"/>
    </row>
    <row r="773" spans="1:51" ht="24.95" customHeight="1" x14ac:dyDescent="0.25">
      <c r="A773" s="118" t="s">
        <v>532</v>
      </c>
      <c r="B773" s="118"/>
      <c r="C773" s="75">
        <v>32</v>
      </c>
      <c r="D773" s="74">
        <v>1</v>
      </c>
      <c r="E773" s="74">
        <v>2</v>
      </c>
      <c r="F773" s="74">
        <v>3</v>
      </c>
      <c r="G773" s="74">
        <v>4</v>
      </c>
      <c r="H773" s="73">
        <v>5</v>
      </c>
      <c r="I773" s="122"/>
      <c r="J773" s="118">
        <f>AH769</f>
        <v>0</v>
      </c>
      <c r="K773" s="118">
        <f>C769</f>
        <v>0</v>
      </c>
      <c r="L773" s="118">
        <f>D769</f>
        <v>0</v>
      </c>
      <c r="M773" s="118">
        <f>E769</f>
        <v>0</v>
      </c>
      <c r="N773" s="69">
        <f>F769</f>
        <v>1</v>
      </c>
      <c r="O773" s="119">
        <f>G769</f>
        <v>0</v>
      </c>
      <c r="P773" s="122"/>
    </row>
    <row r="774" spans="1:51" ht="24.95" customHeight="1" x14ac:dyDescent="0.25">
      <c r="C774" s="75">
        <v>4</v>
      </c>
      <c r="D774" s="74">
        <v>5</v>
      </c>
      <c r="E774" s="74">
        <v>6</v>
      </c>
      <c r="F774" s="74">
        <v>7</v>
      </c>
      <c r="G774" s="74">
        <v>8</v>
      </c>
      <c r="H774" s="73">
        <v>9</v>
      </c>
      <c r="I774" s="122"/>
      <c r="J774" s="118">
        <f t="shared" ref="J774" si="2282">F769</f>
        <v>1</v>
      </c>
      <c r="K774" s="69">
        <f t="shared" ref="K774" si="2283">G769</f>
        <v>0</v>
      </c>
      <c r="L774" s="69">
        <f t="shared" ref="L774" si="2284">H769</f>
        <v>0</v>
      </c>
      <c r="M774" s="69">
        <f t="shared" ref="M774" si="2285">I769</f>
        <v>0</v>
      </c>
      <c r="N774" s="69">
        <f t="shared" ref="N774" si="2286">J769</f>
        <v>0</v>
      </c>
      <c r="O774" s="119">
        <f t="shared" ref="O774" si="2287">K769</f>
        <v>1</v>
      </c>
      <c r="P774" s="122"/>
    </row>
    <row r="775" spans="1:51" ht="24.95" customHeight="1" x14ac:dyDescent="0.25">
      <c r="C775" s="75">
        <v>8</v>
      </c>
      <c r="D775" s="74">
        <v>9</v>
      </c>
      <c r="E775" s="74">
        <v>10</v>
      </c>
      <c r="F775" s="74">
        <v>11</v>
      </c>
      <c r="G775" s="74">
        <v>12</v>
      </c>
      <c r="H775" s="73">
        <v>13</v>
      </c>
      <c r="I775" s="123"/>
      <c r="J775" s="120">
        <f t="shared" ref="J775:O775" si="2288">J769</f>
        <v>0</v>
      </c>
      <c r="K775" s="69">
        <f t="shared" si="2288"/>
        <v>1</v>
      </c>
      <c r="L775" s="69">
        <f t="shared" si="2288"/>
        <v>1</v>
      </c>
      <c r="M775" s="69">
        <f t="shared" si="2288"/>
        <v>0</v>
      </c>
      <c r="N775" s="69">
        <f t="shared" si="2288"/>
        <v>0</v>
      </c>
      <c r="O775" s="119">
        <f t="shared" si="2288"/>
        <v>1</v>
      </c>
      <c r="P775" s="123"/>
    </row>
    <row r="776" spans="1:51" ht="24.95" customHeight="1" x14ac:dyDescent="0.25">
      <c r="C776" s="75">
        <v>12</v>
      </c>
      <c r="D776" s="74">
        <v>13</v>
      </c>
      <c r="E776" s="74">
        <v>14</v>
      </c>
      <c r="F776" s="74">
        <v>15</v>
      </c>
      <c r="G776" s="74">
        <v>16</v>
      </c>
      <c r="H776" s="73">
        <v>17</v>
      </c>
      <c r="I776" s="122"/>
      <c r="J776" s="118">
        <f t="shared" ref="J776" si="2289">N769</f>
        <v>0</v>
      </c>
      <c r="K776" s="69">
        <f t="shared" ref="K776" si="2290">O769</f>
        <v>1</v>
      </c>
      <c r="L776" s="69">
        <f t="shared" ref="L776" si="2291">P769</f>
        <v>0</v>
      </c>
      <c r="M776" s="69">
        <f t="shared" ref="M776" si="2292">Q769</f>
        <v>1</v>
      </c>
      <c r="N776" s="69">
        <f t="shared" ref="N776" si="2293">R769</f>
        <v>1</v>
      </c>
      <c r="O776" s="119">
        <f t="shared" ref="O776" si="2294">S769</f>
        <v>1</v>
      </c>
      <c r="P776" s="122"/>
    </row>
    <row r="777" spans="1:51" ht="24.95" customHeight="1" x14ac:dyDescent="0.25">
      <c r="C777" s="75">
        <v>16</v>
      </c>
      <c r="D777" s="74">
        <v>17</v>
      </c>
      <c r="E777" s="74">
        <v>18</v>
      </c>
      <c r="F777" s="74">
        <v>19</v>
      </c>
      <c r="G777" s="74">
        <v>20</v>
      </c>
      <c r="H777" s="73">
        <v>21</v>
      </c>
      <c r="I777" s="122"/>
      <c r="J777" s="118">
        <f t="shared" ref="J777" si="2295">R769</f>
        <v>1</v>
      </c>
      <c r="K777" s="69">
        <f t="shared" ref="K777" si="2296">S769</f>
        <v>1</v>
      </c>
      <c r="L777" s="69">
        <f t="shared" ref="L777" si="2297">T769</f>
        <v>0</v>
      </c>
      <c r="M777" s="69">
        <f t="shared" ref="M777" si="2298">U769</f>
        <v>1</v>
      </c>
      <c r="N777" s="69">
        <f t="shared" ref="N777" si="2299">V769</f>
        <v>0</v>
      </c>
      <c r="O777" s="119">
        <f t="shared" ref="O777" si="2300">W769</f>
        <v>0</v>
      </c>
      <c r="P777" s="122"/>
    </row>
    <row r="778" spans="1:51" ht="24.95" customHeight="1" x14ac:dyDescent="0.25">
      <c r="C778" s="75">
        <v>20</v>
      </c>
      <c r="D778" s="74">
        <v>21</v>
      </c>
      <c r="E778" s="74">
        <v>22</v>
      </c>
      <c r="F778" s="74">
        <v>23</v>
      </c>
      <c r="G778" s="74">
        <v>24</v>
      </c>
      <c r="H778" s="73">
        <v>25</v>
      </c>
      <c r="I778" s="122"/>
      <c r="J778" s="118">
        <f t="shared" ref="J778" si="2301">V769</f>
        <v>0</v>
      </c>
      <c r="K778" s="69">
        <f t="shared" ref="K778" si="2302">W769</f>
        <v>0</v>
      </c>
      <c r="L778" s="69">
        <f t="shared" ref="L778" si="2303">X769</f>
        <v>1</v>
      </c>
      <c r="M778" s="69">
        <f t="shared" ref="M778" si="2304">Y769</f>
        <v>0</v>
      </c>
      <c r="N778" s="69">
        <f t="shared" ref="N778" si="2305">Z769</f>
        <v>1</v>
      </c>
      <c r="O778" s="119">
        <f t="shared" ref="O778" si="2306">AA769</f>
        <v>0</v>
      </c>
      <c r="P778" s="122"/>
    </row>
    <row r="779" spans="1:51" ht="24.95" customHeight="1" x14ac:dyDescent="0.25">
      <c r="C779" s="75">
        <v>24</v>
      </c>
      <c r="D779" s="74">
        <v>25</v>
      </c>
      <c r="E779" s="74">
        <v>26</v>
      </c>
      <c r="F779" s="74">
        <v>27</v>
      </c>
      <c r="G779" s="74">
        <v>28</v>
      </c>
      <c r="H779" s="73">
        <v>29</v>
      </c>
      <c r="I779" s="122"/>
      <c r="J779" s="118">
        <f t="shared" ref="J779" si="2307">Z769</f>
        <v>1</v>
      </c>
      <c r="K779" s="69">
        <f t="shared" ref="K779" si="2308">AA769</f>
        <v>0</v>
      </c>
      <c r="L779" s="69">
        <f t="shared" ref="L779" si="2309">AB769</f>
        <v>0</v>
      </c>
      <c r="M779" s="69">
        <f t="shared" ref="M779" si="2310">AC769</f>
        <v>0</v>
      </c>
      <c r="N779" s="69">
        <f t="shared" ref="N779" si="2311">AD769</f>
        <v>1</v>
      </c>
      <c r="O779" s="119">
        <f t="shared" ref="O779" si="2312">AE769</f>
        <v>1</v>
      </c>
      <c r="P779" s="122"/>
    </row>
    <row r="780" spans="1:51" ht="24.95" customHeight="1" x14ac:dyDescent="0.25">
      <c r="C780" s="75">
        <v>28</v>
      </c>
      <c r="D780" s="74">
        <v>29</v>
      </c>
      <c r="E780" s="74">
        <v>30</v>
      </c>
      <c r="F780" s="74">
        <v>31</v>
      </c>
      <c r="G780" s="74">
        <v>32</v>
      </c>
      <c r="H780" s="73">
        <v>1</v>
      </c>
      <c r="I780" s="122"/>
      <c r="J780" s="70">
        <f>AD769</f>
        <v>1</v>
      </c>
      <c r="K780" s="71">
        <f>AE769</f>
        <v>1</v>
      </c>
      <c r="L780" s="71">
        <f>AF769</f>
        <v>1</v>
      </c>
      <c r="M780" s="71">
        <f>AG769</f>
        <v>0</v>
      </c>
      <c r="N780" s="71">
        <f>AH769</f>
        <v>0</v>
      </c>
      <c r="O780" s="121">
        <f>C769</f>
        <v>0</v>
      </c>
      <c r="P780" s="122"/>
    </row>
    <row r="783" spans="1:51" ht="24.95" customHeight="1" x14ac:dyDescent="0.25">
      <c r="A783" s="124" t="s">
        <v>533</v>
      </c>
      <c r="B783" s="124"/>
      <c r="C783" s="125">
        <v>1</v>
      </c>
      <c r="D783" s="126">
        <v>2</v>
      </c>
      <c r="E783" s="125">
        <v>3</v>
      </c>
      <c r="F783" s="126">
        <v>4</v>
      </c>
      <c r="G783" s="125">
        <v>5</v>
      </c>
      <c r="H783" s="126">
        <v>6</v>
      </c>
      <c r="I783" s="125">
        <v>7</v>
      </c>
      <c r="J783" s="126">
        <v>8</v>
      </c>
      <c r="K783" s="125">
        <v>9</v>
      </c>
      <c r="L783" s="126">
        <v>10</v>
      </c>
      <c r="M783" s="125">
        <v>11</v>
      </c>
      <c r="N783" s="126">
        <v>12</v>
      </c>
      <c r="O783" s="125">
        <v>13</v>
      </c>
      <c r="P783" s="126">
        <v>14</v>
      </c>
      <c r="Q783" s="125">
        <v>15</v>
      </c>
      <c r="R783" s="126">
        <v>16</v>
      </c>
      <c r="S783" s="125">
        <v>17</v>
      </c>
      <c r="T783" s="126">
        <v>18</v>
      </c>
      <c r="U783" s="125">
        <v>19</v>
      </c>
      <c r="V783" s="126">
        <v>20</v>
      </c>
      <c r="W783" s="125">
        <v>21</v>
      </c>
      <c r="X783" s="126">
        <v>22</v>
      </c>
      <c r="Y783" s="125">
        <v>23</v>
      </c>
      <c r="Z783" s="126">
        <v>24</v>
      </c>
      <c r="AA783" s="125">
        <v>25</v>
      </c>
      <c r="AB783" s="126">
        <v>26</v>
      </c>
      <c r="AC783" s="125">
        <v>27</v>
      </c>
      <c r="AD783" s="126">
        <v>28</v>
      </c>
      <c r="AE783" s="125">
        <v>29</v>
      </c>
      <c r="AF783" s="126">
        <v>30</v>
      </c>
      <c r="AG783" s="125">
        <v>31</v>
      </c>
      <c r="AH783" s="126">
        <v>32</v>
      </c>
      <c r="AI783" s="125">
        <v>33</v>
      </c>
      <c r="AJ783" s="126">
        <v>34</v>
      </c>
      <c r="AK783" s="125">
        <v>35</v>
      </c>
      <c r="AL783" s="126">
        <v>36</v>
      </c>
      <c r="AM783" s="125">
        <v>37</v>
      </c>
      <c r="AN783" s="126">
        <v>38</v>
      </c>
      <c r="AO783" s="125">
        <v>39</v>
      </c>
      <c r="AP783" s="126">
        <v>40</v>
      </c>
      <c r="AQ783" s="125">
        <v>41</v>
      </c>
      <c r="AR783" s="126">
        <v>42</v>
      </c>
      <c r="AS783" s="125">
        <v>43</v>
      </c>
      <c r="AT783" s="126">
        <v>44</v>
      </c>
      <c r="AU783" s="125">
        <v>45</v>
      </c>
      <c r="AV783" s="126">
        <v>46</v>
      </c>
      <c r="AW783" s="125">
        <v>47</v>
      </c>
      <c r="AX783" s="126">
        <v>48</v>
      </c>
    </row>
    <row r="784" spans="1:51" ht="24.95" customHeight="1" x14ac:dyDescent="0.25">
      <c r="C784" s="125">
        <f t="shared" ref="C784" si="2313">J773</f>
        <v>0</v>
      </c>
      <c r="D784" s="125">
        <f t="shared" ref="D784" si="2314">K773</f>
        <v>0</v>
      </c>
      <c r="E784" s="125">
        <f t="shared" ref="E784" si="2315">L773</f>
        <v>0</v>
      </c>
      <c r="F784" s="125">
        <f t="shared" ref="F784" si="2316">M773</f>
        <v>0</v>
      </c>
      <c r="G784" s="126">
        <f t="shared" ref="G784" si="2317">N773</f>
        <v>1</v>
      </c>
      <c r="H784" s="126">
        <f t="shared" ref="H784" si="2318">O773</f>
        <v>0</v>
      </c>
      <c r="I784" s="125">
        <f t="shared" ref="I784" si="2319">J774</f>
        <v>1</v>
      </c>
      <c r="J784" s="125">
        <f t="shared" ref="J784" si="2320">K774</f>
        <v>0</v>
      </c>
      <c r="K784" s="125">
        <f t="shared" ref="K784" si="2321">L774</f>
        <v>0</v>
      </c>
      <c r="L784" s="125">
        <f t="shared" ref="L784" si="2322">M774</f>
        <v>0</v>
      </c>
      <c r="M784" s="125">
        <f t="shared" ref="M784" si="2323">N774</f>
        <v>0</v>
      </c>
      <c r="N784" s="125">
        <f t="shared" ref="N784" si="2324">O774</f>
        <v>1</v>
      </c>
      <c r="O784" s="126">
        <f t="shared" ref="O784" si="2325">J775</f>
        <v>0</v>
      </c>
      <c r="P784" s="126">
        <f t="shared" ref="P784" si="2326">K775</f>
        <v>1</v>
      </c>
      <c r="Q784" s="126">
        <f t="shared" ref="Q784" si="2327">L775</f>
        <v>1</v>
      </c>
      <c r="R784" s="126">
        <f t="shared" ref="R784" si="2328">M775</f>
        <v>0</v>
      </c>
      <c r="S784" s="126">
        <f t="shared" ref="S784" si="2329">N775</f>
        <v>0</v>
      </c>
      <c r="T784" s="126">
        <f t="shared" ref="T784" si="2330">O775</f>
        <v>1</v>
      </c>
      <c r="U784" s="125">
        <f t="shared" ref="U784" si="2331">J776</f>
        <v>0</v>
      </c>
      <c r="V784" s="126">
        <f t="shared" ref="V784" si="2332">K776</f>
        <v>1</v>
      </c>
      <c r="W784" s="125">
        <f t="shared" ref="W784" si="2333">L776</f>
        <v>0</v>
      </c>
      <c r="X784" s="126">
        <f t="shared" ref="X784" si="2334">M776</f>
        <v>1</v>
      </c>
      <c r="Y784" s="125">
        <f t="shared" ref="Y784" si="2335">N776</f>
        <v>1</v>
      </c>
      <c r="Z784" s="126">
        <f t="shared" ref="Z784" si="2336">O776</f>
        <v>1</v>
      </c>
      <c r="AA784" s="125">
        <f t="shared" ref="AA784" si="2337">J777</f>
        <v>1</v>
      </c>
      <c r="AB784" s="126">
        <f t="shared" ref="AB784" si="2338">K777</f>
        <v>1</v>
      </c>
      <c r="AC784" s="125">
        <f t="shared" ref="AC784" si="2339">L777</f>
        <v>0</v>
      </c>
      <c r="AD784" s="126">
        <f t="shared" ref="AD784" si="2340">M777</f>
        <v>1</v>
      </c>
      <c r="AE784" s="125">
        <f t="shared" ref="AE784" si="2341">N777</f>
        <v>0</v>
      </c>
      <c r="AF784" s="126">
        <f t="shared" ref="AF784" si="2342">O777</f>
        <v>0</v>
      </c>
      <c r="AG784" s="125">
        <f t="shared" ref="AG784" si="2343">J778</f>
        <v>0</v>
      </c>
      <c r="AH784" s="126">
        <f t="shared" ref="AH784" si="2344">K778</f>
        <v>0</v>
      </c>
      <c r="AI784" s="125">
        <f t="shared" ref="AI784" si="2345">L778</f>
        <v>1</v>
      </c>
      <c r="AJ784" s="126">
        <f t="shared" ref="AJ784" si="2346">M778</f>
        <v>0</v>
      </c>
      <c r="AK784" s="125">
        <f t="shared" ref="AK784" si="2347">N778</f>
        <v>1</v>
      </c>
      <c r="AL784" s="126">
        <f t="shared" ref="AL784" si="2348">O778</f>
        <v>0</v>
      </c>
      <c r="AM784" s="125">
        <f t="shared" ref="AM784" si="2349">J779</f>
        <v>1</v>
      </c>
      <c r="AN784" s="126">
        <f t="shared" ref="AN784" si="2350">K779</f>
        <v>0</v>
      </c>
      <c r="AO784" s="125">
        <f t="shared" ref="AO784" si="2351">L779</f>
        <v>0</v>
      </c>
      <c r="AP784" s="126">
        <f t="shared" ref="AP784" si="2352">M779</f>
        <v>0</v>
      </c>
      <c r="AQ784" s="125">
        <f t="shared" ref="AQ784" si="2353">N779</f>
        <v>1</v>
      </c>
      <c r="AR784" s="126">
        <f t="shared" ref="AR784" si="2354">O779</f>
        <v>1</v>
      </c>
      <c r="AS784" s="125">
        <f t="shared" ref="AS784" si="2355">J780</f>
        <v>1</v>
      </c>
      <c r="AT784" s="126">
        <f t="shared" ref="AT784" si="2356">K780</f>
        <v>1</v>
      </c>
      <c r="AU784" s="125">
        <f t="shared" ref="AU784" si="2357">L780</f>
        <v>1</v>
      </c>
      <c r="AV784" s="126">
        <f t="shared" ref="AV784" si="2358">M780</f>
        <v>0</v>
      </c>
      <c r="AW784" s="125">
        <f t="shared" ref="AW784" si="2359">N780</f>
        <v>0</v>
      </c>
      <c r="AX784" s="126">
        <f t="shared" ref="AX784" si="2360">O780</f>
        <v>0</v>
      </c>
    </row>
    <row r="787" spans="1:55" ht="24.95" customHeight="1" x14ac:dyDescent="0.25">
      <c r="A787" s="127" t="s">
        <v>625</v>
      </c>
      <c r="B787" s="127"/>
      <c r="C787" s="77">
        <f>'Key Generator'!D584</f>
        <v>1</v>
      </c>
      <c r="D787" s="77">
        <f>'Key Generator'!E584</f>
        <v>2</v>
      </c>
      <c r="E787" s="77">
        <f>'Key Generator'!F584</f>
        <v>3</v>
      </c>
      <c r="F787" s="77">
        <f>'Key Generator'!G584</f>
        <v>4</v>
      </c>
      <c r="G787" s="77">
        <f>'Key Generator'!H584</f>
        <v>5</v>
      </c>
      <c r="H787" s="77">
        <f>'Key Generator'!I584</f>
        <v>6</v>
      </c>
      <c r="I787" s="77">
        <f>'Key Generator'!J584</f>
        <v>7</v>
      </c>
      <c r="J787" s="77">
        <f>'Key Generator'!K584</f>
        <v>8</v>
      </c>
      <c r="K787" s="77">
        <f>'Key Generator'!L584</f>
        <v>9</v>
      </c>
      <c r="L787" s="77">
        <f>'Key Generator'!M584</f>
        <v>10</v>
      </c>
      <c r="M787" s="77">
        <f>'Key Generator'!N584</f>
        <v>11</v>
      </c>
      <c r="N787" s="77">
        <f>'Key Generator'!O584</f>
        <v>12</v>
      </c>
      <c r="O787" s="77">
        <f>'Key Generator'!P584</f>
        <v>13</v>
      </c>
      <c r="P787" s="77">
        <f>'Key Generator'!Q584</f>
        <v>14</v>
      </c>
      <c r="Q787" s="77">
        <f>'Key Generator'!R584</f>
        <v>15</v>
      </c>
      <c r="R787" s="77">
        <f>'Key Generator'!S584</f>
        <v>16</v>
      </c>
      <c r="S787" s="77">
        <f>'Key Generator'!T584</f>
        <v>17</v>
      </c>
      <c r="T787" s="77">
        <f>'Key Generator'!U584</f>
        <v>18</v>
      </c>
      <c r="U787" s="77">
        <f>'Key Generator'!V584</f>
        <v>19</v>
      </c>
      <c r="V787" s="77">
        <f>'Key Generator'!W584</f>
        <v>20</v>
      </c>
      <c r="W787" s="77">
        <f>'Key Generator'!X584</f>
        <v>21</v>
      </c>
      <c r="X787" s="77">
        <f>'Key Generator'!Y584</f>
        <v>22</v>
      </c>
      <c r="Y787" s="77">
        <f>'Key Generator'!Z584</f>
        <v>23</v>
      </c>
      <c r="Z787" s="77">
        <f>'Key Generator'!AA584</f>
        <v>24</v>
      </c>
      <c r="AA787" s="77">
        <f>'Key Generator'!AB584</f>
        <v>25</v>
      </c>
      <c r="AB787" s="77">
        <f>'Key Generator'!AC584</f>
        <v>26</v>
      </c>
      <c r="AC787" s="77">
        <f>'Key Generator'!AD584</f>
        <v>27</v>
      </c>
      <c r="AD787" s="77">
        <f>'Key Generator'!AE584</f>
        <v>28</v>
      </c>
      <c r="AE787" s="77">
        <f>'Key Generator'!AF584</f>
        <v>29</v>
      </c>
      <c r="AF787" s="77">
        <f>'Key Generator'!AG584</f>
        <v>30</v>
      </c>
      <c r="AG787" s="77">
        <f>'Key Generator'!AH584</f>
        <v>31</v>
      </c>
      <c r="AH787" s="77">
        <f>'Key Generator'!AI584</f>
        <v>32</v>
      </c>
      <c r="AI787" s="77">
        <f>'Key Generator'!AJ584</f>
        <v>33</v>
      </c>
      <c r="AJ787" s="77">
        <f>'Key Generator'!AK584</f>
        <v>34</v>
      </c>
      <c r="AK787" s="77">
        <f>'Key Generator'!AL584</f>
        <v>35</v>
      </c>
      <c r="AL787" s="77">
        <f>'Key Generator'!AM584</f>
        <v>36</v>
      </c>
      <c r="AM787" s="77">
        <f>'Key Generator'!AN584</f>
        <v>37</v>
      </c>
      <c r="AN787" s="77">
        <f>'Key Generator'!AO584</f>
        <v>38</v>
      </c>
      <c r="AO787" s="77">
        <f>'Key Generator'!AP584</f>
        <v>39</v>
      </c>
      <c r="AP787" s="77">
        <f>'Key Generator'!AQ584</f>
        <v>40</v>
      </c>
      <c r="AQ787" s="77">
        <f>'Key Generator'!AR584</f>
        <v>41</v>
      </c>
      <c r="AR787" s="77">
        <f>'Key Generator'!AS584</f>
        <v>42</v>
      </c>
      <c r="AS787" s="77">
        <f>'Key Generator'!AT584</f>
        <v>43</v>
      </c>
      <c r="AT787" s="77">
        <f>'Key Generator'!AU584</f>
        <v>44</v>
      </c>
      <c r="AU787" s="77">
        <f>'Key Generator'!AV584</f>
        <v>45</v>
      </c>
      <c r="AV787" s="77">
        <f>'Key Generator'!AW584</f>
        <v>46</v>
      </c>
      <c r="AW787" s="77">
        <f>'Key Generator'!AX584</f>
        <v>47</v>
      </c>
      <c r="AX787" s="77">
        <f>'Key Generator'!AY584</f>
        <v>48</v>
      </c>
    </row>
    <row r="788" spans="1:55" ht="24.95" customHeight="1" x14ac:dyDescent="0.25">
      <c r="C788" s="77">
        <f>'Key Generator'!D585</f>
        <v>0</v>
      </c>
      <c r="D788" s="77">
        <f>'Key Generator'!E585</f>
        <v>1</v>
      </c>
      <c r="E788" s="77">
        <f>'Key Generator'!F585</f>
        <v>0</v>
      </c>
      <c r="F788" s="77">
        <f>'Key Generator'!G585</f>
        <v>1</v>
      </c>
      <c r="G788" s="77">
        <f>'Key Generator'!H585</f>
        <v>0</v>
      </c>
      <c r="H788" s="77">
        <f>'Key Generator'!I585</f>
        <v>0</v>
      </c>
      <c r="I788" s="77">
        <f>'Key Generator'!J585</f>
        <v>0</v>
      </c>
      <c r="J788" s="77">
        <f>'Key Generator'!K585</f>
        <v>1</v>
      </c>
      <c r="K788" s="77">
        <f>'Key Generator'!L585</f>
        <v>0</v>
      </c>
      <c r="L788" s="77">
        <f>'Key Generator'!M585</f>
        <v>0</v>
      </c>
      <c r="M788" s="77">
        <f>'Key Generator'!N585</f>
        <v>1</v>
      </c>
      <c r="N788" s="77">
        <f>'Key Generator'!O585</f>
        <v>0</v>
      </c>
      <c r="O788" s="77">
        <f>'Key Generator'!P585</f>
        <v>1</v>
      </c>
      <c r="P788" s="77">
        <f>'Key Generator'!Q585</f>
        <v>1</v>
      </c>
      <c r="Q788" s="77">
        <f>'Key Generator'!R585</f>
        <v>0</v>
      </c>
      <c r="R788" s="77">
        <f>'Key Generator'!S585</f>
        <v>0</v>
      </c>
      <c r="S788" s="77">
        <f>'Key Generator'!T585</f>
        <v>0</v>
      </c>
      <c r="T788" s="77">
        <f>'Key Generator'!U585</f>
        <v>1</v>
      </c>
      <c r="U788" s="77">
        <f>'Key Generator'!V585</f>
        <v>1</v>
      </c>
      <c r="V788" s="77">
        <f>'Key Generator'!W585</f>
        <v>0</v>
      </c>
      <c r="W788" s="77">
        <f>'Key Generator'!X585</f>
        <v>0</v>
      </c>
      <c r="X788" s="77">
        <f>'Key Generator'!Y585</f>
        <v>0</v>
      </c>
      <c r="Y788" s="77">
        <f>'Key Generator'!Z585</f>
        <v>0</v>
      </c>
      <c r="Z788" s="77">
        <f>'Key Generator'!AA585</f>
        <v>0</v>
      </c>
      <c r="AA788" s="77">
        <f>'Key Generator'!AB585</f>
        <v>1</v>
      </c>
      <c r="AB788" s="77">
        <f>'Key Generator'!AC585</f>
        <v>0</v>
      </c>
      <c r="AC788" s="77">
        <f>'Key Generator'!AD585</f>
        <v>1</v>
      </c>
      <c r="AD788" s="77">
        <f>'Key Generator'!AE585</f>
        <v>0</v>
      </c>
      <c r="AE788" s="77">
        <f>'Key Generator'!AF585</f>
        <v>0</v>
      </c>
      <c r="AF788" s="77">
        <f>'Key Generator'!AG585</f>
        <v>0</v>
      </c>
      <c r="AG788" s="77">
        <f>'Key Generator'!AH585</f>
        <v>0</v>
      </c>
      <c r="AH788" s="77">
        <f>'Key Generator'!AI585</f>
        <v>1</v>
      </c>
      <c r="AI788" s="77">
        <f>'Key Generator'!AJ585</f>
        <v>0</v>
      </c>
      <c r="AJ788" s="77">
        <f>'Key Generator'!AK585</f>
        <v>0</v>
      </c>
      <c r="AK788" s="77">
        <f>'Key Generator'!AL585</f>
        <v>0</v>
      </c>
      <c r="AL788" s="77">
        <f>'Key Generator'!AM585</f>
        <v>1</v>
      </c>
      <c r="AM788" s="77">
        <f>'Key Generator'!AN585</f>
        <v>1</v>
      </c>
      <c r="AN788" s="77">
        <f>'Key Generator'!AO585</f>
        <v>1</v>
      </c>
      <c r="AO788" s="77">
        <f>'Key Generator'!AP585</f>
        <v>0</v>
      </c>
      <c r="AP788" s="77">
        <f>'Key Generator'!AQ585</f>
        <v>1</v>
      </c>
      <c r="AQ788" s="77">
        <f>'Key Generator'!AR585</f>
        <v>1</v>
      </c>
      <c r="AR788" s="77">
        <f>'Key Generator'!AS585</f>
        <v>0</v>
      </c>
      <c r="AS788" s="77">
        <f>'Key Generator'!AT585</f>
        <v>1</v>
      </c>
      <c r="AT788" s="77">
        <f>'Key Generator'!AU585</f>
        <v>1</v>
      </c>
      <c r="AU788" s="77">
        <f>'Key Generator'!AV585</f>
        <v>1</v>
      </c>
      <c r="AV788" s="77">
        <f>'Key Generator'!AW585</f>
        <v>0</v>
      </c>
      <c r="AW788" s="77">
        <f>'Key Generator'!AX585</f>
        <v>1</v>
      </c>
      <c r="AX788" s="77">
        <f>'Key Generator'!AY585</f>
        <v>1</v>
      </c>
    </row>
    <row r="791" spans="1:55" ht="24.95" customHeight="1" x14ac:dyDescent="0.25">
      <c r="A791" s="128" t="s">
        <v>535</v>
      </c>
      <c r="B791" s="129"/>
      <c r="C791" s="79">
        <v>1</v>
      </c>
      <c r="D791" s="80">
        <v>2</v>
      </c>
      <c r="E791" s="79">
        <v>3</v>
      </c>
      <c r="F791" s="80">
        <v>4</v>
      </c>
      <c r="G791" s="79">
        <v>5</v>
      </c>
      <c r="H791" s="80">
        <v>6</v>
      </c>
      <c r="I791" s="79">
        <v>7</v>
      </c>
      <c r="J791" s="80">
        <v>8</v>
      </c>
      <c r="K791" s="79">
        <v>9</v>
      </c>
      <c r="L791" s="80">
        <v>10</v>
      </c>
      <c r="M791" s="79">
        <v>11</v>
      </c>
      <c r="N791" s="80">
        <v>12</v>
      </c>
      <c r="O791" s="79">
        <v>13</v>
      </c>
      <c r="P791" s="80">
        <v>14</v>
      </c>
      <c r="Q791" s="79">
        <v>15</v>
      </c>
      <c r="R791" s="80">
        <v>16</v>
      </c>
      <c r="S791" s="79">
        <v>17</v>
      </c>
      <c r="T791" s="80">
        <v>18</v>
      </c>
      <c r="U791" s="79">
        <v>19</v>
      </c>
      <c r="V791" s="80">
        <v>20</v>
      </c>
      <c r="W791" s="79">
        <v>21</v>
      </c>
      <c r="X791" s="80">
        <v>22</v>
      </c>
      <c r="Y791" s="79">
        <v>23</v>
      </c>
      <c r="Z791" s="80">
        <v>24</v>
      </c>
      <c r="AA791" s="79">
        <v>25</v>
      </c>
      <c r="AB791" s="80">
        <v>26</v>
      </c>
      <c r="AC791" s="79">
        <v>27</v>
      </c>
      <c r="AD791" s="80">
        <v>28</v>
      </c>
      <c r="AE791" s="79">
        <v>29</v>
      </c>
      <c r="AF791" s="80">
        <v>30</v>
      </c>
      <c r="AG791" s="79">
        <v>31</v>
      </c>
      <c r="AH791" s="80">
        <v>32</v>
      </c>
      <c r="AI791" s="79">
        <v>33</v>
      </c>
      <c r="AJ791" s="80">
        <v>34</v>
      </c>
      <c r="AK791" s="79">
        <v>35</v>
      </c>
      <c r="AL791" s="80">
        <v>36</v>
      </c>
      <c r="AM791" s="79">
        <v>37</v>
      </c>
      <c r="AN791" s="80">
        <v>38</v>
      </c>
      <c r="AO791" s="79">
        <v>39</v>
      </c>
      <c r="AP791" s="80">
        <v>40</v>
      </c>
      <c r="AQ791" s="79">
        <v>41</v>
      </c>
      <c r="AR791" s="80">
        <v>42</v>
      </c>
      <c r="AS791" s="79">
        <v>43</v>
      </c>
      <c r="AT791" s="80">
        <v>44</v>
      </c>
      <c r="AU791" s="79">
        <v>45</v>
      </c>
      <c r="AV791" s="80">
        <v>46</v>
      </c>
      <c r="AW791" s="79">
        <v>47</v>
      </c>
      <c r="AX791" s="80">
        <v>48</v>
      </c>
    </row>
    <row r="792" spans="1:55" ht="24.95" customHeight="1" x14ac:dyDescent="0.25">
      <c r="C792" s="88">
        <f>--_xlfn.XOR(C784,'Key Generator'!D585)</f>
        <v>0</v>
      </c>
      <c r="D792" s="88">
        <f>--_xlfn.XOR(D784,'Key Generator'!E585)</f>
        <v>1</v>
      </c>
      <c r="E792" s="88">
        <f>--_xlfn.XOR(E784,'Key Generator'!F585)</f>
        <v>0</v>
      </c>
      <c r="F792" s="88">
        <f>--_xlfn.XOR(F784,'Key Generator'!G585)</f>
        <v>1</v>
      </c>
      <c r="G792" s="88">
        <f>--_xlfn.XOR(G784,'Key Generator'!H585)</f>
        <v>1</v>
      </c>
      <c r="H792" s="88">
        <f>--_xlfn.XOR(H784,'Key Generator'!I585)</f>
        <v>0</v>
      </c>
      <c r="I792" s="87">
        <f>--_xlfn.XOR(I784,'Key Generator'!J585)</f>
        <v>1</v>
      </c>
      <c r="J792" s="87">
        <f>--_xlfn.XOR(J784,'Key Generator'!K585)</f>
        <v>1</v>
      </c>
      <c r="K792" s="87">
        <f>--_xlfn.XOR(K784,'Key Generator'!L585)</f>
        <v>0</v>
      </c>
      <c r="L792" s="87">
        <f>--_xlfn.XOR(L784,'Key Generator'!M585)</f>
        <v>0</v>
      </c>
      <c r="M792" s="87">
        <f>--_xlfn.XOR(M784,'Key Generator'!N585)</f>
        <v>1</v>
      </c>
      <c r="N792" s="87">
        <f>--_xlfn.XOR(N784,'Key Generator'!O585)</f>
        <v>1</v>
      </c>
      <c r="O792" s="89">
        <f>--_xlfn.XOR(O784,'Key Generator'!P585)</f>
        <v>1</v>
      </c>
      <c r="P792" s="89">
        <f>--_xlfn.XOR(P784,'Key Generator'!Q585)</f>
        <v>0</v>
      </c>
      <c r="Q792" s="89">
        <f>--_xlfn.XOR(Q784,'Key Generator'!R585)</f>
        <v>1</v>
      </c>
      <c r="R792" s="89">
        <f>--_xlfn.XOR(R784,'Key Generator'!S585)</f>
        <v>0</v>
      </c>
      <c r="S792" s="89">
        <f>--_xlfn.XOR(S784,'Key Generator'!T585)</f>
        <v>0</v>
      </c>
      <c r="T792" s="89">
        <f>--_xlfn.XOR(T784,'Key Generator'!U585)</f>
        <v>0</v>
      </c>
      <c r="U792" s="90">
        <f>--_xlfn.XOR(U784,'Key Generator'!V585)</f>
        <v>1</v>
      </c>
      <c r="V792" s="90">
        <f>--_xlfn.XOR(V784,'Key Generator'!W585)</f>
        <v>1</v>
      </c>
      <c r="W792" s="90">
        <f>--_xlfn.XOR(W784,'Key Generator'!X585)</f>
        <v>0</v>
      </c>
      <c r="X792" s="90">
        <f>--_xlfn.XOR(X784,'Key Generator'!Y585)</f>
        <v>1</v>
      </c>
      <c r="Y792" s="90">
        <f>--_xlfn.XOR(Y784,'Key Generator'!Z585)</f>
        <v>1</v>
      </c>
      <c r="Z792" s="90">
        <f>--_xlfn.XOR(Z784,'Key Generator'!AA585)</f>
        <v>1</v>
      </c>
      <c r="AA792" s="91">
        <f>--_xlfn.XOR(AA784,'Key Generator'!AB585)</f>
        <v>0</v>
      </c>
      <c r="AB792" s="91">
        <f>--_xlfn.XOR(AB784,'Key Generator'!AC585)</f>
        <v>1</v>
      </c>
      <c r="AC792" s="91">
        <f>--_xlfn.XOR(AC784,'Key Generator'!AD585)</f>
        <v>1</v>
      </c>
      <c r="AD792" s="91">
        <f>--_xlfn.XOR(AD784,'Key Generator'!AE585)</f>
        <v>1</v>
      </c>
      <c r="AE792" s="91">
        <f>--_xlfn.XOR(AE784,'Key Generator'!AF585)</f>
        <v>0</v>
      </c>
      <c r="AF792" s="91">
        <f>--_xlfn.XOR(AF784,'Key Generator'!AG585)</f>
        <v>0</v>
      </c>
      <c r="AG792" s="92">
        <f>--_xlfn.XOR(AG784,'Key Generator'!AH585)</f>
        <v>0</v>
      </c>
      <c r="AH792" s="92">
        <f>--_xlfn.XOR(AH784,'Key Generator'!AI585)</f>
        <v>1</v>
      </c>
      <c r="AI792" s="92">
        <f>--_xlfn.XOR(AI784,'Key Generator'!AJ585)</f>
        <v>1</v>
      </c>
      <c r="AJ792" s="92">
        <f>--_xlfn.XOR(AJ784,'Key Generator'!AK585)</f>
        <v>0</v>
      </c>
      <c r="AK792" s="92">
        <f>--_xlfn.XOR(AK784,'Key Generator'!AL585)</f>
        <v>1</v>
      </c>
      <c r="AL792" s="92">
        <f>--_xlfn.XOR(AL784,'Key Generator'!AM585)</f>
        <v>1</v>
      </c>
      <c r="AM792" s="86">
        <f>--_xlfn.XOR(AM784,'Key Generator'!AN585)</f>
        <v>0</v>
      </c>
      <c r="AN792" s="86">
        <f>--_xlfn.XOR(AN784,'Key Generator'!AO585)</f>
        <v>1</v>
      </c>
      <c r="AO792" s="86">
        <f>--_xlfn.XOR(AO784,'Key Generator'!AP585)</f>
        <v>0</v>
      </c>
      <c r="AP792" s="86">
        <f>--_xlfn.XOR(AP784,'Key Generator'!AQ585)</f>
        <v>1</v>
      </c>
      <c r="AQ792" s="86">
        <f>--_xlfn.XOR(AQ784,'Key Generator'!AR585)</f>
        <v>0</v>
      </c>
      <c r="AR792" s="86">
        <f>--_xlfn.XOR(AR784,'Key Generator'!AS585)</f>
        <v>1</v>
      </c>
      <c r="AS792" s="81">
        <f>--_xlfn.XOR(AS784,'Key Generator'!AT585)</f>
        <v>0</v>
      </c>
      <c r="AT792" s="81">
        <f>--_xlfn.XOR(AT784,'Key Generator'!AU585)</f>
        <v>0</v>
      </c>
      <c r="AU792" s="81">
        <f>--_xlfn.XOR(AU784,'Key Generator'!AV585)</f>
        <v>0</v>
      </c>
      <c r="AV792" s="81">
        <f>--_xlfn.XOR(AV784,'Key Generator'!AW585)</f>
        <v>0</v>
      </c>
      <c r="AW792" s="81">
        <f>--_xlfn.XOR(AW784,'Key Generator'!AX585)</f>
        <v>1</v>
      </c>
      <c r="AX792" s="81">
        <f>--_xlfn.XOR(AX784,'Key Generator'!AY585)</f>
        <v>1</v>
      </c>
      <c r="AZ792" s="20"/>
      <c r="BA792" s="20"/>
      <c r="BB792" s="20"/>
      <c r="BC792" s="20"/>
    </row>
    <row r="793" spans="1:55" ht="24.95" customHeight="1" x14ac:dyDescent="0.25">
      <c r="C793" s="93"/>
      <c r="D793" s="94"/>
      <c r="E793" s="94"/>
      <c r="F793" s="94"/>
      <c r="G793" s="94"/>
      <c r="H793" s="94"/>
      <c r="AZ793" s="20"/>
      <c r="BA793" s="20"/>
      <c r="BB793" s="20"/>
      <c r="BC793" s="20"/>
    </row>
    <row r="794" spans="1:55" ht="24.95" customHeight="1" x14ac:dyDescent="0.25">
      <c r="A794" s="96" t="s">
        <v>545</v>
      </c>
      <c r="B794" s="97"/>
      <c r="C794" s="101">
        <f>D792*8+E792*4+F792*2+G792</f>
        <v>11</v>
      </c>
      <c r="D794" s="123" t="s">
        <v>536</v>
      </c>
      <c r="E794" s="97"/>
      <c r="F794" s="97"/>
      <c r="G794" s="97"/>
      <c r="H794" s="97"/>
      <c r="I794" s="101">
        <f>J792*8+K792*4+L792*2+M792</f>
        <v>9</v>
      </c>
      <c r="J794" s="122" t="s">
        <v>537</v>
      </c>
      <c r="K794" s="97"/>
      <c r="L794" s="97"/>
      <c r="M794" s="97"/>
      <c r="N794" s="97"/>
      <c r="O794" s="101">
        <f>P792*8+Q792*4+R792*2+S792</f>
        <v>4</v>
      </c>
      <c r="P794" s="122" t="s">
        <v>538</v>
      </c>
      <c r="Q794" s="97"/>
      <c r="R794" s="97"/>
      <c r="S794" s="97"/>
      <c r="T794" s="97"/>
      <c r="U794" s="101">
        <f>V792*8+W792*4+X792*2+Y792</f>
        <v>11</v>
      </c>
      <c r="V794" s="122" t="s">
        <v>539</v>
      </c>
      <c r="W794" s="97"/>
      <c r="X794" s="97"/>
      <c r="Y794" s="97"/>
      <c r="Z794" s="97"/>
      <c r="AA794" s="101">
        <f>AB792*8+AC792*4+AD792*2+AE792</f>
        <v>14</v>
      </c>
      <c r="AB794" s="122" t="s">
        <v>540</v>
      </c>
      <c r="AC794" s="97"/>
      <c r="AD794" s="97"/>
      <c r="AE794" s="97"/>
      <c r="AF794" s="97"/>
      <c r="AG794" s="101">
        <f>AH792*8+AI792*4+AJ792*2+AK792</f>
        <v>13</v>
      </c>
      <c r="AH794" s="122" t="s">
        <v>541</v>
      </c>
      <c r="AI794" s="97"/>
      <c r="AJ794" s="97"/>
      <c r="AK794" s="97"/>
      <c r="AL794" s="97"/>
      <c r="AM794" s="101">
        <f>AN792*8+AO792*4+AP792*2+AQ792</f>
        <v>10</v>
      </c>
      <c r="AN794" s="122" t="s">
        <v>542</v>
      </c>
      <c r="AO794" s="97"/>
      <c r="AP794" s="97"/>
      <c r="AQ794" s="97"/>
      <c r="AR794" s="97"/>
      <c r="AS794" s="101">
        <f>AT792*8+AU792*4+AV792*2+AW792</f>
        <v>1</v>
      </c>
      <c r="AT794" s="122" t="s">
        <v>543</v>
      </c>
      <c r="AU794" s="97"/>
      <c r="AV794" s="97"/>
      <c r="AW794" s="97"/>
      <c r="AX794" s="97"/>
      <c r="AY794" s="97"/>
      <c r="AZ794" s="20"/>
      <c r="BA794" s="20"/>
      <c r="BB794" s="20"/>
      <c r="BC794" s="20"/>
    </row>
    <row r="795" spans="1:55" ht="24.95" customHeight="1" x14ac:dyDescent="0.25">
      <c r="A795" s="100" t="s">
        <v>546</v>
      </c>
      <c r="B795" s="99"/>
      <c r="C795" s="87">
        <f>C792*2+H792</f>
        <v>0</v>
      </c>
      <c r="D795" s="98"/>
      <c r="E795" s="98"/>
      <c r="F795" s="99"/>
      <c r="G795" s="99"/>
      <c r="H795" s="99"/>
      <c r="I795" s="87">
        <f>I792*2+N792</f>
        <v>3</v>
      </c>
      <c r="J795" s="99"/>
      <c r="K795" s="99"/>
      <c r="L795" s="99"/>
      <c r="M795" s="99"/>
      <c r="N795" s="99"/>
      <c r="O795" s="87">
        <f>O792*2+T792</f>
        <v>2</v>
      </c>
      <c r="P795" s="99"/>
      <c r="Q795" s="99"/>
      <c r="R795" s="99"/>
      <c r="S795" s="99"/>
      <c r="T795" s="99"/>
      <c r="U795" s="87">
        <f>U792*2+Z792</f>
        <v>3</v>
      </c>
      <c r="V795" s="99"/>
      <c r="W795" s="99"/>
      <c r="X795" s="99"/>
      <c r="Y795" s="99"/>
      <c r="Z795" s="99"/>
      <c r="AA795" s="87">
        <f>AA792*2+AF792</f>
        <v>0</v>
      </c>
      <c r="AB795" s="99"/>
      <c r="AC795" s="99"/>
      <c r="AD795" s="99"/>
      <c r="AE795" s="99"/>
      <c r="AF795" s="99"/>
      <c r="AG795" s="87">
        <f>AG792*2+AL792</f>
        <v>1</v>
      </c>
      <c r="AH795" s="99"/>
      <c r="AI795" s="99"/>
      <c r="AJ795" s="99"/>
      <c r="AK795" s="99"/>
      <c r="AL795" s="99"/>
      <c r="AM795" s="87">
        <f>AM792*2+AR792</f>
        <v>1</v>
      </c>
      <c r="AN795" s="99"/>
      <c r="AO795" s="99"/>
      <c r="AP795" s="99"/>
      <c r="AQ795" s="99"/>
      <c r="AR795" s="99"/>
      <c r="AS795" s="87">
        <f>AS792*2+AX792</f>
        <v>1</v>
      </c>
      <c r="AT795" s="99"/>
      <c r="AU795" s="99"/>
      <c r="AV795" s="99"/>
      <c r="AW795" s="99"/>
      <c r="AX795" s="99"/>
      <c r="AY795" s="99"/>
      <c r="AZ795" s="20"/>
      <c r="BA795" s="20"/>
      <c r="BB795" s="20"/>
      <c r="BC795" s="20"/>
    </row>
    <row r="796" spans="1:55" ht="24.95" customHeight="1" x14ac:dyDescent="0.25">
      <c r="AZ796" s="20"/>
      <c r="BA796" s="20"/>
      <c r="BB796" s="20"/>
      <c r="BC796" s="20"/>
    </row>
    <row r="797" spans="1:55" ht="24.95" customHeight="1" x14ac:dyDescent="0.25">
      <c r="A797" s="117" t="s">
        <v>547</v>
      </c>
      <c r="C797" s="72">
        <f>INDEX('S-Box'!D3:S6,'DES-Enc'!C795+1,'DES-Enc'!C794+1)</f>
        <v>12</v>
      </c>
      <c r="I797" s="102">
        <f>INDEX('S-Box'!D9:S12,'DES-Enc'!I795+1,'DES-Enc'!I794+1)</f>
        <v>6</v>
      </c>
      <c r="O797" s="102">
        <f>INDEX('S-Box'!D15:S18,'DES-Enc'!O795+1,'DES-Enc'!O794+1)</f>
        <v>8</v>
      </c>
      <c r="U797" s="102">
        <f>INDEX('S-Box'!D21:S24,'DES-Enc'!U795+1,'DES-Enc'!U794+1)</f>
        <v>11</v>
      </c>
      <c r="AA797" s="102">
        <f>INDEX('S-Box'!D27:S30,'DES-Enc'!AA795+1,'DES-Enc'!AA794+1)</f>
        <v>14</v>
      </c>
      <c r="AG797" s="102">
        <f>INDEX('S-Box'!D33:S36,'DES-Enc'!AG795+1,'DES-Enc'!AG794+1)</f>
        <v>11</v>
      </c>
      <c r="AM797" s="102">
        <f>INDEX('S-Box'!D39:S42,'DES-Enc'!AM795+1,'DES-Enc'!AM794+1)</f>
        <v>5</v>
      </c>
      <c r="AS797" s="102">
        <f>INDEX('S-Box'!D45:S48,'DES-Enc'!AS795+1,'DES-Enc'!AS794+1)</f>
        <v>15</v>
      </c>
      <c r="AZ797" s="20"/>
      <c r="BA797" s="20"/>
      <c r="BB797" s="20"/>
      <c r="BC797" s="20"/>
    </row>
    <row r="798" spans="1:55" ht="24.95" customHeight="1" x14ac:dyDescent="0.25">
      <c r="C798" s="104"/>
      <c r="I798" s="95"/>
      <c r="O798" s="95"/>
      <c r="U798" s="95"/>
      <c r="AA798" s="95"/>
      <c r="AG798" s="95"/>
      <c r="AM798" s="95"/>
      <c r="AS798" s="95"/>
    </row>
    <row r="799" spans="1:55" ht="24.95" customHeight="1" x14ac:dyDescent="0.25">
      <c r="C799" s="105" t="str">
        <f>MID(DEC2BIN(C797,4),1,1)</f>
        <v>1</v>
      </c>
      <c r="D799" s="106" t="str">
        <f>MID(DEC2BIN(C797,4),2,1)</f>
        <v>1</v>
      </c>
      <c r="E799" s="106" t="str">
        <f>MID(DEC2BIN(C797,4),3,1)</f>
        <v>0</v>
      </c>
      <c r="F799" s="107" t="str">
        <f>MID(DEC2BIN(C797,4),4,1)</f>
        <v>0</v>
      </c>
      <c r="I799" s="105" t="str">
        <f>MID(DEC2BIN(I797,4),1,1)</f>
        <v>0</v>
      </c>
      <c r="J799" s="106" t="str">
        <f>MID(DEC2BIN(I797,4),2,1)</f>
        <v>1</v>
      </c>
      <c r="K799" s="106" t="str">
        <f>MID(DEC2BIN(I797,4),3,1)</f>
        <v>1</v>
      </c>
      <c r="L799" s="107" t="str">
        <f>MID(DEC2BIN(I797,4),4,1)</f>
        <v>0</v>
      </c>
      <c r="O799" s="105" t="str">
        <f>MID(DEC2BIN(O797,4),1,1)</f>
        <v>1</v>
      </c>
      <c r="P799" s="106" t="str">
        <f>MID(DEC2BIN(O797,4),2,1)</f>
        <v>0</v>
      </c>
      <c r="Q799" s="106" t="str">
        <f>MID(DEC2BIN(O797,4),3,1)</f>
        <v>0</v>
      </c>
      <c r="R799" s="107" t="str">
        <f>MID(DEC2BIN(O797,4),4,1)</f>
        <v>0</v>
      </c>
      <c r="U799" s="105" t="str">
        <f>MID(DEC2BIN(U797,4),1,1)</f>
        <v>1</v>
      </c>
      <c r="V799" s="106" t="str">
        <f>MID(DEC2BIN(U797,4),2,1)</f>
        <v>0</v>
      </c>
      <c r="W799" s="106" t="str">
        <f>MID(DEC2BIN(U797,4),3,1)</f>
        <v>1</v>
      </c>
      <c r="X799" s="107" t="str">
        <f>MID(DEC2BIN(U797,4),4,1)</f>
        <v>1</v>
      </c>
      <c r="AA799" s="105" t="str">
        <f>MID(DEC2BIN(AA797,4),1,1)</f>
        <v>1</v>
      </c>
      <c r="AB799" s="106" t="str">
        <f>MID(DEC2BIN(AA797,4),2,1)</f>
        <v>1</v>
      </c>
      <c r="AC799" s="106" t="str">
        <f>MID(DEC2BIN(AA797,4),3,1)</f>
        <v>1</v>
      </c>
      <c r="AD799" s="107" t="str">
        <f>MID(DEC2BIN(AA797,4),4,1)</f>
        <v>0</v>
      </c>
      <c r="AG799" s="105" t="str">
        <f>MID(DEC2BIN(AG797,4),1,1)</f>
        <v>1</v>
      </c>
      <c r="AH799" s="106" t="str">
        <f>MID(DEC2BIN(AG797,4),2,1)</f>
        <v>0</v>
      </c>
      <c r="AI799" s="106" t="str">
        <f>MID(DEC2BIN(AG797,4),3,1)</f>
        <v>1</v>
      </c>
      <c r="AJ799" s="107" t="str">
        <f>MID(DEC2BIN(AG797,4),4,1)</f>
        <v>1</v>
      </c>
      <c r="AM799" s="105" t="str">
        <f>MID(DEC2BIN(AM797,4),1,1)</f>
        <v>0</v>
      </c>
      <c r="AN799" s="106" t="str">
        <f>MID(DEC2BIN(AM797,4),2,1)</f>
        <v>1</v>
      </c>
      <c r="AO799" s="106" t="str">
        <f>MID(DEC2BIN(AM797,4),3,1)</f>
        <v>0</v>
      </c>
      <c r="AP799" s="107" t="str">
        <f>MID(DEC2BIN(AM797,4),4,1)</f>
        <v>1</v>
      </c>
      <c r="AS799" s="105" t="str">
        <f>MID(DEC2BIN(AS797,4),1,1)</f>
        <v>1</v>
      </c>
      <c r="AT799" s="106" t="str">
        <f>MID(DEC2BIN(AS797,4),2,1)</f>
        <v>1</v>
      </c>
      <c r="AU799" s="106" t="str">
        <f>MID(DEC2BIN(AS797,4),3,1)</f>
        <v>1</v>
      </c>
      <c r="AV799" s="107" t="str">
        <f>MID(DEC2BIN(AS797,4),4,1)</f>
        <v>1</v>
      </c>
    </row>
    <row r="800" spans="1:55" ht="24.95" customHeight="1" x14ac:dyDescent="0.25">
      <c r="C800" s="21">
        <f>VALUE(C799)</f>
        <v>1</v>
      </c>
      <c r="D800" s="21">
        <f t="shared" ref="D800" si="2361">VALUE(D799)</f>
        <v>1</v>
      </c>
      <c r="E800" s="21">
        <f t="shared" ref="E800" si="2362">VALUE(E799)</f>
        <v>0</v>
      </c>
      <c r="F800" s="21">
        <f t="shared" ref="F800" si="2363">VALUE(F799)</f>
        <v>0</v>
      </c>
      <c r="I800" s="21">
        <f t="shared" ref="I800" si="2364">VALUE(I799)</f>
        <v>0</v>
      </c>
      <c r="J800" s="21">
        <f t="shared" ref="J800" si="2365">VALUE(J799)</f>
        <v>1</v>
      </c>
      <c r="K800" s="21">
        <f t="shared" ref="K800" si="2366">VALUE(K799)</f>
        <v>1</v>
      </c>
      <c r="L800" s="21">
        <f t="shared" ref="L800" si="2367">VALUE(L799)</f>
        <v>0</v>
      </c>
      <c r="O800" s="21">
        <f>VALUE(O799)</f>
        <v>1</v>
      </c>
      <c r="P800" s="21">
        <f t="shared" ref="P800" si="2368">VALUE(P799)</f>
        <v>0</v>
      </c>
      <c r="Q800" s="21">
        <f t="shared" ref="Q800" si="2369">VALUE(Q799)</f>
        <v>0</v>
      </c>
      <c r="R800" s="21">
        <f t="shared" ref="R800" si="2370">VALUE(R799)</f>
        <v>0</v>
      </c>
      <c r="U800" s="21">
        <f>VALUE(U799)</f>
        <v>1</v>
      </c>
      <c r="V800" s="21">
        <f t="shared" ref="V800" si="2371">VALUE(V799)</f>
        <v>0</v>
      </c>
      <c r="W800" s="21">
        <f t="shared" ref="W800" si="2372">VALUE(W799)</f>
        <v>1</v>
      </c>
      <c r="X800" s="21">
        <f t="shared" ref="X800" si="2373">VALUE(X799)</f>
        <v>1</v>
      </c>
      <c r="AA800" s="21">
        <f>VALUE(AA799)</f>
        <v>1</v>
      </c>
      <c r="AB800" s="21">
        <f t="shared" ref="AB800" si="2374">VALUE(AB799)</f>
        <v>1</v>
      </c>
      <c r="AC800" s="21">
        <f t="shared" ref="AC800" si="2375">VALUE(AC799)</f>
        <v>1</v>
      </c>
      <c r="AD800" s="21">
        <f t="shared" ref="AD800" si="2376">VALUE(AD799)</f>
        <v>0</v>
      </c>
      <c r="AG800" s="21">
        <f>VALUE(AG799)</f>
        <v>1</v>
      </c>
      <c r="AH800" s="21">
        <f t="shared" ref="AH800" si="2377">VALUE(AH799)</f>
        <v>0</v>
      </c>
      <c r="AI800" s="21">
        <f t="shared" ref="AI800" si="2378">VALUE(AI799)</f>
        <v>1</v>
      </c>
      <c r="AJ800" s="21">
        <f t="shared" ref="AJ800" si="2379">VALUE(AJ799)</f>
        <v>1</v>
      </c>
      <c r="AM800" s="21">
        <f>VALUE(AM799)</f>
        <v>0</v>
      </c>
      <c r="AN800" s="21">
        <f t="shared" ref="AN800" si="2380">VALUE(AN799)</f>
        <v>1</v>
      </c>
      <c r="AO800" s="21">
        <f t="shared" ref="AO800" si="2381">VALUE(AO799)</f>
        <v>0</v>
      </c>
      <c r="AP800" s="21">
        <f t="shared" ref="AP800" si="2382">VALUE(AP799)</f>
        <v>1</v>
      </c>
      <c r="AS800" s="21">
        <f>VALUE(AS799)</f>
        <v>1</v>
      </c>
      <c r="AT800" s="21">
        <f t="shared" ref="AT800" si="2383">VALUE(AT799)</f>
        <v>1</v>
      </c>
      <c r="AU800" s="21">
        <f t="shared" ref="AU800" si="2384">VALUE(AU799)</f>
        <v>1</v>
      </c>
      <c r="AV800" s="21">
        <f t="shared" ref="AV800" si="2385">VALUE(AV799)</f>
        <v>1</v>
      </c>
    </row>
    <row r="801" spans="1:66" ht="24.95" customHeight="1" x14ac:dyDescent="0.25">
      <c r="A801" s="111" t="s">
        <v>588</v>
      </c>
      <c r="B801" s="111"/>
      <c r="C801" s="111">
        <v>1</v>
      </c>
      <c r="D801" s="76">
        <v>2</v>
      </c>
      <c r="E801" s="111">
        <v>3</v>
      </c>
      <c r="F801" s="76">
        <v>4</v>
      </c>
      <c r="G801" s="111">
        <v>5</v>
      </c>
      <c r="H801" s="76">
        <v>6</v>
      </c>
      <c r="I801" s="111">
        <v>7</v>
      </c>
      <c r="J801" s="76">
        <v>8</v>
      </c>
      <c r="K801" s="111">
        <v>9</v>
      </c>
      <c r="L801" s="76">
        <v>10</v>
      </c>
      <c r="M801" s="111">
        <v>11</v>
      </c>
      <c r="N801" s="76">
        <v>12</v>
      </c>
      <c r="O801" s="111">
        <v>13</v>
      </c>
      <c r="P801" s="76">
        <v>14</v>
      </c>
      <c r="Q801" s="111">
        <v>15</v>
      </c>
      <c r="R801" s="76">
        <v>16</v>
      </c>
      <c r="S801" s="111">
        <v>17</v>
      </c>
      <c r="T801" s="76">
        <v>18</v>
      </c>
      <c r="U801" s="111">
        <v>19</v>
      </c>
      <c r="V801" s="76">
        <v>20</v>
      </c>
      <c r="W801" s="111">
        <v>21</v>
      </c>
      <c r="X801" s="76">
        <v>22</v>
      </c>
      <c r="Y801" s="111">
        <v>23</v>
      </c>
      <c r="Z801" s="76">
        <v>24</v>
      </c>
      <c r="AA801" s="111">
        <v>25</v>
      </c>
      <c r="AB801" s="76">
        <v>26</v>
      </c>
      <c r="AC801" s="111">
        <v>27</v>
      </c>
      <c r="AD801" s="76">
        <v>28</v>
      </c>
      <c r="AE801" s="111">
        <v>29</v>
      </c>
      <c r="AF801" s="76">
        <v>30</v>
      </c>
      <c r="AG801" s="111">
        <v>31</v>
      </c>
      <c r="AH801" s="76">
        <v>32</v>
      </c>
    </row>
    <row r="802" spans="1:66" ht="24.95" customHeight="1" x14ac:dyDescent="0.25">
      <c r="C802" s="108">
        <f>C800</f>
        <v>1</v>
      </c>
      <c r="D802" s="108">
        <f t="shared" ref="D802:F802" si="2386">D800</f>
        <v>1</v>
      </c>
      <c r="E802" s="108">
        <f t="shared" si="2386"/>
        <v>0</v>
      </c>
      <c r="F802" s="108">
        <f t="shared" si="2386"/>
        <v>0</v>
      </c>
      <c r="G802" s="23">
        <f>I800</f>
        <v>0</v>
      </c>
      <c r="H802" s="23">
        <f t="shared" ref="H802" si="2387">J800</f>
        <v>1</v>
      </c>
      <c r="I802" s="23">
        <f t="shared" ref="I802" si="2388">K800</f>
        <v>1</v>
      </c>
      <c r="J802" s="23">
        <f t="shared" ref="J802" si="2389">L800</f>
        <v>0</v>
      </c>
      <c r="K802" s="23">
        <f>O800</f>
        <v>1</v>
      </c>
      <c r="L802" s="23">
        <f t="shared" ref="L802" si="2390">P800</f>
        <v>0</v>
      </c>
      <c r="M802" s="23">
        <f t="shared" ref="M802" si="2391">Q800</f>
        <v>0</v>
      </c>
      <c r="N802" s="23">
        <f t="shared" ref="N802" si="2392">R800</f>
        <v>0</v>
      </c>
      <c r="O802" s="23">
        <f>U800</f>
        <v>1</v>
      </c>
      <c r="P802" s="23">
        <f t="shared" ref="P802" si="2393">V800</f>
        <v>0</v>
      </c>
      <c r="Q802" s="23">
        <f t="shared" ref="Q802" si="2394">W800</f>
        <v>1</v>
      </c>
      <c r="R802" s="23">
        <f t="shared" ref="R802" si="2395">X800</f>
        <v>1</v>
      </c>
      <c r="S802" s="23">
        <f>AA800</f>
        <v>1</v>
      </c>
      <c r="T802" s="23">
        <f t="shared" ref="T802" si="2396">AB800</f>
        <v>1</v>
      </c>
      <c r="U802" s="23">
        <f t="shared" ref="U802" si="2397">AC800</f>
        <v>1</v>
      </c>
      <c r="V802" s="23">
        <f t="shared" ref="V802" si="2398">AD800</f>
        <v>0</v>
      </c>
      <c r="W802" s="23">
        <f>AG800</f>
        <v>1</v>
      </c>
      <c r="X802" s="23">
        <f t="shared" ref="X802" si="2399">AH800</f>
        <v>0</v>
      </c>
      <c r="Y802" s="23">
        <f t="shared" ref="Y802" si="2400">AI800</f>
        <v>1</v>
      </c>
      <c r="Z802" s="23">
        <f t="shared" ref="Z802" si="2401">AJ800</f>
        <v>1</v>
      </c>
      <c r="AA802" s="23">
        <f>AM800</f>
        <v>0</v>
      </c>
      <c r="AB802" s="23">
        <f t="shared" ref="AB802" si="2402">AN800</f>
        <v>1</v>
      </c>
      <c r="AC802" s="23">
        <f t="shared" ref="AC802" si="2403">AO800</f>
        <v>0</v>
      </c>
      <c r="AD802" s="23">
        <f t="shared" ref="AD802" si="2404">AP800</f>
        <v>1</v>
      </c>
      <c r="AE802" s="23">
        <f>AS800</f>
        <v>1</v>
      </c>
      <c r="AF802" s="23">
        <f t="shared" ref="AF802" si="2405">AT800</f>
        <v>1</v>
      </c>
      <c r="AG802" s="23">
        <f t="shared" ref="AG802" si="2406">AU800</f>
        <v>1</v>
      </c>
      <c r="AH802" s="23">
        <f t="shared" ref="AH802" si="2407">AV800</f>
        <v>1</v>
      </c>
    </row>
    <row r="804" spans="1:66" ht="24.95" customHeight="1" x14ac:dyDescent="0.25">
      <c r="A804" s="110" t="s">
        <v>548</v>
      </c>
      <c r="B804" s="110"/>
      <c r="C804" s="109">
        <v>16</v>
      </c>
      <c r="D804" s="110">
        <v>7</v>
      </c>
      <c r="E804" s="110">
        <v>20</v>
      </c>
      <c r="F804" s="110">
        <v>21</v>
      </c>
      <c r="G804" s="110">
        <v>29</v>
      </c>
      <c r="H804" s="110">
        <v>12</v>
      </c>
      <c r="I804" s="110">
        <v>28</v>
      </c>
      <c r="J804" s="110">
        <v>17</v>
      </c>
      <c r="K804" s="110">
        <v>1</v>
      </c>
      <c r="L804" s="110">
        <v>15</v>
      </c>
      <c r="M804" s="110">
        <v>23</v>
      </c>
      <c r="N804" s="110">
        <v>26</v>
      </c>
      <c r="O804" s="110">
        <v>5</v>
      </c>
      <c r="P804" s="110">
        <v>18</v>
      </c>
      <c r="Q804" s="110">
        <v>31</v>
      </c>
      <c r="R804" s="110">
        <v>10</v>
      </c>
      <c r="S804" s="110">
        <v>2</v>
      </c>
      <c r="T804" s="110">
        <v>8</v>
      </c>
      <c r="U804" s="110">
        <v>24</v>
      </c>
      <c r="V804" s="110">
        <v>14</v>
      </c>
      <c r="W804" s="110">
        <v>32</v>
      </c>
      <c r="X804" s="110">
        <v>27</v>
      </c>
      <c r="Y804" s="110">
        <v>3</v>
      </c>
      <c r="Z804" s="110">
        <v>9</v>
      </c>
      <c r="AA804" s="110">
        <v>19</v>
      </c>
      <c r="AB804" s="110">
        <v>13</v>
      </c>
      <c r="AC804" s="110">
        <v>30</v>
      </c>
      <c r="AD804" s="110">
        <v>6</v>
      </c>
      <c r="AE804" s="110">
        <v>22</v>
      </c>
      <c r="AF804" s="110">
        <v>11</v>
      </c>
      <c r="AG804" s="110">
        <v>4</v>
      </c>
      <c r="AH804" s="110">
        <v>25</v>
      </c>
    </row>
    <row r="805" spans="1:66" ht="24.95" customHeight="1" x14ac:dyDescent="0.25">
      <c r="C805" s="103">
        <f>K802</f>
        <v>1</v>
      </c>
      <c r="D805" s="103">
        <f>S802</f>
        <v>1</v>
      </c>
      <c r="E805" s="103">
        <f>Y802</f>
        <v>1</v>
      </c>
      <c r="F805" s="112">
        <f>AG802</f>
        <v>1</v>
      </c>
      <c r="G805" s="103">
        <f>O802</f>
        <v>1</v>
      </c>
      <c r="H805" s="103">
        <f>AD802</f>
        <v>1</v>
      </c>
      <c r="I805" s="103">
        <f>D802</f>
        <v>1</v>
      </c>
      <c r="J805" s="103">
        <f>T802</f>
        <v>1</v>
      </c>
      <c r="K805" s="103">
        <f>Z802</f>
        <v>1</v>
      </c>
      <c r="L805" s="103">
        <f>R802</f>
        <v>1</v>
      </c>
      <c r="M805" s="103">
        <f>AF802</f>
        <v>1</v>
      </c>
      <c r="N805" s="103">
        <f>H802</f>
        <v>1</v>
      </c>
      <c r="O805" s="103">
        <f>AB802</f>
        <v>1</v>
      </c>
      <c r="P805" s="103">
        <f>V802</f>
        <v>0</v>
      </c>
      <c r="Q805" s="103">
        <f>L802</f>
        <v>0</v>
      </c>
      <c r="R805" s="103">
        <f>C802</f>
        <v>1</v>
      </c>
      <c r="S805" s="103">
        <f>J802</f>
        <v>0</v>
      </c>
      <c r="T805" s="103">
        <f>P802</f>
        <v>0</v>
      </c>
      <c r="U805" s="103">
        <f>AA802</f>
        <v>0</v>
      </c>
      <c r="V805" s="103">
        <f>E802</f>
        <v>0</v>
      </c>
      <c r="W805" s="103">
        <f>F802</f>
        <v>0</v>
      </c>
      <c r="X805" s="103">
        <f>AE802</f>
        <v>1</v>
      </c>
      <c r="Y805" s="103">
        <f>M802</f>
        <v>0</v>
      </c>
      <c r="Z805" s="103">
        <f>U802</f>
        <v>1</v>
      </c>
      <c r="AA805" s="103">
        <f>AH802</f>
        <v>1</v>
      </c>
      <c r="AB805" s="103">
        <f>N802</f>
        <v>0</v>
      </c>
      <c r="AC805" s="103">
        <f>X802</f>
        <v>0</v>
      </c>
      <c r="AD805" s="103">
        <f>I802</f>
        <v>1</v>
      </c>
      <c r="AE805" s="103">
        <f>G802</f>
        <v>0</v>
      </c>
      <c r="AF805" s="103">
        <f>AC802</f>
        <v>0</v>
      </c>
      <c r="AG805" s="103">
        <f>Q802</f>
        <v>1</v>
      </c>
      <c r="AH805" s="103">
        <f>W802</f>
        <v>1</v>
      </c>
    </row>
    <row r="806" spans="1:66" ht="24.95" customHeight="1" x14ac:dyDescent="0.25">
      <c r="C806" s="130">
        <v>1</v>
      </c>
      <c r="D806" s="131">
        <v>2</v>
      </c>
      <c r="E806" s="130">
        <v>3</v>
      </c>
      <c r="F806" s="131">
        <v>4</v>
      </c>
      <c r="G806" s="130">
        <v>5</v>
      </c>
      <c r="H806" s="131">
        <v>6</v>
      </c>
      <c r="I806" s="130">
        <v>7</v>
      </c>
      <c r="J806" s="131">
        <v>8</v>
      </c>
      <c r="K806" s="130">
        <v>9</v>
      </c>
      <c r="L806" s="131">
        <v>10</v>
      </c>
      <c r="M806" s="130">
        <v>11</v>
      </c>
      <c r="N806" s="131">
        <v>12</v>
      </c>
      <c r="O806" s="130">
        <v>13</v>
      </c>
      <c r="P806" s="131">
        <v>14</v>
      </c>
      <c r="Q806" s="130">
        <v>15</v>
      </c>
      <c r="R806" s="131">
        <v>16</v>
      </c>
      <c r="S806" s="130">
        <v>17</v>
      </c>
      <c r="T806" s="131">
        <v>18</v>
      </c>
      <c r="U806" s="130">
        <v>19</v>
      </c>
      <c r="V806" s="131">
        <v>20</v>
      </c>
      <c r="W806" s="130">
        <v>21</v>
      </c>
      <c r="X806" s="131">
        <v>22</v>
      </c>
      <c r="Y806" s="130">
        <v>23</v>
      </c>
      <c r="Z806" s="131">
        <v>24</v>
      </c>
      <c r="AA806" s="130">
        <v>25</v>
      </c>
      <c r="AB806" s="131">
        <v>26</v>
      </c>
      <c r="AC806" s="130">
        <v>27</v>
      </c>
      <c r="AD806" s="131">
        <v>28</v>
      </c>
      <c r="AE806" s="130">
        <v>29</v>
      </c>
      <c r="AF806" s="131">
        <v>30</v>
      </c>
      <c r="AG806" s="130">
        <v>31</v>
      </c>
      <c r="AH806" s="131">
        <v>32</v>
      </c>
    </row>
    <row r="810" spans="1:66" ht="24.95" customHeight="1" x14ac:dyDescent="0.25">
      <c r="A810" s="114" t="s">
        <v>584</v>
      </c>
      <c r="B810" s="114"/>
      <c r="C810" s="114"/>
      <c r="D810" s="68">
        <v>1</v>
      </c>
      <c r="E810" s="68">
        <v>2</v>
      </c>
      <c r="F810" s="68">
        <v>3</v>
      </c>
      <c r="G810" s="68">
        <v>4</v>
      </c>
      <c r="H810" s="68">
        <v>5</v>
      </c>
      <c r="I810" s="68">
        <v>6</v>
      </c>
      <c r="J810" s="68">
        <v>7</v>
      </c>
      <c r="K810" s="68">
        <v>8</v>
      </c>
      <c r="L810" s="68">
        <v>9</v>
      </c>
      <c r="M810" s="68">
        <v>10</v>
      </c>
      <c r="N810" s="68">
        <v>11</v>
      </c>
      <c r="O810" s="68">
        <v>12</v>
      </c>
      <c r="P810" s="68">
        <v>13</v>
      </c>
      <c r="Q810" s="68">
        <v>14</v>
      </c>
      <c r="R810" s="68">
        <v>15</v>
      </c>
      <c r="S810" s="68">
        <v>16</v>
      </c>
      <c r="T810" s="68">
        <v>17</v>
      </c>
      <c r="U810" s="68">
        <v>18</v>
      </c>
      <c r="V810" s="68">
        <v>19</v>
      </c>
      <c r="W810" s="68">
        <v>20</v>
      </c>
      <c r="X810" s="68">
        <v>21</v>
      </c>
      <c r="Y810" s="68">
        <v>22</v>
      </c>
      <c r="Z810" s="68">
        <v>23</v>
      </c>
      <c r="AA810" s="68">
        <v>24</v>
      </c>
      <c r="AB810" s="68">
        <v>25</v>
      </c>
      <c r="AC810" s="68">
        <v>26</v>
      </c>
      <c r="AD810" s="68">
        <v>27</v>
      </c>
      <c r="AE810" s="68">
        <v>28</v>
      </c>
      <c r="AF810" s="68">
        <v>29</v>
      </c>
      <c r="AG810" s="68">
        <v>30</v>
      </c>
      <c r="AH810" s="68">
        <v>31</v>
      </c>
      <c r="AI810" s="68">
        <v>32</v>
      </c>
    </row>
    <row r="811" spans="1:66" ht="24.95" customHeight="1" x14ac:dyDescent="0.25">
      <c r="A811" s="64" t="s">
        <v>549</v>
      </c>
      <c r="D811" s="67">
        <f>C769</f>
        <v>0</v>
      </c>
      <c r="E811" s="68">
        <f t="shared" ref="E811" si="2408">D769</f>
        <v>0</v>
      </c>
      <c r="F811" s="68">
        <f t="shared" ref="F811" si="2409">E769</f>
        <v>0</v>
      </c>
      <c r="G811" s="68">
        <f t="shared" ref="G811" si="2410">F769</f>
        <v>1</v>
      </c>
      <c r="H811" s="68">
        <f t="shared" ref="H811" si="2411">G769</f>
        <v>0</v>
      </c>
      <c r="I811" s="68">
        <f t="shared" ref="I811" si="2412">H769</f>
        <v>0</v>
      </c>
      <c r="J811" s="68">
        <f t="shared" ref="J811" si="2413">I769</f>
        <v>0</v>
      </c>
      <c r="K811" s="68">
        <f t="shared" ref="K811" si="2414">J769</f>
        <v>0</v>
      </c>
      <c r="L811" s="68">
        <f t="shared" ref="L811" si="2415">K769</f>
        <v>1</v>
      </c>
      <c r="M811" s="68">
        <f t="shared" ref="M811" si="2416">L769</f>
        <v>1</v>
      </c>
      <c r="N811" s="68">
        <f t="shared" ref="N811" si="2417">M769</f>
        <v>0</v>
      </c>
      <c r="O811" s="68">
        <f t="shared" ref="O811" si="2418">N769</f>
        <v>0</v>
      </c>
      <c r="P811" s="68">
        <f t="shared" ref="P811" si="2419">O769</f>
        <v>1</v>
      </c>
      <c r="Q811" s="68">
        <f t="shared" ref="Q811" si="2420">P769</f>
        <v>0</v>
      </c>
      <c r="R811" s="68">
        <f t="shared" ref="R811" si="2421">Q769</f>
        <v>1</v>
      </c>
      <c r="S811" s="68">
        <f t="shared" ref="S811" si="2422">R769</f>
        <v>1</v>
      </c>
      <c r="T811" s="68">
        <f t="shared" ref="T811" si="2423">S769</f>
        <v>1</v>
      </c>
      <c r="U811" s="68">
        <f t="shared" ref="U811" si="2424">T769</f>
        <v>0</v>
      </c>
      <c r="V811" s="68">
        <f t="shared" ref="V811" si="2425">U769</f>
        <v>1</v>
      </c>
      <c r="W811" s="68">
        <f t="shared" ref="W811" si="2426">V769</f>
        <v>0</v>
      </c>
      <c r="X811" s="68">
        <f t="shared" ref="X811" si="2427">W769</f>
        <v>0</v>
      </c>
      <c r="Y811" s="68">
        <f t="shared" ref="Y811" si="2428">X769</f>
        <v>1</v>
      </c>
      <c r="Z811" s="68">
        <f t="shared" ref="Z811" si="2429">Y769</f>
        <v>0</v>
      </c>
      <c r="AA811" s="68">
        <f t="shared" ref="AA811" si="2430">Z769</f>
        <v>1</v>
      </c>
      <c r="AB811" s="68">
        <f t="shared" ref="AB811" si="2431">AA769</f>
        <v>0</v>
      </c>
      <c r="AC811" s="68">
        <f t="shared" ref="AC811" si="2432">AB769</f>
        <v>0</v>
      </c>
      <c r="AD811" s="68">
        <f t="shared" ref="AD811" si="2433">AC769</f>
        <v>0</v>
      </c>
      <c r="AE811" s="68">
        <f t="shared" ref="AE811" si="2434">AD769</f>
        <v>1</v>
      </c>
      <c r="AF811" s="68">
        <f t="shared" ref="AF811" si="2435">AE769</f>
        <v>1</v>
      </c>
      <c r="AG811" s="68">
        <f t="shared" ref="AG811" si="2436">AF769</f>
        <v>1</v>
      </c>
      <c r="AH811" s="68">
        <f t="shared" ref="AH811" si="2437">AG769</f>
        <v>0</v>
      </c>
      <c r="AI811" s="68">
        <f t="shared" ref="AI811" si="2438">AH769</f>
        <v>0</v>
      </c>
    </row>
    <row r="813" spans="1:66" ht="24.95" customHeight="1" x14ac:dyDescent="0.25">
      <c r="A813" s="114" t="s">
        <v>585</v>
      </c>
      <c r="B813" s="114"/>
      <c r="C813" s="114"/>
      <c r="D813" s="70">
        <v>1</v>
      </c>
      <c r="E813" s="70">
        <v>2</v>
      </c>
      <c r="F813" s="70">
        <v>3</v>
      </c>
      <c r="G813" s="70">
        <v>4</v>
      </c>
      <c r="H813" s="70">
        <v>5</v>
      </c>
      <c r="I813" s="70">
        <v>6</v>
      </c>
      <c r="J813" s="70">
        <v>7</v>
      </c>
      <c r="K813" s="70">
        <v>8</v>
      </c>
      <c r="L813" s="70">
        <v>9</v>
      </c>
      <c r="M813" s="70">
        <v>10</v>
      </c>
      <c r="N813" s="70">
        <v>11</v>
      </c>
      <c r="O813" s="70">
        <v>12</v>
      </c>
      <c r="P813" s="70">
        <v>13</v>
      </c>
      <c r="Q813" s="70">
        <v>14</v>
      </c>
      <c r="R813" s="70">
        <v>15</v>
      </c>
      <c r="S813" s="70">
        <v>16</v>
      </c>
      <c r="T813" s="70">
        <v>17</v>
      </c>
      <c r="U813" s="70">
        <v>18</v>
      </c>
      <c r="V813" s="70">
        <v>19</v>
      </c>
      <c r="W813" s="70">
        <v>20</v>
      </c>
      <c r="X813" s="70">
        <v>21</v>
      </c>
      <c r="Y813" s="70">
        <v>22</v>
      </c>
      <c r="Z813" s="70">
        <v>23</v>
      </c>
      <c r="AA813" s="70">
        <v>24</v>
      </c>
      <c r="AB813" s="70">
        <v>25</v>
      </c>
      <c r="AC813" s="70">
        <v>26</v>
      </c>
      <c r="AD813" s="70">
        <v>27</v>
      </c>
      <c r="AE813" s="70">
        <v>28</v>
      </c>
      <c r="AF813" s="70">
        <v>29</v>
      </c>
      <c r="AG813" s="70">
        <v>30</v>
      </c>
      <c r="AH813" s="70">
        <v>31</v>
      </c>
      <c r="AI813" s="70">
        <v>32</v>
      </c>
    </row>
    <row r="814" spans="1:66" ht="24.95" customHeight="1" x14ac:dyDescent="0.25">
      <c r="A814" s="64" t="s">
        <v>551</v>
      </c>
      <c r="D814" s="70">
        <f>--_xlfn.XOR(C805,D762)</f>
        <v>0</v>
      </c>
      <c r="E814" s="70">
        <f t="shared" ref="E814:AI814" si="2439">--_xlfn.XOR(D805,E762)</f>
        <v>1</v>
      </c>
      <c r="F814" s="70">
        <f t="shared" si="2439"/>
        <v>1</v>
      </c>
      <c r="G814" s="70">
        <f t="shared" si="2439"/>
        <v>1</v>
      </c>
      <c r="H814" s="70">
        <f t="shared" si="2439"/>
        <v>1</v>
      </c>
      <c r="I814" s="70">
        <f t="shared" si="2439"/>
        <v>1</v>
      </c>
      <c r="J814" s="70">
        <f t="shared" si="2439"/>
        <v>1</v>
      </c>
      <c r="K814" s="70">
        <f t="shared" si="2439"/>
        <v>0</v>
      </c>
      <c r="L814" s="70">
        <f t="shared" si="2439"/>
        <v>1</v>
      </c>
      <c r="M814" s="70">
        <f t="shared" si="2439"/>
        <v>1</v>
      </c>
      <c r="N814" s="70">
        <f t="shared" si="2439"/>
        <v>0</v>
      </c>
      <c r="O814" s="70">
        <f t="shared" si="2439"/>
        <v>1</v>
      </c>
      <c r="P814" s="70">
        <f t="shared" si="2439"/>
        <v>1</v>
      </c>
      <c r="Q814" s="70">
        <f t="shared" si="2439"/>
        <v>0</v>
      </c>
      <c r="R814" s="70">
        <f t="shared" si="2439"/>
        <v>1</v>
      </c>
      <c r="S814" s="70">
        <f t="shared" si="2439"/>
        <v>1</v>
      </c>
      <c r="T814" s="70">
        <f t="shared" si="2439"/>
        <v>0</v>
      </c>
      <c r="U814" s="70">
        <f t="shared" si="2439"/>
        <v>1</v>
      </c>
      <c r="V814" s="70">
        <f t="shared" si="2439"/>
        <v>1</v>
      </c>
      <c r="W814" s="70">
        <f t="shared" si="2439"/>
        <v>1</v>
      </c>
      <c r="X814" s="70">
        <f t="shared" si="2439"/>
        <v>0</v>
      </c>
      <c r="Y814" s="70">
        <f t="shared" si="2439"/>
        <v>1</v>
      </c>
      <c r="Z814" s="70">
        <f t="shared" si="2439"/>
        <v>0</v>
      </c>
      <c r="AA814" s="70">
        <f t="shared" si="2439"/>
        <v>0</v>
      </c>
      <c r="AB814" s="70">
        <f t="shared" si="2439"/>
        <v>0</v>
      </c>
      <c r="AC814" s="70">
        <f t="shared" si="2439"/>
        <v>0</v>
      </c>
      <c r="AD814" s="70">
        <f t="shared" si="2439"/>
        <v>1</v>
      </c>
      <c r="AE814" s="70">
        <f t="shared" si="2439"/>
        <v>0</v>
      </c>
      <c r="AF814" s="70">
        <f t="shared" si="2439"/>
        <v>1</v>
      </c>
      <c r="AG814" s="70">
        <f t="shared" si="2439"/>
        <v>1</v>
      </c>
      <c r="AH814" s="70">
        <f t="shared" si="2439"/>
        <v>1</v>
      </c>
      <c r="AI814" s="70">
        <f t="shared" si="2439"/>
        <v>1</v>
      </c>
    </row>
    <row r="815" spans="1:66" s="132" customFormat="1" ht="24.95" customHeight="1" x14ac:dyDescent="0.25">
      <c r="A815" s="132" t="s">
        <v>628</v>
      </c>
      <c r="B815" s="133"/>
      <c r="C815" s="134"/>
    </row>
    <row r="816" spans="1:66" s="74" customFormat="1" ht="24.95" customHeight="1" x14ac:dyDescent="0.25">
      <c r="B816" s="200"/>
      <c r="C816" s="201">
        <f>D813</f>
        <v>1</v>
      </c>
      <c r="D816" s="201">
        <f t="shared" ref="D816:AH816" si="2440">E813</f>
        <v>2</v>
      </c>
      <c r="E816" s="201">
        <f t="shared" si="2440"/>
        <v>3</v>
      </c>
      <c r="F816" s="201">
        <f t="shared" si="2440"/>
        <v>4</v>
      </c>
      <c r="G816" s="201">
        <f t="shared" si="2440"/>
        <v>5</v>
      </c>
      <c r="H816" s="201">
        <f t="shared" si="2440"/>
        <v>6</v>
      </c>
      <c r="I816" s="201">
        <f t="shared" si="2440"/>
        <v>7</v>
      </c>
      <c r="J816" s="201">
        <f t="shared" si="2440"/>
        <v>8</v>
      </c>
      <c r="K816" s="201">
        <f t="shared" si="2440"/>
        <v>9</v>
      </c>
      <c r="L816" s="201">
        <f t="shared" si="2440"/>
        <v>10</v>
      </c>
      <c r="M816" s="201">
        <f t="shared" si="2440"/>
        <v>11</v>
      </c>
      <c r="N816" s="201">
        <f t="shared" si="2440"/>
        <v>12</v>
      </c>
      <c r="O816" s="201">
        <f t="shared" si="2440"/>
        <v>13</v>
      </c>
      <c r="P816" s="201">
        <f t="shared" si="2440"/>
        <v>14</v>
      </c>
      <c r="Q816" s="201">
        <f t="shared" si="2440"/>
        <v>15</v>
      </c>
      <c r="R816" s="201">
        <f t="shared" si="2440"/>
        <v>16</v>
      </c>
      <c r="S816" s="201">
        <f t="shared" si="2440"/>
        <v>17</v>
      </c>
      <c r="T816" s="201">
        <f t="shared" si="2440"/>
        <v>18</v>
      </c>
      <c r="U816" s="201">
        <f t="shared" si="2440"/>
        <v>19</v>
      </c>
      <c r="V816" s="201">
        <f t="shared" si="2440"/>
        <v>20</v>
      </c>
      <c r="W816" s="201">
        <f t="shared" si="2440"/>
        <v>21</v>
      </c>
      <c r="X816" s="201">
        <f t="shared" si="2440"/>
        <v>22</v>
      </c>
      <c r="Y816" s="201">
        <f t="shared" si="2440"/>
        <v>23</v>
      </c>
      <c r="Z816" s="201">
        <f t="shared" si="2440"/>
        <v>24</v>
      </c>
      <c r="AA816" s="201">
        <f t="shared" si="2440"/>
        <v>25</v>
      </c>
      <c r="AB816" s="201">
        <f t="shared" si="2440"/>
        <v>26</v>
      </c>
      <c r="AC816" s="201">
        <f t="shared" si="2440"/>
        <v>27</v>
      </c>
      <c r="AD816" s="201">
        <f t="shared" si="2440"/>
        <v>28</v>
      </c>
      <c r="AE816" s="201">
        <f t="shared" si="2440"/>
        <v>29</v>
      </c>
      <c r="AF816" s="201">
        <f t="shared" si="2440"/>
        <v>30</v>
      </c>
      <c r="AG816" s="201">
        <f t="shared" si="2440"/>
        <v>31</v>
      </c>
      <c r="AH816" s="201">
        <f t="shared" si="2440"/>
        <v>32</v>
      </c>
      <c r="AI816" s="201">
        <f>AH816+1</f>
        <v>33</v>
      </c>
      <c r="AJ816" s="201">
        <f t="shared" ref="AJ816:BN816" si="2441">AI816+1</f>
        <v>34</v>
      </c>
      <c r="AK816" s="201">
        <f t="shared" si="2441"/>
        <v>35</v>
      </c>
      <c r="AL816" s="201">
        <f t="shared" si="2441"/>
        <v>36</v>
      </c>
      <c r="AM816" s="201">
        <f t="shared" si="2441"/>
        <v>37</v>
      </c>
      <c r="AN816" s="201">
        <f t="shared" si="2441"/>
        <v>38</v>
      </c>
      <c r="AO816" s="201">
        <f t="shared" si="2441"/>
        <v>39</v>
      </c>
      <c r="AP816" s="201">
        <f t="shared" si="2441"/>
        <v>40</v>
      </c>
      <c r="AQ816" s="201">
        <f t="shared" si="2441"/>
        <v>41</v>
      </c>
      <c r="AR816" s="201">
        <f t="shared" si="2441"/>
        <v>42</v>
      </c>
      <c r="AS816" s="201">
        <f t="shared" si="2441"/>
        <v>43</v>
      </c>
      <c r="AT816" s="201">
        <f t="shared" si="2441"/>
        <v>44</v>
      </c>
      <c r="AU816" s="201">
        <f t="shared" si="2441"/>
        <v>45</v>
      </c>
      <c r="AV816" s="201">
        <f t="shared" si="2441"/>
        <v>46</v>
      </c>
      <c r="AW816" s="201">
        <f t="shared" si="2441"/>
        <v>47</v>
      </c>
      <c r="AX816" s="201">
        <f t="shared" si="2441"/>
        <v>48</v>
      </c>
      <c r="AY816" s="201">
        <f t="shared" si="2441"/>
        <v>49</v>
      </c>
      <c r="AZ816" s="201">
        <f t="shared" si="2441"/>
        <v>50</v>
      </c>
      <c r="BA816" s="201">
        <f t="shared" si="2441"/>
        <v>51</v>
      </c>
      <c r="BB816" s="201">
        <f t="shared" si="2441"/>
        <v>52</v>
      </c>
      <c r="BC816" s="201">
        <f t="shared" si="2441"/>
        <v>53</v>
      </c>
      <c r="BD816" s="201">
        <f t="shared" si="2441"/>
        <v>54</v>
      </c>
      <c r="BE816" s="201">
        <f t="shared" si="2441"/>
        <v>55</v>
      </c>
      <c r="BF816" s="201">
        <f t="shared" si="2441"/>
        <v>56</v>
      </c>
      <c r="BG816" s="201">
        <f t="shared" si="2441"/>
        <v>57</v>
      </c>
      <c r="BH816" s="201">
        <f t="shared" si="2441"/>
        <v>58</v>
      </c>
      <c r="BI816" s="201">
        <f t="shared" si="2441"/>
        <v>59</v>
      </c>
      <c r="BJ816" s="201">
        <f t="shared" si="2441"/>
        <v>60</v>
      </c>
      <c r="BK816" s="201">
        <f>BJ816+1</f>
        <v>61</v>
      </c>
      <c r="BL816" s="201">
        <f t="shared" si="2441"/>
        <v>62</v>
      </c>
      <c r="BM816" s="201">
        <f t="shared" si="2441"/>
        <v>63</v>
      </c>
      <c r="BN816" s="201">
        <f t="shared" si="2441"/>
        <v>64</v>
      </c>
    </row>
    <row r="817" spans="1:66" s="74" customFormat="1" ht="24.95" customHeight="1" x14ac:dyDescent="0.25">
      <c r="A817" s="74" t="s">
        <v>651</v>
      </c>
      <c r="B817" s="200"/>
      <c r="C817" s="201">
        <f>D814</f>
        <v>0</v>
      </c>
      <c r="D817" s="201">
        <f t="shared" ref="D817:AH817" si="2442">E814</f>
        <v>1</v>
      </c>
      <c r="E817" s="201">
        <f t="shared" si="2442"/>
        <v>1</v>
      </c>
      <c r="F817" s="201">
        <f t="shared" si="2442"/>
        <v>1</v>
      </c>
      <c r="G817" s="201">
        <f t="shared" si="2442"/>
        <v>1</v>
      </c>
      <c r="H817" s="201">
        <f t="shared" si="2442"/>
        <v>1</v>
      </c>
      <c r="I817" s="201">
        <f t="shared" si="2442"/>
        <v>1</v>
      </c>
      <c r="J817" s="201">
        <f t="shared" si="2442"/>
        <v>0</v>
      </c>
      <c r="K817" s="201">
        <f t="shared" si="2442"/>
        <v>1</v>
      </c>
      <c r="L817" s="201">
        <f t="shared" si="2442"/>
        <v>1</v>
      </c>
      <c r="M817" s="201">
        <f t="shared" si="2442"/>
        <v>0</v>
      </c>
      <c r="N817" s="201">
        <f t="shared" si="2442"/>
        <v>1</v>
      </c>
      <c r="O817" s="201">
        <f t="shared" si="2442"/>
        <v>1</v>
      </c>
      <c r="P817" s="201">
        <f t="shared" si="2442"/>
        <v>0</v>
      </c>
      <c r="Q817" s="201">
        <f t="shared" si="2442"/>
        <v>1</v>
      </c>
      <c r="R817" s="201">
        <f t="shared" si="2442"/>
        <v>1</v>
      </c>
      <c r="S817" s="201">
        <f t="shared" si="2442"/>
        <v>0</v>
      </c>
      <c r="T817" s="201">
        <f t="shared" si="2442"/>
        <v>1</v>
      </c>
      <c r="U817" s="201">
        <f t="shared" si="2442"/>
        <v>1</v>
      </c>
      <c r="V817" s="201">
        <f t="shared" si="2442"/>
        <v>1</v>
      </c>
      <c r="W817" s="201">
        <f t="shared" si="2442"/>
        <v>0</v>
      </c>
      <c r="X817" s="201">
        <f t="shared" si="2442"/>
        <v>1</v>
      </c>
      <c r="Y817" s="201">
        <f t="shared" si="2442"/>
        <v>0</v>
      </c>
      <c r="Z817" s="201">
        <f t="shared" si="2442"/>
        <v>0</v>
      </c>
      <c r="AA817" s="201">
        <f t="shared" si="2442"/>
        <v>0</v>
      </c>
      <c r="AB817" s="201">
        <f t="shared" si="2442"/>
        <v>0</v>
      </c>
      <c r="AC817" s="201">
        <f t="shared" si="2442"/>
        <v>1</v>
      </c>
      <c r="AD817" s="201">
        <f t="shared" si="2442"/>
        <v>0</v>
      </c>
      <c r="AE817" s="201">
        <f t="shared" si="2442"/>
        <v>1</v>
      </c>
      <c r="AF817" s="201">
        <f t="shared" si="2442"/>
        <v>1</v>
      </c>
      <c r="AG817" s="201">
        <f t="shared" si="2442"/>
        <v>1</v>
      </c>
      <c r="AH817" s="201">
        <f t="shared" si="2442"/>
        <v>1</v>
      </c>
      <c r="AI817" s="201">
        <f>D811</f>
        <v>0</v>
      </c>
      <c r="AJ817" s="201">
        <f t="shared" ref="AJ817:BN817" si="2443">E811</f>
        <v>0</v>
      </c>
      <c r="AK817" s="201">
        <f t="shared" si="2443"/>
        <v>0</v>
      </c>
      <c r="AL817" s="201">
        <f t="shared" si="2443"/>
        <v>1</v>
      </c>
      <c r="AM817" s="201">
        <f t="shared" si="2443"/>
        <v>0</v>
      </c>
      <c r="AN817" s="201">
        <f t="shared" si="2443"/>
        <v>0</v>
      </c>
      <c r="AO817" s="201">
        <f t="shared" si="2443"/>
        <v>0</v>
      </c>
      <c r="AP817" s="201">
        <f t="shared" si="2443"/>
        <v>0</v>
      </c>
      <c r="AQ817" s="201">
        <f t="shared" si="2443"/>
        <v>1</v>
      </c>
      <c r="AR817" s="201">
        <f t="shared" si="2443"/>
        <v>1</v>
      </c>
      <c r="AS817" s="201">
        <f t="shared" si="2443"/>
        <v>0</v>
      </c>
      <c r="AT817" s="201">
        <f t="shared" si="2443"/>
        <v>0</v>
      </c>
      <c r="AU817" s="201">
        <f t="shared" si="2443"/>
        <v>1</v>
      </c>
      <c r="AV817" s="201">
        <f t="shared" si="2443"/>
        <v>0</v>
      </c>
      <c r="AW817" s="201">
        <f t="shared" si="2443"/>
        <v>1</v>
      </c>
      <c r="AX817" s="201">
        <f t="shared" si="2443"/>
        <v>1</v>
      </c>
      <c r="AY817" s="201">
        <f t="shared" si="2443"/>
        <v>1</v>
      </c>
      <c r="AZ817" s="201">
        <f t="shared" si="2443"/>
        <v>0</v>
      </c>
      <c r="BA817" s="201">
        <f t="shared" si="2443"/>
        <v>1</v>
      </c>
      <c r="BB817" s="201">
        <f t="shared" si="2443"/>
        <v>0</v>
      </c>
      <c r="BC817" s="201">
        <f t="shared" si="2443"/>
        <v>0</v>
      </c>
      <c r="BD817" s="201">
        <f t="shared" si="2443"/>
        <v>1</v>
      </c>
      <c r="BE817" s="201">
        <f t="shared" si="2443"/>
        <v>0</v>
      </c>
      <c r="BF817" s="201">
        <f t="shared" si="2443"/>
        <v>1</v>
      </c>
      <c r="BG817" s="201">
        <f t="shared" si="2443"/>
        <v>0</v>
      </c>
      <c r="BH817" s="201">
        <f t="shared" si="2443"/>
        <v>0</v>
      </c>
      <c r="BI817" s="201">
        <f t="shared" si="2443"/>
        <v>0</v>
      </c>
      <c r="BJ817" s="201">
        <f t="shared" si="2443"/>
        <v>1</v>
      </c>
      <c r="BK817" s="201">
        <f t="shared" si="2443"/>
        <v>1</v>
      </c>
      <c r="BL817" s="201">
        <f t="shared" si="2443"/>
        <v>1</v>
      </c>
      <c r="BM817" s="201">
        <f t="shared" si="2443"/>
        <v>0</v>
      </c>
      <c r="BN817" s="201">
        <f t="shared" si="2443"/>
        <v>0</v>
      </c>
    </row>
    <row r="818" spans="1:66" s="20" customFormat="1" ht="24.95" customHeight="1" x14ac:dyDescent="0.25">
      <c r="B818" s="191"/>
      <c r="C818" s="192"/>
      <c r="D818" s="192"/>
      <c r="E818" s="192"/>
      <c r="F818" s="192"/>
      <c r="G818" s="192"/>
      <c r="H818" s="192"/>
      <c r="I818" s="192"/>
      <c r="J818" s="192"/>
      <c r="K818" s="192"/>
      <c r="L818" s="192"/>
      <c r="M818" s="192"/>
      <c r="N818" s="192"/>
      <c r="O818" s="192"/>
      <c r="P818" s="192"/>
      <c r="Q818" s="192"/>
      <c r="R818" s="192"/>
      <c r="S818" s="192"/>
      <c r="T818" s="192"/>
      <c r="U818" s="192"/>
      <c r="V818" s="192"/>
      <c r="W818" s="192"/>
      <c r="X818" s="192"/>
      <c r="Y818" s="192"/>
      <c r="Z818" s="192"/>
      <c r="AA818" s="192"/>
      <c r="AB818" s="192"/>
      <c r="AC818" s="192"/>
      <c r="AD818" s="192"/>
      <c r="AE818" s="192"/>
      <c r="AF818" s="192"/>
      <c r="AG818" s="192"/>
      <c r="AH818" s="192"/>
      <c r="AI818" s="192"/>
      <c r="AJ818" s="192"/>
      <c r="AK818" s="192"/>
      <c r="AL818" s="192"/>
      <c r="AM818" s="192"/>
      <c r="AN818" s="192"/>
      <c r="AO818" s="192"/>
      <c r="AP818" s="192"/>
      <c r="AQ818" s="192"/>
      <c r="AR818" s="192"/>
      <c r="AS818" s="192"/>
      <c r="AT818" s="192"/>
      <c r="AU818" s="192"/>
      <c r="AV818" s="192"/>
      <c r="AW818" s="192"/>
      <c r="AX818" s="192"/>
      <c r="AY818" s="192"/>
      <c r="AZ818" s="192"/>
      <c r="BA818" s="192"/>
      <c r="BB818" s="192"/>
      <c r="BC818" s="192"/>
      <c r="BD818" s="192"/>
      <c r="BE818" s="192"/>
      <c r="BF818" s="192"/>
      <c r="BG818" s="192"/>
      <c r="BH818" s="192"/>
      <c r="BI818" s="192"/>
      <c r="BJ818" s="192"/>
      <c r="BK818" s="192"/>
      <c r="BL818" s="192"/>
      <c r="BM818" s="192"/>
      <c r="BN818" s="192"/>
    </row>
    <row r="819" spans="1:66" s="20" customFormat="1" ht="24.95" customHeight="1" x14ac:dyDescent="0.25">
      <c r="E819" s="25"/>
      <c r="F819" s="25"/>
      <c r="G819" s="25"/>
      <c r="H819" s="25"/>
      <c r="I819" s="25"/>
      <c r="J819" s="25"/>
      <c r="K819" s="25"/>
      <c r="L819" s="25"/>
      <c r="M819" s="21"/>
      <c r="N819" s="21"/>
      <c r="O819" s="21"/>
      <c r="P819" s="21"/>
      <c r="Q819" s="21"/>
      <c r="R819" s="21"/>
      <c r="S819" s="21"/>
      <c r="T819" s="192"/>
      <c r="U819" s="192"/>
      <c r="V819" s="192"/>
      <c r="W819" s="192"/>
      <c r="X819" s="192"/>
      <c r="Y819" s="192"/>
      <c r="Z819" s="192"/>
      <c r="AA819" s="192"/>
      <c r="AB819" s="192"/>
      <c r="AC819" s="192"/>
      <c r="AD819" s="192"/>
      <c r="AE819" s="192"/>
      <c r="AF819" s="192"/>
      <c r="AG819" s="192"/>
      <c r="AH819" s="192"/>
      <c r="AI819" s="192"/>
      <c r="AJ819" s="192"/>
      <c r="AK819" s="192"/>
      <c r="AL819" s="192"/>
      <c r="AM819" s="192"/>
      <c r="AN819" s="192"/>
      <c r="AO819" s="192"/>
      <c r="AP819" s="192"/>
      <c r="AQ819" s="192"/>
      <c r="AR819" s="192"/>
      <c r="AS819" s="192"/>
      <c r="AT819" s="192"/>
      <c r="AU819" s="192"/>
      <c r="AV819" s="192"/>
      <c r="AW819" s="192"/>
      <c r="AX819" s="192"/>
      <c r="AY819" s="192"/>
      <c r="AZ819" s="192"/>
      <c r="BA819" s="192"/>
      <c r="BB819" s="192"/>
      <c r="BC819" s="192"/>
      <c r="BD819" s="192"/>
      <c r="BE819" s="192"/>
      <c r="BF819" s="192"/>
      <c r="BG819" s="192"/>
      <c r="BH819" s="192"/>
      <c r="BI819" s="192"/>
      <c r="BJ819" s="192"/>
      <c r="BK819" s="192"/>
      <c r="BL819" s="192"/>
      <c r="BM819" s="192"/>
      <c r="BN819" s="192"/>
    </row>
    <row r="820" spans="1:66" s="20" customFormat="1" ht="24.95" customHeight="1" x14ac:dyDescent="0.25">
      <c r="B820" s="64"/>
      <c r="C820" s="62"/>
      <c r="D820" s="21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192"/>
      <c r="U820" s="192"/>
      <c r="V820" s="192"/>
      <c r="W820" s="192"/>
      <c r="X820" s="192"/>
      <c r="Y820" s="192"/>
      <c r="Z820" s="192"/>
      <c r="AA820" s="192"/>
      <c r="AB820" s="192"/>
      <c r="AC820" s="192"/>
      <c r="AD820" s="192"/>
      <c r="AE820" s="192"/>
      <c r="AF820" s="192"/>
      <c r="AG820" s="192"/>
      <c r="AH820" s="192"/>
      <c r="AI820" s="192"/>
      <c r="AJ820" s="192"/>
      <c r="AK820" s="192"/>
      <c r="AL820" s="192"/>
      <c r="AM820" s="192"/>
      <c r="AN820" s="192"/>
      <c r="AO820" s="192"/>
      <c r="AP820" s="192"/>
      <c r="AQ820" s="192"/>
      <c r="AR820" s="192"/>
      <c r="AS820" s="192"/>
      <c r="AT820" s="192"/>
      <c r="AU820" s="192"/>
      <c r="AV820" s="192"/>
      <c r="AW820" s="192"/>
      <c r="AX820" s="192"/>
      <c r="AY820" s="192"/>
      <c r="AZ820" s="192"/>
      <c r="BA820" s="192"/>
      <c r="BB820" s="192"/>
      <c r="BC820" s="192"/>
      <c r="BD820" s="192"/>
      <c r="BE820" s="192"/>
      <c r="BF820" s="192"/>
      <c r="BG820" s="192"/>
      <c r="BH820" s="192"/>
      <c r="BI820" s="192"/>
      <c r="BJ820" s="192"/>
      <c r="BK820" s="192"/>
      <c r="BL820" s="192"/>
      <c r="BM820" s="192"/>
      <c r="BN820" s="192"/>
    </row>
    <row r="821" spans="1:66" s="20" customFormat="1" ht="24.95" customHeight="1" x14ac:dyDescent="0.25">
      <c r="B821" s="64"/>
      <c r="C821" s="62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192"/>
      <c r="U821" s="192"/>
      <c r="V821" s="192"/>
      <c r="W821" s="192"/>
      <c r="X821" s="192"/>
      <c r="Y821" s="192"/>
      <c r="Z821" s="192"/>
      <c r="AA821" s="192"/>
      <c r="AB821" s="192"/>
      <c r="AC821" s="192"/>
      <c r="AD821" s="192"/>
      <c r="AE821" s="192"/>
      <c r="AF821" s="192"/>
      <c r="AG821" s="192"/>
      <c r="AH821" s="192"/>
      <c r="AI821" s="192"/>
      <c r="AJ821" s="192"/>
      <c r="AK821" s="192"/>
      <c r="AL821" s="192"/>
      <c r="AM821" s="192"/>
      <c r="AN821" s="192"/>
      <c r="AO821" s="192"/>
      <c r="AP821" s="192"/>
      <c r="AQ821" s="192"/>
      <c r="AR821" s="192"/>
      <c r="AS821" s="192"/>
      <c r="AT821" s="192"/>
      <c r="AU821" s="192"/>
      <c r="AV821" s="192"/>
      <c r="AW821" s="192"/>
      <c r="AX821" s="192"/>
      <c r="AY821" s="192"/>
      <c r="AZ821" s="192"/>
      <c r="BA821" s="192"/>
      <c r="BB821" s="192"/>
      <c r="BC821" s="192"/>
      <c r="BD821" s="192"/>
      <c r="BE821" s="192"/>
      <c r="BF821" s="192"/>
      <c r="BG821" s="192"/>
      <c r="BH821" s="192"/>
      <c r="BI821" s="192"/>
      <c r="BJ821" s="192"/>
      <c r="BK821" s="192"/>
      <c r="BL821" s="192"/>
      <c r="BM821" s="192"/>
      <c r="BN821" s="192"/>
    </row>
    <row r="822" spans="1:66" s="20" customFormat="1" ht="24.95" customHeight="1" x14ac:dyDescent="0.25">
      <c r="B822" s="45" t="s">
        <v>650</v>
      </c>
      <c r="C822" s="62"/>
      <c r="D822" s="21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192"/>
      <c r="U822" s="192"/>
      <c r="V822" s="192"/>
      <c r="W822" s="192"/>
      <c r="X822" s="192"/>
      <c r="Y822" s="192"/>
      <c r="Z822" s="192"/>
      <c r="AA822" s="192"/>
      <c r="AB822" s="192"/>
      <c r="AC822" s="192"/>
      <c r="AD822" s="192"/>
      <c r="AE822" s="192"/>
      <c r="AF822" s="192"/>
      <c r="AG822" s="192"/>
      <c r="AH822" s="192"/>
      <c r="AI822" s="192"/>
      <c r="AJ822" s="192"/>
      <c r="AK822" s="192"/>
      <c r="AL822" s="192"/>
      <c r="AM822" s="192"/>
      <c r="AN822" s="192"/>
      <c r="AO822" s="192"/>
      <c r="AP822" s="192"/>
      <c r="AQ822" s="192"/>
      <c r="AR822" s="192"/>
      <c r="AS822" s="192"/>
      <c r="AT822" s="192"/>
      <c r="AU822" s="192"/>
      <c r="AV822" s="192"/>
      <c r="AW822" s="192"/>
      <c r="AX822" s="192"/>
      <c r="AY822" s="192"/>
      <c r="AZ822" s="192"/>
      <c r="BA822" s="192"/>
      <c r="BB822" s="192"/>
      <c r="BC822" s="192"/>
      <c r="BD822" s="192"/>
      <c r="BE822" s="192"/>
      <c r="BF822" s="192"/>
      <c r="BG822" s="192"/>
      <c r="BH822" s="192"/>
      <c r="BI822" s="192"/>
      <c r="BJ822" s="192"/>
      <c r="BK822" s="192"/>
      <c r="BL822" s="192"/>
      <c r="BM822" s="192"/>
      <c r="BN822" s="192"/>
    </row>
    <row r="823" spans="1:66" s="20" customFormat="1" ht="24.95" customHeight="1" x14ac:dyDescent="0.25">
      <c r="B823" s="63">
        <v>58</v>
      </c>
      <c r="C823" s="63">
        <v>50</v>
      </c>
      <c r="D823" s="63">
        <v>42</v>
      </c>
      <c r="E823" s="63">
        <v>34</v>
      </c>
      <c r="F823" s="63">
        <v>26</v>
      </c>
      <c r="G823" s="63">
        <v>18</v>
      </c>
      <c r="H823" s="63">
        <v>10</v>
      </c>
      <c r="I823" s="63">
        <v>2</v>
      </c>
      <c r="J823" s="21">
        <v>1</v>
      </c>
      <c r="K823" s="190">
        <f>AP817</f>
        <v>0</v>
      </c>
      <c r="L823" s="189">
        <f>J817</f>
        <v>0</v>
      </c>
      <c r="M823" s="190">
        <f>AX817</f>
        <v>1</v>
      </c>
      <c r="N823" s="190">
        <f>R817</f>
        <v>1</v>
      </c>
      <c r="O823" s="190">
        <f>BF817</f>
        <v>1</v>
      </c>
      <c r="P823" s="190">
        <f>Z817</f>
        <v>0</v>
      </c>
      <c r="Q823" s="190">
        <f>BN817</f>
        <v>0</v>
      </c>
      <c r="R823" s="190">
        <f>AH817</f>
        <v>1</v>
      </c>
      <c r="S823" s="21">
        <v>8</v>
      </c>
      <c r="T823" s="192"/>
      <c r="U823" s="192"/>
      <c r="V823" s="192"/>
      <c r="W823" s="192"/>
      <c r="X823" s="192"/>
      <c r="Y823" s="192"/>
      <c r="Z823" s="192"/>
      <c r="AA823" s="192"/>
      <c r="AB823" s="192"/>
      <c r="AC823" s="192"/>
      <c r="AD823" s="192"/>
      <c r="AE823" s="192"/>
      <c r="AF823" s="192"/>
      <c r="AG823" s="192"/>
      <c r="AH823" s="192"/>
      <c r="AI823" s="192"/>
      <c r="AJ823" s="192"/>
      <c r="AK823" s="192"/>
      <c r="AL823" s="192"/>
      <c r="AM823" s="192"/>
      <c r="AN823" s="192"/>
      <c r="AO823" s="192"/>
      <c r="AP823" s="192"/>
      <c r="AQ823" s="192"/>
      <c r="AR823" s="192"/>
      <c r="AS823" s="192"/>
      <c r="AT823" s="192"/>
      <c r="AU823" s="192"/>
      <c r="AV823" s="192"/>
      <c r="AW823" s="192"/>
      <c r="AX823" s="192"/>
      <c r="AY823" s="192"/>
      <c r="AZ823" s="192"/>
      <c r="BA823" s="192"/>
      <c r="BB823" s="192"/>
      <c r="BC823" s="192"/>
      <c r="BD823" s="192"/>
      <c r="BE823" s="192"/>
      <c r="BF823" s="192"/>
      <c r="BG823" s="192"/>
      <c r="BH823" s="192"/>
      <c r="BI823" s="192"/>
      <c r="BJ823" s="192"/>
      <c r="BK823" s="192"/>
      <c r="BL823" s="192"/>
      <c r="BM823" s="192"/>
      <c r="BN823" s="192"/>
    </row>
    <row r="824" spans="1:66" s="20" customFormat="1" ht="24.95" customHeight="1" x14ac:dyDescent="0.25">
      <c r="B824" s="65">
        <v>60</v>
      </c>
      <c r="C824" s="65">
        <v>52</v>
      </c>
      <c r="D824" s="65">
        <v>44</v>
      </c>
      <c r="E824" s="65">
        <v>36</v>
      </c>
      <c r="F824" s="65">
        <v>28</v>
      </c>
      <c r="G824" s="65">
        <v>20</v>
      </c>
      <c r="H824" s="65">
        <v>12</v>
      </c>
      <c r="I824" s="65">
        <v>4</v>
      </c>
      <c r="J824" s="21">
        <v>9</v>
      </c>
      <c r="K824" s="68">
        <f>AO817</f>
        <v>0</v>
      </c>
      <c r="L824" s="68">
        <f>I817</f>
        <v>1</v>
      </c>
      <c r="M824" s="68">
        <f>AW817</f>
        <v>1</v>
      </c>
      <c r="N824" s="68">
        <f>Q817</f>
        <v>1</v>
      </c>
      <c r="O824" s="68">
        <f>BE817</f>
        <v>0</v>
      </c>
      <c r="P824" s="68">
        <f>Y817</f>
        <v>0</v>
      </c>
      <c r="Q824" s="68">
        <f>BM817</f>
        <v>0</v>
      </c>
      <c r="R824" s="68">
        <f>AG817</f>
        <v>1</v>
      </c>
      <c r="S824" s="21">
        <v>16</v>
      </c>
      <c r="T824" s="192"/>
      <c r="U824" s="192"/>
      <c r="V824" s="192"/>
      <c r="W824" s="192"/>
      <c r="X824" s="192"/>
      <c r="Y824" s="192"/>
      <c r="Z824" s="192"/>
      <c r="AA824" s="192"/>
      <c r="AB824" s="192"/>
      <c r="AC824" s="192"/>
      <c r="AD824" s="192"/>
      <c r="AE824" s="192"/>
      <c r="AF824" s="192"/>
      <c r="AG824" s="192"/>
      <c r="AH824" s="192"/>
      <c r="AI824" s="192"/>
      <c r="AJ824" s="192"/>
      <c r="AK824" s="192"/>
      <c r="AL824" s="192"/>
      <c r="AM824" s="192"/>
      <c r="AN824" s="192"/>
      <c r="AO824" s="192"/>
      <c r="AP824" s="192"/>
      <c r="AQ824" s="192"/>
      <c r="AR824" s="192"/>
      <c r="AS824" s="192"/>
      <c r="AT824" s="192"/>
      <c r="AU824" s="192"/>
      <c r="AV824" s="192"/>
      <c r="AW824" s="192"/>
      <c r="AX824" s="192"/>
      <c r="AY824" s="192"/>
      <c r="AZ824" s="192"/>
      <c r="BA824" s="192"/>
      <c r="BB824" s="192"/>
      <c r="BC824" s="192"/>
      <c r="BD824" s="192"/>
      <c r="BE824" s="192"/>
      <c r="BF824" s="192"/>
      <c r="BG824" s="192"/>
      <c r="BH824" s="192"/>
      <c r="BI824" s="192"/>
      <c r="BJ824" s="192"/>
      <c r="BK824" s="192"/>
      <c r="BL824" s="192"/>
      <c r="BM824" s="192"/>
      <c r="BN824" s="192"/>
    </row>
    <row r="825" spans="1:66" s="20" customFormat="1" ht="24.95" customHeight="1" x14ac:dyDescent="0.25">
      <c r="B825" s="65">
        <v>62</v>
      </c>
      <c r="C825" s="65">
        <v>54</v>
      </c>
      <c r="D825" s="65">
        <v>46</v>
      </c>
      <c r="E825" s="65">
        <v>38</v>
      </c>
      <c r="F825" s="65">
        <v>30</v>
      </c>
      <c r="G825" s="65">
        <v>22</v>
      </c>
      <c r="H825" s="65">
        <v>14</v>
      </c>
      <c r="I825" s="65">
        <v>6</v>
      </c>
      <c r="J825" s="21">
        <v>17</v>
      </c>
      <c r="K825" s="68">
        <f>AN817</f>
        <v>0</v>
      </c>
      <c r="L825" s="68">
        <f>H817</f>
        <v>1</v>
      </c>
      <c r="M825" s="68">
        <f>AV817</f>
        <v>0</v>
      </c>
      <c r="N825" s="68">
        <f>P817</f>
        <v>0</v>
      </c>
      <c r="O825" s="68">
        <f>BD817</f>
        <v>1</v>
      </c>
      <c r="P825" s="68">
        <f>X817</f>
        <v>1</v>
      </c>
      <c r="Q825" s="68">
        <f>BL817</f>
        <v>1</v>
      </c>
      <c r="R825" s="68">
        <f>AF817</f>
        <v>1</v>
      </c>
      <c r="S825" s="21">
        <v>24</v>
      </c>
    </row>
    <row r="826" spans="1:66" s="20" customFormat="1" ht="24.95" customHeight="1" x14ac:dyDescent="0.25">
      <c r="B826" s="65">
        <v>64</v>
      </c>
      <c r="C826" s="65">
        <v>56</v>
      </c>
      <c r="D826" s="65">
        <v>48</v>
      </c>
      <c r="E826" s="65">
        <v>40</v>
      </c>
      <c r="F826" s="65">
        <v>32</v>
      </c>
      <c r="G826" s="65">
        <v>24</v>
      </c>
      <c r="H826" s="65">
        <v>16</v>
      </c>
      <c r="I826" s="65">
        <v>8</v>
      </c>
      <c r="J826" s="66">
        <v>25</v>
      </c>
      <c r="K826" s="68">
        <f>AM817</f>
        <v>0</v>
      </c>
      <c r="L826" s="68">
        <f>G817</f>
        <v>1</v>
      </c>
      <c r="M826" s="68">
        <f>AU817</f>
        <v>1</v>
      </c>
      <c r="N826" s="68">
        <f>O817</f>
        <v>1</v>
      </c>
      <c r="O826" s="68">
        <f>BC817</f>
        <v>0</v>
      </c>
      <c r="P826" s="68">
        <f>W817</f>
        <v>0</v>
      </c>
      <c r="Q826" s="68">
        <f>BK817</f>
        <v>1</v>
      </c>
      <c r="R826" s="68">
        <f>AE817</f>
        <v>1</v>
      </c>
      <c r="S826" s="21">
        <v>32</v>
      </c>
    </row>
    <row r="827" spans="1:66" s="20" customFormat="1" ht="24.95" customHeight="1" x14ac:dyDescent="0.25">
      <c r="B827" s="65">
        <v>57</v>
      </c>
      <c r="C827" s="65">
        <v>49</v>
      </c>
      <c r="D827" s="65">
        <v>41</v>
      </c>
      <c r="E827" s="65">
        <v>33</v>
      </c>
      <c r="F827" s="65">
        <v>25</v>
      </c>
      <c r="G827" s="65">
        <v>17</v>
      </c>
      <c r="H827" s="65">
        <v>9</v>
      </c>
      <c r="I827" s="65">
        <v>1</v>
      </c>
      <c r="J827" s="21">
        <v>33</v>
      </c>
      <c r="K827" s="69">
        <f>AL817</f>
        <v>1</v>
      </c>
      <c r="L827" s="69">
        <f>F817</f>
        <v>1</v>
      </c>
      <c r="M827" s="69">
        <f>AT817</f>
        <v>0</v>
      </c>
      <c r="N827" s="69">
        <f>N817</f>
        <v>1</v>
      </c>
      <c r="O827" s="69">
        <f>BB817</f>
        <v>0</v>
      </c>
      <c r="P827" s="69">
        <f>V817</f>
        <v>1</v>
      </c>
      <c r="Q827" s="69">
        <f>BJ817</f>
        <v>1</v>
      </c>
      <c r="R827" s="69">
        <f>AD817</f>
        <v>0</v>
      </c>
      <c r="S827" s="21">
        <v>40</v>
      </c>
    </row>
    <row r="828" spans="1:66" s="20" customFormat="1" ht="24.95" customHeight="1" x14ac:dyDescent="0.25">
      <c r="B828" s="65">
        <v>59</v>
      </c>
      <c r="C828" s="65">
        <v>51</v>
      </c>
      <c r="D828" s="65">
        <v>43</v>
      </c>
      <c r="E828" s="65">
        <v>35</v>
      </c>
      <c r="F828" s="65">
        <v>27</v>
      </c>
      <c r="G828" s="65">
        <v>19</v>
      </c>
      <c r="H828" s="65">
        <v>11</v>
      </c>
      <c r="I828" s="65">
        <v>3</v>
      </c>
      <c r="J828" s="21">
        <v>41</v>
      </c>
      <c r="K828" s="69">
        <f>AK817</f>
        <v>0</v>
      </c>
      <c r="L828" s="69">
        <f>E817</f>
        <v>1</v>
      </c>
      <c r="M828" s="69">
        <f>AS817</f>
        <v>0</v>
      </c>
      <c r="N828" s="69">
        <f>M817</f>
        <v>0</v>
      </c>
      <c r="O828" s="69">
        <f>BA817</f>
        <v>1</v>
      </c>
      <c r="P828" s="69">
        <f>U817</f>
        <v>1</v>
      </c>
      <c r="Q828" s="69">
        <f>BI817</f>
        <v>0</v>
      </c>
      <c r="R828" s="69">
        <f>AC817</f>
        <v>1</v>
      </c>
      <c r="S828" s="21">
        <v>48</v>
      </c>
    </row>
    <row r="829" spans="1:66" s="20" customFormat="1" ht="24.95" customHeight="1" x14ac:dyDescent="0.25">
      <c r="B829" s="65">
        <v>61</v>
      </c>
      <c r="C829" s="65">
        <v>53</v>
      </c>
      <c r="D829" s="65">
        <v>45</v>
      </c>
      <c r="E829" s="65">
        <v>37</v>
      </c>
      <c r="F829" s="65">
        <v>29</v>
      </c>
      <c r="G829" s="65">
        <v>21</v>
      </c>
      <c r="H829" s="65">
        <v>13</v>
      </c>
      <c r="I829" s="65">
        <v>5</v>
      </c>
      <c r="J829" s="21">
        <v>49</v>
      </c>
      <c r="K829" s="69">
        <f>AJ817</f>
        <v>0</v>
      </c>
      <c r="L829" s="69">
        <f>D817</f>
        <v>1</v>
      </c>
      <c r="M829" s="69">
        <f>AR817</f>
        <v>1</v>
      </c>
      <c r="N829" s="69">
        <f>L817</f>
        <v>1</v>
      </c>
      <c r="O829" s="69">
        <f>AZ817</f>
        <v>0</v>
      </c>
      <c r="P829" s="69">
        <f>T817</f>
        <v>1</v>
      </c>
      <c r="Q829" s="69">
        <f>BH817</f>
        <v>0</v>
      </c>
      <c r="R829" s="69">
        <f>AB817</f>
        <v>0</v>
      </c>
      <c r="S829" s="21">
        <v>56</v>
      </c>
    </row>
    <row r="830" spans="1:66" s="20" customFormat="1" ht="24.95" customHeight="1" x14ac:dyDescent="0.25">
      <c r="B830" s="65">
        <v>63</v>
      </c>
      <c r="C830" s="65">
        <v>55</v>
      </c>
      <c r="D830" s="65">
        <v>47</v>
      </c>
      <c r="E830" s="65">
        <v>39</v>
      </c>
      <c r="F830" s="65">
        <v>31</v>
      </c>
      <c r="G830" s="65">
        <v>23</v>
      </c>
      <c r="H830" s="65">
        <v>15</v>
      </c>
      <c r="I830" s="65">
        <v>7</v>
      </c>
      <c r="J830" s="21">
        <v>57</v>
      </c>
      <c r="K830" s="69">
        <f>AI817</f>
        <v>0</v>
      </c>
      <c r="L830" s="69">
        <f>C817</f>
        <v>0</v>
      </c>
      <c r="M830" s="69">
        <f>AQ817</f>
        <v>1</v>
      </c>
      <c r="N830" s="69">
        <f>K817</f>
        <v>1</v>
      </c>
      <c r="O830" s="69">
        <f>AY817</f>
        <v>1</v>
      </c>
      <c r="P830" s="69">
        <f>S817</f>
        <v>0</v>
      </c>
      <c r="Q830" s="69">
        <f>BG817</f>
        <v>0</v>
      </c>
      <c r="R830" s="69">
        <f>AA817</f>
        <v>0</v>
      </c>
      <c r="S830" s="21">
        <v>64</v>
      </c>
    </row>
    <row r="831" spans="1:66" s="20" customFormat="1" ht="24.95" customHeight="1" x14ac:dyDescent="0.25">
      <c r="B831" s="64"/>
      <c r="C831" s="62"/>
      <c r="D831" s="21"/>
      <c r="E831" s="21"/>
      <c r="F831" s="21"/>
      <c r="G831" s="21"/>
      <c r="H831" s="21"/>
      <c r="I831" s="21"/>
      <c r="J831" s="21"/>
      <c r="K831" s="21">
        <v>40</v>
      </c>
      <c r="L831" s="21">
        <v>8</v>
      </c>
      <c r="M831" s="21">
        <v>48</v>
      </c>
      <c r="N831" s="21">
        <v>16</v>
      </c>
      <c r="O831" s="21">
        <v>56</v>
      </c>
      <c r="P831" s="21">
        <v>24</v>
      </c>
      <c r="Q831" s="21">
        <v>64</v>
      </c>
      <c r="R831" s="21">
        <v>32</v>
      </c>
      <c r="S831" s="21"/>
    </row>
    <row r="832" spans="1:66" s="20" customFormat="1" ht="24.95" customHeight="1" x14ac:dyDescent="0.25">
      <c r="B832" s="191"/>
      <c r="C832" s="192"/>
    </row>
    <row r="833" spans="1:66" s="20" customFormat="1" ht="24.95" customHeight="1" x14ac:dyDescent="0.25">
      <c r="B833" s="191"/>
      <c r="C833" s="192"/>
    </row>
    <row r="834" spans="1:66" s="20" customFormat="1" ht="24.95" customHeight="1" x14ac:dyDescent="0.25">
      <c r="B834" s="191"/>
      <c r="C834" s="192"/>
    </row>
    <row r="835" spans="1:66" ht="24.95" customHeight="1" x14ac:dyDescent="0.25">
      <c r="A835" s="169" t="s">
        <v>629</v>
      </c>
    </row>
    <row r="836" spans="1:66" ht="24.95" customHeight="1" x14ac:dyDescent="0.25">
      <c r="A836" s="259" t="s">
        <v>629</v>
      </c>
      <c r="C836" s="196">
        <v>1</v>
      </c>
      <c r="D836" s="197">
        <v>2</v>
      </c>
      <c r="E836" s="196">
        <v>3</v>
      </c>
      <c r="F836" s="197">
        <v>4</v>
      </c>
      <c r="G836" s="196">
        <v>5</v>
      </c>
      <c r="H836" s="197">
        <v>6</v>
      </c>
      <c r="I836" s="196">
        <v>7</v>
      </c>
      <c r="J836" s="197">
        <v>8</v>
      </c>
      <c r="K836" s="196">
        <v>9</v>
      </c>
      <c r="L836" s="197">
        <v>10</v>
      </c>
      <c r="M836" s="196">
        <v>11</v>
      </c>
      <c r="N836" s="197">
        <v>12</v>
      </c>
      <c r="O836" s="196">
        <v>13</v>
      </c>
      <c r="P836" s="197">
        <v>14</v>
      </c>
      <c r="Q836" s="196">
        <v>15</v>
      </c>
      <c r="R836" s="197">
        <v>16</v>
      </c>
      <c r="S836" s="196">
        <v>17</v>
      </c>
      <c r="T836" s="197">
        <v>18</v>
      </c>
      <c r="U836" s="196">
        <v>19</v>
      </c>
      <c r="V836" s="197">
        <v>20</v>
      </c>
      <c r="W836" s="196">
        <v>21</v>
      </c>
      <c r="X836" s="197">
        <v>22</v>
      </c>
      <c r="Y836" s="196">
        <v>23</v>
      </c>
      <c r="Z836" s="197">
        <v>24</v>
      </c>
      <c r="AA836" s="196">
        <v>25</v>
      </c>
      <c r="AB836" s="197">
        <v>26</v>
      </c>
      <c r="AC836" s="196">
        <v>27</v>
      </c>
      <c r="AD836" s="197">
        <v>28</v>
      </c>
      <c r="AE836" s="196">
        <v>29</v>
      </c>
      <c r="AF836" s="197">
        <v>30</v>
      </c>
      <c r="AG836" s="196">
        <v>31</v>
      </c>
      <c r="AH836" s="196">
        <v>32</v>
      </c>
      <c r="AI836" s="198">
        <v>33</v>
      </c>
      <c r="AJ836" s="199">
        <v>34</v>
      </c>
      <c r="AK836" s="199">
        <v>35</v>
      </c>
      <c r="AL836" s="198">
        <v>36</v>
      </c>
      <c r="AM836" s="199">
        <v>37</v>
      </c>
      <c r="AN836" s="199">
        <v>38</v>
      </c>
      <c r="AO836" s="198">
        <v>39</v>
      </c>
      <c r="AP836" s="199">
        <v>40</v>
      </c>
      <c r="AQ836" s="199">
        <v>41</v>
      </c>
      <c r="AR836" s="198">
        <v>42</v>
      </c>
      <c r="AS836" s="199">
        <v>43</v>
      </c>
      <c r="AT836" s="199">
        <v>44</v>
      </c>
      <c r="AU836" s="198">
        <v>45</v>
      </c>
      <c r="AV836" s="199">
        <v>46</v>
      </c>
      <c r="AW836" s="199">
        <v>47</v>
      </c>
      <c r="AX836" s="198">
        <v>48</v>
      </c>
      <c r="AY836" s="199">
        <v>49</v>
      </c>
      <c r="AZ836" s="199">
        <v>50</v>
      </c>
      <c r="BA836" s="198">
        <v>51</v>
      </c>
      <c r="BB836" s="199">
        <v>52</v>
      </c>
      <c r="BC836" s="199">
        <v>53</v>
      </c>
      <c r="BD836" s="198">
        <v>54</v>
      </c>
      <c r="BE836" s="199">
        <v>55</v>
      </c>
      <c r="BF836" s="199">
        <v>56</v>
      </c>
      <c r="BG836" s="198">
        <v>57</v>
      </c>
      <c r="BH836" s="199">
        <v>58</v>
      </c>
      <c r="BI836" s="199">
        <v>59</v>
      </c>
      <c r="BJ836" s="198">
        <v>60</v>
      </c>
      <c r="BK836" s="199">
        <v>61</v>
      </c>
      <c r="BL836" s="199">
        <v>62</v>
      </c>
      <c r="BM836" s="198">
        <v>63</v>
      </c>
      <c r="BN836" s="199">
        <v>64</v>
      </c>
    </row>
    <row r="837" spans="1:66" ht="24.95" customHeight="1" x14ac:dyDescent="0.25">
      <c r="A837" s="259"/>
      <c r="B837" s="64" t="s">
        <v>630</v>
      </c>
      <c r="C837" s="156">
        <f>K823</f>
        <v>0</v>
      </c>
      <c r="D837" s="185">
        <f t="shared" ref="D837:J837" si="2444">L823</f>
        <v>0</v>
      </c>
      <c r="E837" s="185">
        <f t="shared" si="2444"/>
        <v>1</v>
      </c>
      <c r="F837" s="185">
        <f t="shared" si="2444"/>
        <v>1</v>
      </c>
      <c r="G837" s="185">
        <f t="shared" si="2444"/>
        <v>1</v>
      </c>
      <c r="H837" s="185">
        <f t="shared" si="2444"/>
        <v>0</v>
      </c>
      <c r="I837" s="185">
        <f t="shared" si="2444"/>
        <v>0</v>
      </c>
      <c r="J837" s="185">
        <f t="shared" si="2444"/>
        <v>1</v>
      </c>
      <c r="K837" s="157">
        <f>K824</f>
        <v>0</v>
      </c>
      <c r="L837" s="186">
        <f t="shared" ref="L837:R837" si="2445">L824</f>
        <v>1</v>
      </c>
      <c r="M837" s="186">
        <f t="shared" si="2445"/>
        <v>1</v>
      </c>
      <c r="N837" s="186">
        <f t="shared" si="2445"/>
        <v>1</v>
      </c>
      <c r="O837" s="186">
        <f t="shared" si="2445"/>
        <v>0</v>
      </c>
      <c r="P837" s="186">
        <f t="shared" si="2445"/>
        <v>0</v>
      </c>
      <c r="Q837" s="186">
        <f t="shared" si="2445"/>
        <v>0</v>
      </c>
      <c r="R837" s="186">
        <f t="shared" si="2445"/>
        <v>1</v>
      </c>
      <c r="S837" s="158">
        <f>K825</f>
        <v>0</v>
      </c>
      <c r="T837" s="187">
        <f t="shared" ref="T837:Z837" si="2446">L825</f>
        <v>1</v>
      </c>
      <c r="U837" s="187">
        <f t="shared" si="2446"/>
        <v>0</v>
      </c>
      <c r="V837" s="187">
        <f t="shared" si="2446"/>
        <v>0</v>
      </c>
      <c r="W837" s="187">
        <f t="shared" si="2446"/>
        <v>1</v>
      </c>
      <c r="X837" s="187">
        <f t="shared" si="2446"/>
        <v>1</v>
      </c>
      <c r="Y837" s="187">
        <f t="shared" si="2446"/>
        <v>1</v>
      </c>
      <c r="Z837" s="187">
        <f t="shared" si="2446"/>
        <v>1</v>
      </c>
      <c r="AA837" s="159">
        <f>K826</f>
        <v>0</v>
      </c>
      <c r="AB837" s="182">
        <f t="shared" ref="AB837:AH837" si="2447">L826</f>
        <v>1</v>
      </c>
      <c r="AC837" s="182">
        <f t="shared" si="2447"/>
        <v>1</v>
      </c>
      <c r="AD837" s="182">
        <f t="shared" si="2447"/>
        <v>1</v>
      </c>
      <c r="AE837" s="182">
        <f t="shared" si="2447"/>
        <v>0</v>
      </c>
      <c r="AF837" s="182">
        <f t="shared" si="2447"/>
        <v>0</v>
      </c>
      <c r="AG837" s="182">
        <f t="shared" si="2447"/>
        <v>1</v>
      </c>
      <c r="AH837" s="182">
        <f t="shared" si="2447"/>
        <v>1</v>
      </c>
      <c r="AI837" s="164">
        <f>K827</f>
        <v>1</v>
      </c>
      <c r="AJ837" s="183">
        <f t="shared" ref="AJ837:AP837" si="2448">L827</f>
        <v>1</v>
      </c>
      <c r="AK837" s="183">
        <f t="shared" si="2448"/>
        <v>0</v>
      </c>
      <c r="AL837" s="183">
        <f t="shared" si="2448"/>
        <v>1</v>
      </c>
      <c r="AM837" s="183">
        <f t="shared" si="2448"/>
        <v>0</v>
      </c>
      <c r="AN837" s="183">
        <f t="shared" si="2448"/>
        <v>1</v>
      </c>
      <c r="AO837" s="183">
        <f t="shared" si="2448"/>
        <v>1</v>
      </c>
      <c r="AP837" s="183">
        <f t="shared" si="2448"/>
        <v>0</v>
      </c>
      <c r="AQ837" s="166">
        <f>K828</f>
        <v>0</v>
      </c>
      <c r="AR837" s="184">
        <f t="shared" ref="AR837:AX837" si="2449">L828</f>
        <v>1</v>
      </c>
      <c r="AS837" s="184">
        <f t="shared" si="2449"/>
        <v>0</v>
      </c>
      <c r="AT837" s="184">
        <f t="shared" si="2449"/>
        <v>0</v>
      </c>
      <c r="AU837" s="184">
        <f t="shared" si="2449"/>
        <v>1</v>
      </c>
      <c r="AV837" s="184">
        <f t="shared" si="2449"/>
        <v>1</v>
      </c>
      <c r="AW837" s="184">
        <f t="shared" si="2449"/>
        <v>0</v>
      </c>
      <c r="AX837" s="184">
        <f t="shared" si="2449"/>
        <v>1</v>
      </c>
      <c r="AY837" s="90">
        <f>K829</f>
        <v>0</v>
      </c>
      <c r="AZ837" s="188">
        <f t="shared" ref="AZ837:BF837" si="2450">L829</f>
        <v>1</v>
      </c>
      <c r="BA837" s="188">
        <f t="shared" si="2450"/>
        <v>1</v>
      </c>
      <c r="BB837" s="188">
        <f t="shared" si="2450"/>
        <v>1</v>
      </c>
      <c r="BC837" s="188">
        <f t="shared" si="2450"/>
        <v>0</v>
      </c>
      <c r="BD837" s="188">
        <f t="shared" si="2450"/>
        <v>1</v>
      </c>
      <c r="BE837" s="188">
        <f t="shared" si="2450"/>
        <v>0</v>
      </c>
      <c r="BF837" s="188">
        <f t="shared" si="2450"/>
        <v>0</v>
      </c>
      <c r="BG837" s="92">
        <f>K830</f>
        <v>0</v>
      </c>
      <c r="BH837" s="92">
        <f t="shared" ref="BH837:BN837" si="2451">L830</f>
        <v>0</v>
      </c>
      <c r="BI837" s="92">
        <f t="shared" si="2451"/>
        <v>1</v>
      </c>
      <c r="BJ837" s="92">
        <f t="shared" si="2451"/>
        <v>1</v>
      </c>
      <c r="BK837" s="92">
        <f t="shared" si="2451"/>
        <v>1</v>
      </c>
      <c r="BL837" s="92">
        <f t="shared" si="2451"/>
        <v>0</v>
      </c>
      <c r="BM837" s="92">
        <f t="shared" si="2451"/>
        <v>0</v>
      </c>
      <c r="BN837" s="92">
        <f t="shared" si="2451"/>
        <v>0</v>
      </c>
    </row>
    <row r="838" spans="1:66" ht="24.95" customHeight="1" x14ac:dyDescent="0.25">
      <c r="A838" s="259"/>
      <c r="C838" s="237" t="str">
        <f>CONCATENATE(C837,D837,E837,F837,G837,H837,I837,J837)</f>
        <v>00111001</v>
      </c>
      <c r="D838" s="237"/>
      <c r="E838" s="237"/>
      <c r="F838" s="237"/>
      <c r="G838" s="237"/>
      <c r="H838" s="237"/>
      <c r="I838" s="237"/>
      <c r="J838" s="237"/>
      <c r="K838" s="266" t="str">
        <f>CONCATENATE(K837,L837,M837,N837,O837,P837,Q837,R837)</f>
        <v>01110001</v>
      </c>
      <c r="L838" s="266"/>
      <c r="M838" s="266"/>
      <c r="N838" s="266"/>
      <c r="O838" s="266"/>
      <c r="P838" s="266"/>
      <c r="Q838" s="266"/>
      <c r="R838" s="266"/>
      <c r="S838" s="268" t="str">
        <f>CONCATENATE(S837,T837,U837,V837,W837,X837,Y837,Z837)</f>
        <v>01001111</v>
      </c>
      <c r="T838" s="268"/>
      <c r="U838" s="268"/>
      <c r="V838" s="268"/>
      <c r="W838" s="268"/>
      <c r="X838" s="268"/>
      <c r="Y838" s="268"/>
      <c r="Z838" s="268"/>
      <c r="AA838" s="238" t="str">
        <f>CONCATENATE(AA837,AB837,AC837,AD837,AE837,AF837,AG837,AH837)</f>
        <v>01110011</v>
      </c>
      <c r="AB838" s="238"/>
      <c r="AC838" s="238"/>
      <c r="AD838" s="238"/>
      <c r="AE838" s="238"/>
      <c r="AF838" s="238"/>
      <c r="AG838" s="238"/>
      <c r="AH838" s="238"/>
      <c r="AI838" s="261" t="str">
        <f>CONCATENATE(AI837,AJ837,AK837,AL837,AM837,AN837,AO837,AP837)</f>
        <v>11010110</v>
      </c>
      <c r="AJ838" s="261"/>
      <c r="AK838" s="261"/>
      <c r="AL838" s="261"/>
      <c r="AM838" s="261"/>
      <c r="AN838" s="261"/>
      <c r="AO838" s="261"/>
      <c r="AP838" s="261"/>
      <c r="AQ838" s="263" t="str">
        <f>CONCATENATE(AQ837,AR837,AS837,AT837,AU837,AV837,AW837,AX837)</f>
        <v>01001101</v>
      </c>
      <c r="AR838" s="263"/>
      <c r="AS838" s="263"/>
      <c r="AT838" s="263"/>
      <c r="AU838" s="263"/>
      <c r="AV838" s="263"/>
      <c r="AW838" s="263"/>
      <c r="AX838" s="263"/>
      <c r="AY838" s="239" t="str">
        <f>CONCATENATE(AY837,AZ837,BA837,BB837,BC837,BD837,BE837,BF837)</f>
        <v>01110100</v>
      </c>
      <c r="AZ838" s="239"/>
      <c r="BA838" s="239"/>
      <c r="BB838" s="239"/>
      <c r="BC838" s="239"/>
      <c r="BD838" s="239"/>
      <c r="BE838" s="239"/>
      <c r="BF838" s="239"/>
      <c r="BG838" s="257" t="str">
        <f>CONCATENATE(BG837,BH837,BI837,BJ837,BK837,BL837,BM837,BN837)</f>
        <v>00111000</v>
      </c>
      <c r="BH838" s="257"/>
      <c r="BI838" s="257"/>
      <c r="BJ838" s="257"/>
      <c r="BK838" s="257"/>
      <c r="BL838" s="257"/>
      <c r="BM838" s="257"/>
      <c r="BN838" s="257"/>
    </row>
    <row r="839" spans="1:66" ht="24.95" customHeight="1" x14ac:dyDescent="0.25">
      <c r="A839" s="259"/>
      <c r="C839" s="265" t="str">
        <f>VLOOKUP(C838,'Letter conv.'!$M$2:$N$258,2,FALSE)</f>
        <v>1E</v>
      </c>
      <c r="D839" s="265"/>
      <c r="E839" s="265"/>
      <c r="F839" s="265"/>
      <c r="G839" s="265"/>
      <c r="H839" s="265"/>
      <c r="I839" s="265"/>
      <c r="J839" s="265"/>
      <c r="K839" s="267" t="str">
        <f>VLOOKUP(K838,'Letter conv.'!$M$2:$N$258,2,FALSE)</f>
        <v>2I</v>
      </c>
      <c r="L839" s="267"/>
      <c r="M839" s="267"/>
      <c r="N839" s="267"/>
      <c r="O839" s="267"/>
      <c r="P839" s="267"/>
      <c r="Q839" s="267"/>
      <c r="R839" s="267"/>
      <c r="S839" s="269" t="str">
        <f>VLOOKUP(S838,'Letter conv.'!$M$2:$N$258,2,FALSE)</f>
        <v>1a</v>
      </c>
      <c r="T839" s="269"/>
      <c r="U839" s="269"/>
      <c r="V839" s="269"/>
      <c r="W839" s="269"/>
      <c r="X839" s="269"/>
      <c r="Y839" s="269"/>
      <c r="Z839" s="269"/>
      <c r="AA839" s="260" t="str">
        <f>VLOOKUP(AA838,'Letter conv.'!$M$2:$N$258,2,FALSE)</f>
        <v>2K</v>
      </c>
      <c r="AB839" s="260"/>
      <c r="AC839" s="260"/>
      <c r="AD839" s="260"/>
      <c r="AE839" s="260"/>
      <c r="AF839" s="260"/>
      <c r="AG839" s="260"/>
      <c r="AH839" s="260"/>
      <c r="AI839" s="262" t="str">
        <f>VLOOKUP(AI838,'Letter conv.'!$M$2:$N$258,2,FALSE)</f>
        <v>4G</v>
      </c>
      <c r="AJ839" s="262"/>
      <c r="AK839" s="262"/>
      <c r="AL839" s="262"/>
      <c r="AM839" s="262"/>
      <c r="AN839" s="262"/>
      <c r="AO839" s="262"/>
      <c r="AP839" s="262"/>
      <c r="AQ839" s="264" t="str">
        <f>VLOOKUP(AQ838,'Letter conv.'!$M$2:$N$258,2,FALSE)</f>
        <v>1Y</v>
      </c>
      <c r="AR839" s="264"/>
      <c r="AS839" s="264"/>
      <c r="AT839" s="264"/>
      <c r="AU839" s="264"/>
      <c r="AV839" s="264"/>
      <c r="AW839" s="264"/>
      <c r="AX839" s="264"/>
      <c r="AY839" s="256" t="str">
        <f>VLOOKUP(AY838,'Letter conv.'!$M$2:$N$258,2,FALSE)</f>
        <v>2L</v>
      </c>
      <c r="AZ839" s="256"/>
      <c r="BA839" s="256"/>
      <c r="BB839" s="256"/>
      <c r="BC839" s="256"/>
      <c r="BD839" s="256"/>
      <c r="BE839" s="256"/>
      <c r="BF839" s="256"/>
      <c r="BG839" s="258" t="str">
        <f>VLOOKUP(BG838,'Letter conv.'!$M$2:$N$258,2,FALSE)</f>
        <v>1D</v>
      </c>
      <c r="BH839" s="258"/>
      <c r="BI839" s="258"/>
      <c r="BJ839" s="258"/>
      <c r="BK839" s="258"/>
      <c r="BL839" s="258"/>
      <c r="BM839" s="258"/>
      <c r="BN839" s="258"/>
    </row>
    <row r="842" spans="1:66" ht="24.95" customHeight="1" x14ac:dyDescent="0.25">
      <c r="I842" s="218" t="str">
        <f>C839</f>
        <v>1E</v>
      </c>
      <c r="J842" s="218" t="str">
        <f>K839</f>
        <v>2I</v>
      </c>
      <c r="K842" s="218" t="str">
        <f>S839</f>
        <v>1a</v>
      </c>
      <c r="L842" s="218" t="str">
        <f>AA839</f>
        <v>2K</v>
      </c>
      <c r="M842" s="218" t="str">
        <f>AI839</f>
        <v>4G</v>
      </c>
      <c r="N842" s="218" t="str">
        <f>AQ839</f>
        <v>1Y</v>
      </c>
      <c r="O842" s="218" t="str">
        <f>AY839</f>
        <v>2L</v>
      </c>
      <c r="P842" s="218" t="str">
        <f>BG839</f>
        <v>1D</v>
      </c>
    </row>
  </sheetData>
  <mergeCells count="34">
    <mergeCell ref="AY839:BF839"/>
    <mergeCell ref="BG838:BN838"/>
    <mergeCell ref="BG839:BN839"/>
    <mergeCell ref="A836:A839"/>
    <mergeCell ref="AA839:AH839"/>
    <mergeCell ref="AI838:AP838"/>
    <mergeCell ref="AI839:AP839"/>
    <mergeCell ref="AQ838:AX838"/>
    <mergeCell ref="AQ839:AX839"/>
    <mergeCell ref="C839:J839"/>
    <mergeCell ref="K838:R838"/>
    <mergeCell ref="K839:R839"/>
    <mergeCell ref="S838:Z838"/>
    <mergeCell ref="S839:Z839"/>
    <mergeCell ref="AH5:AO6"/>
    <mergeCell ref="AP5:AW6"/>
    <mergeCell ref="AX5:BE6"/>
    <mergeCell ref="BF5:BM6"/>
    <mergeCell ref="C838:J838"/>
    <mergeCell ref="AA838:AH838"/>
    <mergeCell ref="AY838:BF838"/>
    <mergeCell ref="AY11:BF11"/>
    <mergeCell ref="BG11:BN11"/>
    <mergeCell ref="C11:J11"/>
    <mergeCell ref="K11:R11"/>
    <mergeCell ref="S11:Z11"/>
    <mergeCell ref="AA11:AH11"/>
    <mergeCell ref="AI11:AP11"/>
    <mergeCell ref="AQ11:AX11"/>
    <mergeCell ref="A5:A6"/>
    <mergeCell ref="B5:I6"/>
    <mergeCell ref="J5:Q6"/>
    <mergeCell ref="R5:Y6"/>
    <mergeCell ref="Z5:AG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A833"/>
  <sheetViews>
    <sheetView topLeftCell="A822" zoomScale="80" zoomScaleNormal="80" workbookViewId="0">
      <selection activeCell="BG4" sqref="BG4:BN4"/>
    </sheetView>
  </sheetViews>
  <sheetFormatPr defaultColWidth="8.85546875" defaultRowHeight="15.75" x14ac:dyDescent="0.25"/>
  <cols>
    <col min="1" max="1" width="19.140625" style="13" bestFit="1" customWidth="1"/>
    <col min="2" max="2" width="3.7109375" style="16" customWidth="1"/>
    <col min="3" max="49" width="3.7109375" style="15" customWidth="1"/>
    <col min="50" max="65" width="3.7109375" style="14" customWidth="1"/>
    <col min="66" max="66" width="3.7109375" style="14" bestFit="1" customWidth="1"/>
    <col min="67" max="16384" width="8.85546875" style="14"/>
  </cols>
  <sheetData>
    <row r="1" spans="1:66" x14ac:dyDescent="0.25">
      <c r="B1" s="219" t="str">
        <f>'DES-Enc'!I842</f>
        <v>1E</v>
      </c>
      <c r="C1" s="219" t="str">
        <f>'DES-Enc'!J842</f>
        <v>2I</v>
      </c>
      <c r="D1" s="219" t="str">
        <f>'DES-Enc'!K842</f>
        <v>1a</v>
      </c>
      <c r="E1" s="219" t="str">
        <f>'DES-Enc'!L842</f>
        <v>2K</v>
      </c>
      <c r="F1" s="219" t="str">
        <f>'DES-Enc'!M842</f>
        <v>4G</v>
      </c>
      <c r="G1" s="219" t="str">
        <f>'DES-Enc'!N842</f>
        <v>1Y</v>
      </c>
      <c r="H1" s="219" t="str">
        <f>'DES-Enc'!O842</f>
        <v>2L</v>
      </c>
      <c r="I1" s="219" t="str">
        <f>'DES-Enc'!P842</f>
        <v>1D</v>
      </c>
    </row>
    <row r="3" spans="1:66" s="180" customFormat="1" x14ac:dyDescent="0.25">
      <c r="A3" s="255" t="s">
        <v>629</v>
      </c>
      <c r="B3" s="179"/>
      <c r="C3" s="270" t="str">
        <f>VLOOKUP(C4,'Letter conv.'!$M$2:$N$258,2,FALSE)</f>
        <v>1E</v>
      </c>
      <c r="D3" s="270"/>
      <c r="E3" s="270"/>
      <c r="F3" s="270"/>
      <c r="G3" s="270"/>
      <c r="H3" s="270"/>
      <c r="I3" s="270"/>
      <c r="J3" s="270"/>
      <c r="K3" s="270" t="str">
        <f>VLOOKUP(K4,'Letter conv.'!$M$2:$N$258,2,FALSE)</f>
        <v>2I</v>
      </c>
      <c r="L3" s="270"/>
      <c r="M3" s="270"/>
      <c r="N3" s="270"/>
      <c r="O3" s="270"/>
      <c r="P3" s="270"/>
      <c r="Q3" s="270"/>
      <c r="R3" s="270"/>
      <c r="S3" s="270" t="str">
        <f>VLOOKUP(S4,'Letter conv.'!$M$2:$N$258,2,FALSE)</f>
        <v>1a</v>
      </c>
      <c r="T3" s="270"/>
      <c r="U3" s="270"/>
      <c r="V3" s="270"/>
      <c r="W3" s="270"/>
      <c r="X3" s="270"/>
      <c r="Y3" s="270"/>
      <c r="Z3" s="270"/>
      <c r="AA3" s="270" t="str">
        <f>VLOOKUP(AA4,'Letter conv.'!$M$2:$N$258,2,FALSE)</f>
        <v>2K</v>
      </c>
      <c r="AB3" s="270"/>
      <c r="AC3" s="270"/>
      <c r="AD3" s="270"/>
      <c r="AE3" s="270"/>
      <c r="AF3" s="270"/>
      <c r="AG3" s="270"/>
      <c r="AH3" s="270"/>
      <c r="AI3" s="270" t="str">
        <f>VLOOKUP(AI4,'Letter conv.'!$M$2:$N$258,2,FALSE)</f>
        <v>4G</v>
      </c>
      <c r="AJ3" s="270"/>
      <c r="AK3" s="270"/>
      <c r="AL3" s="270"/>
      <c r="AM3" s="270"/>
      <c r="AN3" s="270"/>
      <c r="AO3" s="270"/>
      <c r="AP3" s="270"/>
      <c r="AQ3" s="270" t="str">
        <f>VLOOKUP(AQ4,'Letter conv.'!$M$2:$N$258,2,FALSE)</f>
        <v>1Y</v>
      </c>
      <c r="AR3" s="270"/>
      <c r="AS3" s="270"/>
      <c r="AT3" s="270"/>
      <c r="AU3" s="270"/>
      <c r="AV3" s="270"/>
      <c r="AW3" s="270"/>
      <c r="AX3" s="270"/>
      <c r="AY3" s="270" t="str">
        <f>VLOOKUP(AY4,'Letter conv.'!$M$2:$N$258,2,FALSE)</f>
        <v>2L</v>
      </c>
      <c r="AZ3" s="270"/>
      <c r="BA3" s="270"/>
      <c r="BB3" s="270"/>
      <c r="BC3" s="270"/>
      <c r="BD3" s="270"/>
      <c r="BE3" s="270"/>
      <c r="BF3" s="270"/>
      <c r="BG3" s="270" t="str">
        <f>VLOOKUP(BG4,'Letter conv.'!$M$2:$N$258,2,FALSE)</f>
        <v>1D</v>
      </c>
      <c r="BH3" s="270"/>
      <c r="BI3" s="270"/>
      <c r="BJ3" s="270"/>
      <c r="BK3" s="270"/>
      <c r="BL3" s="270"/>
      <c r="BM3" s="270"/>
      <c r="BN3" s="270"/>
    </row>
    <row r="4" spans="1:66" s="180" customFormat="1" x14ac:dyDescent="0.25">
      <c r="A4" s="255"/>
      <c r="B4" s="171"/>
      <c r="C4" s="270" t="str">
        <f>CONCATENATE(C5,D5,E5,F5,G5,H5,I5,J5)</f>
        <v>00111001</v>
      </c>
      <c r="D4" s="270"/>
      <c r="E4" s="270"/>
      <c r="F4" s="270"/>
      <c r="G4" s="270"/>
      <c r="H4" s="270"/>
      <c r="I4" s="270"/>
      <c r="J4" s="270"/>
      <c r="K4" s="270" t="str">
        <f>CONCATENATE(K5,L5,M5,N5,O5,P5,Q5,R5)</f>
        <v>01110001</v>
      </c>
      <c r="L4" s="270"/>
      <c r="M4" s="270"/>
      <c r="N4" s="270"/>
      <c r="O4" s="270"/>
      <c r="P4" s="270"/>
      <c r="Q4" s="270"/>
      <c r="R4" s="270"/>
      <c r="S4" s="270" t="str">
        <f>CONCATENATE(S5,T5,U5,V5,W5,X5,Y5,Z5)</f>
        <v>01001111</v>
      </c>
      <c r="T4" s="270"/>
      <c r="U4" s="270"/>
      <c r="V4" s="270"/>
      <c r="W4" s="270"/>
      <c r="X4" s="270"/>
      <c r="Y4" s="270"/>
      <c r="Z4" s="270"/>
      <c r="AA4" s="270" t="str">
        <f>CONCATENATE(AA5,AB5,AC5,AD5,AE5,AF5,AG5,AH5)</f>
        <v>01110011</v>
      </c>
      <c r="AB4" s="270"/>
      <c r="AC4" s="270"/>
      <c r="AD4" s="270"/>
      <c r="AE4" s="270"/>
      <c r="AF4" s="270"/>
      <c r="AG4" s="270"/>
      <c r="AH4" s="270"/>
      <c r="AI4" s="270" t="str">
        <f>CONCATENATE(AI5,AJ5,AK5,AL5,AM5,AN5,AO5,AP5)</f>
        <v>11010110</v>
      </c>
      <c r="AJ4" s="270"/>
      <c r="AK4" s="270"/>
      <c r="AL4" s="270"/>
      <c r="AM4" s="270"/>
      <c r="AN4" s="270"/>
      <c r="AO4" s="270"/>
      <c r="AP4" s="270"/>
      <c r="AQ4" s="270" t="str">
        <f>CONCATENATE(AQ5,AR5,AS5,AT5,AU5,AV5,AW5,AX5)</f>
        <v>01001101</v>
      </c>
      <c r="AR4" s="270"/>
      <c r="AS4" s="270"/>
      <c r="AT4" s="270"/>
      <c r="AU4" s="270"/>
      <c r="AV4" s="270"/>
      <c r="AW4" s="270"/>
      <c r="AX4" s="270"/>
      <c r="AY4" s="270" t="str">
        <f>CONCATENATE(AY5,AZ5,BA5,BB5,BC5,BD5,BE5,BF5)</f>
        <v>01110100</v>
      </c>
      <c r="AZ4" s="270"/>
      <c r="BA4" s="270"/>
      <c r="BB4" s="270"/>
      <c r="BC4" s="270"/>
      <c r="BD4" s="270"/>
      <c r="BE4" s="270"/>
      <c r="BF4" s="270"/>
      <c r="BG4" s="270" t="str">
        <f>CONCATENATE(BG5,BH5,BI5,BJ5,BK5,BL5,BM5,BN5)</f>
        <v>00111000</v>
      </c>
      <c r="BH4" s="270"/>
      <c r="BI4" s="270"/>
      <c r="BJ4" s="270"/>
      <c r="BK4" s="270"/>
      <c r="BL4" s="270"/>
      <c r="BM4" s="270"/>
      <c r="BN4" s="270"/>
    </row>
    <row r="5" spans="1:66" s="180" customFormat="1" x14ac:dyDescent="0.25">
      <c r="A5" s="255"/>
      <c r="B5" s="179" t="s">
        <v>630</v>
      </c>
      <c r="C5" s="170">
        <f>'DES-Enc'!C837</f>
        <v>0</v>
      </c>
      <c r="D5" s="170">
        <f>'DES-Enc'!D837</f>
        <v>0</v>
      </c>
      <c r="E5" s="170">
        <f>'DES-Enc'!E837</f>
        <v>1</v>
      </c>
      <c r="F5" s="170">
        <f>'DES-Enc'!F837</f>
        <v>1</v>
      </c>
      <c r="G5" s="170">
        <f>'DES-Enc'!G837</f>
        <v>1</v>
      </c>
      <c r="H5" s="170">
        <f>'DES-Enc'!H837</f>
        <v>0</v>
      </c>
      <c r="I5" s="170">
        <f>'DES-Enc'!I837</f>
        <v>0</v>
      </c>
      <c r="J5" s="170">
        <f>'DES-Enc'!J837</f>
        <v>1</v>
      </c>
      <c r="K5" s="174">
        <f>'DES-Enc'!K837</f>
        <v>0</v>
      </c>
      <c r="L5" s="174">
        <f>'DES-Enc'!L837</f>
        <v>1</v>
      </c>
      <c r="M5" s="174">
        <f>'DES-Enc'!M837</f>
        <v>1</v>
      </c>
      <c r="N5" s="174">
        <f>'DES-Enc'!N837</f>
        <v>1</v>
      </c>
      <c r="O5" s="174">
        <f>'DES-Enc'!O837</f>
        <v>0</v>
      </c>
      <c r="P5" s="174">
        <f>'DES-Enc'!P837</f>
        <v>0</v>
      </c>
      <c r="Q5" s="174">
        <f>'DES-Enc'!Q837</f>
        <v>0</v>
      </c>
      <c r="R5" s="174">
        <f>'DES-Enc'!R837</f>
        <v>1</v>
      </c>
      <c r="S5" s="177">
        <f>'DES-Enc'!S837</f>
        <v>0</v>
      </c>
      <c r="T5" s="177">
        <f>'DES-Enc'!T837</f>
        <v>1</v>
      </c>
      <c r="U5" s="177">
        <f>'DES-Enc'!U837</f>
        <v>0</v>
      </c>
      <c r="V5" s="177">
        <f>'DES-Enc'!V837</f>
        <v>0</v>
      </c>
      <c r="W5" s="177">
        <f>'DES-Enc'!W837</f>
        <v>1</v>
      </c>
      <c r="X5" s="177">
        <f>'DES-Enc'!X837</f>
        <v>1</v>
      </c>
      <c r="Y5" s="177">
        <f>'DES-Enc'!Y837</f>
        <v>1</v>
      </c>
      <c r="Z5" s="177">
        <f>'DES-Enc'!Z837</f>
        <v>1</v>
      </c>
      <c r="AA5" s="172">
        <f>'DES-Enc'!AA837</f>
        <v>0</v>
      </c>
      <c r="AB5" s="172">
        <f>'DES-Enc'!AB837</f>
        <v>1</v>
      </c>
      <c r="AC5" s="172">
        <f>'DES-Enc'!AC837</f>
        <v>1</v>
      </c>
      <c r="AD5" s="172">
        <f>'DES-Enc'!AD837</f>
        <v>1</v>
      </c>
      <c r="AE5" s="172">
        <f>'DES-Enc'!AE837</f>
        <v>0</v>
      </c>
      <c r="AF5" s="172">
        <f>'DES-Enc'!AF837</f>
        <v>0</v>
      </c>
      <c r="AG5" s="172">
        <f>'DES-Enc'!AG837</f>
        <v>1</v>
      </c>
      <c r="AH5" s="172">
        <f>'DES-Enc'!AH837</f>
        <v>1</v>
      </c>
      <c r="AI5" s="176">
        <f>'DES-Enc'!AI837</f>
        <v>1</v>
      </c>
      <c r="AJ5" s="176">
        <f>'DES-Enc'!AJ837</f>
        <v>1</v>
      </c>
      <c r="AK5" s="176">
        <f>'DES-Enc'!AK837</f>
        <v>0</v>
      </c>
      <c r="AL5" s="176">
        <f>'DES-Enc'!AL837</f>
        <v>1</v>
      </c>
      <c r="AM5" s="176">
        <f>'DES-Enc'!AM837</f>
        <v>0</v>
      </c>
      <c r="AN5" s="176">
        <f>'DES-Enc'!AN837</f>
        <v>1</v>
      </c>
      <c r="AO5" s="176">
        <f>'DES-Enc'!AO837</f>
        <v>1</v>
      </c>
      <c r="AP5" s="176">
        <f>'DES-Enc'!AP837</f>
        <v>0</v>
      </c>
      <c r="AQ5" s="178">
        <f>'DES-Enc'!AQ837</f>
        <v>0</v>
      </c>
      <c r="AR5" s="178">
        <f>'DES-Enc'!AR837</f>
        <v>1</v>
      </c>
      <c r="AS5" s="178">
        <f>'DES-Enc'!AS837</f>
        <v>0</v>
      </c>
      <c r="AT5" s="178">
        <f>'DES-Enc'!AT837</f>
        <v>0</v>
      </c>
      <c r="AU5" s="178">
        <f>'DES-Enc'!AU837</f>
        <v>1</v>
      </c>
      <c r="AV5" s="178">
        <f>'DES-Enc'!AV837</f>
        <v>1</v>
      </c>
      <c r="AW5" s="178">
        <f>'DES-Enc'!AW837</f>
        <v>0</v>
      </c>
      <c r="AX5" s="178">
        <f>'DES-Enc'!AX837</f>
        <v>1</v>
      </c>
      <c r="AY5" s="175">
        <f>'DES-Enc'!AY837</f>
        <v>0</v>
      </c>
      <c r="AZ5" s="175">
        <f>'DES-Enc'!AZ837</f>
        <v>1</v>
      </c>
      <c r="BA5" s="175">
        <f>'DES-Enc'!BA837</f>
        <v>1</v>
      </c>
      <c r="BB5" s="175">
        <f>'DES-Enc'!BB837</f>
        <v>1</v>
      </c>
      <c r="BC5" s="175">
        <f>'DES-Enc'!BC837</f>
        <v>0</v>
      </c>
      <c r="BD5" s="175">
        <f>'DES-Enc'!BD837</f>
        <v>1</v>
      </c>
      <c r="BE5" s="175">
        <f>'DES-Enc'!BE837</f>
        <v>0</v>
      </c>
      <c r="BF5" s="175">
        <f>'DES-Enc'!BF837</f>
        <v>0</v>
      </c>
      <c r="BG5" s="173">
        <f>'DES-Enc'!BG837</f>
        <v>0</v>
      </c>
      <c r="BH5" s="173">
        <f>'DES-Enc'!BH837</f>
        <v>0</v>
      </c>
      <c r="BI5" s="173">
        <f>'DES-Enc'!BI837</f>
        <v>1</v>
      </c>
      <c r="BJ5" s="173">
        <f>'DES-Enc'!BJ837</f>
        <v>1</v>
      </c>
      <c r="BK5" s="173">
        <f>'DES-Enc'!BK837</f>
        <v>1</v>
      </c>
      <c r="BL5" s="173">
        <f>'DES-Enc'!BL837</f>
        <v>0</v>
      </c>
      <c r="BM5" s="173">
        <f>'DES-Enc'!BM837</f>
        <v>0</v>
      </c>
      <c r="BN5" s="173">
        <f>'DES-Enc'!BN837</f>
        <v>0</v>
      </c>
    </row>
    <row r="6" spans="1:66" s="180" customFormat="1" x14ac:dyDescent="0.25">
      <c r="A6" s="255"/>
      <c r="B6" s="179"/>
      <c r="C6" s="181">
        <v>1</v>
      </c>
      <c r="D6" s="181">
        <v>2</v>
      </c>
      <c r="E6" s="181">
        <v>3</v>
      </c>
      <c r="F6" s="181">
        <v>4</v>
      </c>
      <c r="G6" s="181">
        <v>5</v>
      </c>
      <c r="H6" s="181">
        <v>6</v>
      </c>
      <c r="I6" s="181">
        <v>7</v>
      </c>
      <c r="J6" s="181">
        <v>8</v>
      </c>
      <c r="K6" s="181">
        <v>9</v>
      </c>
      <c r="L6" s="181">
        <v>10</v>
      </c>
      <c r="M6" s="181">
        <v>11</v>
      </c>
      <c r="N6" s="181">
        <v>12</v>
      </c>
      <c r="O6" s="181">
        <v>13</v>
      </c>
      <c r="P6" s="181">
        <v>14</v>
      </c>
      <c r="Q6" s="181">
        <v>15</v>
      </c>
      <c r="R6" s="181">
        <v>16</v>
      </c>
      <c r="S6" s="181">
        <v>17</v>
      </c>
      <c r="T6" s="181">
        <v>18</v>
      </c>
      <c r="U6" s="181">
        <v>19</v>
      </c>
      <c r="V6" s="181">
        <v>20</v>
      </c>
      <c r="W6" s="181">
        <v>21</v>
      </c>
      <c r="X6" s="181">
        <v>22</v>
      </c>
      <c r="Y6" s="181">
        <v>23</v>
      </c>
      <c r="Z6" s="181">
        <v>24</v>
      </c>
      <c r="AA6" s="181">
        <v>25</v>
      </c>
      <c r="AB6" s="181">
        <v>26</v>
      </c>
      <c r="AC6" s="181">
        <v>27</v>
      </c>
      <c r="AD6" s="181">
        <v>28</v>
      </c>
      <c r="AE6" s="181">
        <v>29</v>
      </c>
      <c r="AF6" s="181">
        <v>30</v>
      </c>
      <c r="AG6" s="181">
        <v>31</v>
      </c>
      <c r="AH6" s="181">
        <v>32</v>
      </c>
      <c r="AI6" s="181">
        <v>33</v>
      </c>
      <c r="AJ6" s="181">
        <v>34</v>
      </c>
      <c r="AK6" s="181">
        <v>35</v>
      </c>
      <c r="AL6" s="181">
        <v>36</v>
      </c>
      <c r="AM6" s="181">
        <v>37</v>
      </c>
      <c r="AN6" s="181">
        <v>38</v>
      </c>
      <c r="AO6" s="181">
        <v>39</v>
      </c>
      <c r="AP6" s="181">
        <v>40</v>
      </c>
      <c r="AQ6" s="181">
        <v>41</v>
      </c>
      <c r="AR6" s="181">
        <v>42</v>
      </c>
      <c r="AS6" s="181">
        <v>43</v>
      </c>
      <c r="AT6" s="181">
        <v>44</v>
      </c>
      <c r="AU6" s="181">
        <v>45</v>
      </c>
      <c r="AV6" s="181">
        <v>46</v>
      </c>
      <c r="AW6" s="181">
        <v>47</v>
      </c>
      <c r="AX6" s="181">
        <v>48</v>
      </c>
      <c r="AY6" s="181">
        <v>49</v>
      </c>
      <c r="AZ6" s="181">
        <v>50</v>
      </c>
      <c r="BA6" s="181">
        <v>51</v>
      </c>
      <c r="BB6" s="181">
        <v>52</v>
      </c>
      <c r="BC6" s="181">
        <v>53</v>
      </c>
      <c r="BD6" s="181">
        <v>54</v>
      </c>
      <c r="BE6" s="181">
        <v>55</v>
      </c>
      <c r="BF6" s="181">
        <v>56</v>
      </c>
      <c r="BG6" s="181">
        <v>57</v>
      </c>
      <c r="BH6" s="181">
        <v>58</v>
      </c>
      <c r="BI6" s="181">
        <v>59</v>
      </c>
      <c r="BJ6" s="181">
        <v>60</v>
      </c>
      <c r="BK6" s="181">
        <v>61</v>
      </c>
      <c r="BL6" s="181">
        <v>62</v>
      </c>
      <c r="BM6" s="181">
        <v>63</v>
      </c>
      <c r="BN6" s="181">
        <v>64</v>
      </c>
    </row>
    <row r="7" spans="1:66" s="180" customFormat="1" x14ac:dyDescent="0.25">
      <c r="A7" s="2"/>
      <c r="B7" s="2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</row>
    <row r="8" spans="1:66" s="180" customFormat="1" x14ac:dyDescent="0.25">
      <c r="A8" s="2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</row>
    <row r="9" spans="1:66" s="180" customFormat="1" x14ac:dyDescent="0.25">
      <c r="A9" s="2"/>
      <c r="B9" s="2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</row>
    <row r="10" spans="1:66" x14ac:dyDescent="0.25">
      <c r="A10" s="15"/>
      <c r="B10" s="45" t="s">
        <v>529</v>
      </c>
      <c r="C10" s="62"/>
      <c r="D10" s="21"/>
      <c r="E10" s="21"/>
      <c r="F10" s="21"/>
      <c r="G10" s="21"/>
      <c r="H10" s="21"/>
      <c r="I10" s="21"/>
      <c r="K10" s="15">
        <v>1</v>
      </c>
      <c r="L10" s="15">
        <v>2</v>
      </c>
      <c r="M10" s="15">
        <v>3</v>
      </c>
      <c r="N10" s="15">
        <v>4</v>
      </c>
      <c r="O10" s="15">
        <v>5</v>
      </c>
      <c r="P10" s="15">
        <v>6</v>
      </c>
      <c r="Q10" s="15">
        <v>7</v>
      </c>
      <c r="R10" s="15">
        <v>8</v>
      </c>
    </row>
    <row r="11" spans="1:66" x14ac:dyDescent="0.25">
      <c r="A11" s="15"/>
      <c r="B11" s="63">
        <v>58</v>
      </c>
      <c r="C11" s="63">
        <v>50</v>
      </c>
      <c r="D11" s="63">
        <v>42</v>
      </c>
      <c r="E11" s="63">
        <v>34</v>
      </c>
      <c r="F11" s="63">
        <v>26</v>
      </c>
      <c r="G11" s="63">
        <v>18</v>
      </c>
      <c r="H11" s="63">
        <v>10</v>
      </c>
      <c r="I11" s="63">
        <v>2</v>
      </c>
      <c r="K11" s="189">
        <f>BH5</f>
        <v>0</v>
      </c>
      <c r="L11" s="189">
        <f>AZ5</f>
        <v>1</v>
      </c>
      <c r="M11" s="189">
        <f>AR5</f>
        <v>1</v>
      </c>
      <c r="N11" s="189">
        <f>AJ5</f>
        <v>1</v>
      </c>
      <c r="O11" s="189">
        <f>AB5</f>
        <v>1</v>
      </c>
      <c r="P11" s="189">
        <f>T5</f>
        <v>1</v>
      </c>
      <c r="Q11" s="189">
        <f>L5</f>
        <v>1</v>
      </c>
      <c r="R11" s="189">
        <f>D5</f>
        <v>0</v>
      </c>
    </row>
    <row r="12" spans="1:66" x14ac:dyDescent="0.25">
      <c r="A12" s="15"/>
      <c r="B12" s="65">
        <v>60</v>
      </c>
      <c r="C12" s="65">
        <v>52</v>
      </c>
      <c r="D12" s="65">
        <v>44</v>
      </c>
      <c r="E12" s="65">
        <v>36</v>
      </c>
      <c r="F12" s="65">
        <v>28</v>
      </c>
      <c r="G12" s="65">
        <v>20</v>
      </c>
      <c r="H12" s="65">
        <v>12</v>
      </c>
      <c r="I12" s="65">
        <v>4</v>
      </c>
      <c r="K12" s="67">
        <f>BJ5</f>
        <v>1</v>
      </c>
      <c r="L12" s="67">
        <f>BB5</f>
        <v>1</v>
      </c>
      <c r="M12" s="67">
        <f>AT5</f>
        <v>0</v>
      </c>
      <c r="N12" s="67">
        <f>AL5</f>
        <v>1</v>
      </c>
      <c r="O12" s="67">
        <f>AD5</f>
        <v>1</v>
      </c>
      <c r="P12" s="67">
        <f>V5</f>
        <v>0</v>
      </c>
      <c r="Q12" s="67">
        <f>N5</f>
        <v>1</v>
      </c>
      <c r="R12" s="67">
        <f>F5</f>
        <v>1</v>
      </c>
    </row>
    <row r="13" spans="1:66" x14ac:dyDescent="0.25">
      <c r="B13" s="65">
        <v>62</v>
      </c>
      <c r="C13" s="65">
        <v>54</v>
      </c>
      <c r="D13" s="65">
        <v>46</v>
      </c>
      <c r="E13" s="65">
        <v>38</v>
      </c>
      <c r="F13" s="65">
        <v>30</v>
      </c>
      <c r="G13" s="65">
        <v>22</v>
      </c>
      <c r="H13" s="65">
        <v>14</v>
      </c>
      <c r="I13" s="65">
        <v>6</v>
      </c>
      <c r="K13" s="67">
        <f>BL5</f>
        <v>0</v>
      </c>
      <c r="L13" s="67">
        <f>BD5</f>
        <v>1</v>
      </c>
      <c r="M13" s="67">
        <f>AV5</f>
        <v>1</v>
      </c>
      <c r="N13" s="67">
        <f>AN5</f>
        <v>1</v>
      </c>
      <c r="O13" s="67">
        <f>AF5</f>
        <v>0</v>
      </c>
      <c r="P13" s="67">
        <f>X5</f>
        <v>1</v>
      </c>
      <c r="Q13" s="67">
        <f>P5</f>
        <v>0</v>
      </c>
      <c r="R13" s="67">
        <f>H5</f>
        <v>0</v>
      </c>
      <c r="Z13" s="15" t="s">
        <v>652</v>
      </c>
    </row>
    <row r="14" spans="1:66" x14ac:dyDescent="0.25">
      <c r="B14" s="65">
        <v>64</v>
      </c>
      <c r="C14" s="65">
        <v>56</v>
      </c>
      <c r="D14" s="65">
        <v>48</v>
      </c>
      <c r="E14" s="65">
        <v>40</v>
      </c>
      <c r="F14" s="65">
        <v>32</v>
      </c>
      <c r="G14" s="65">
        <v>24</v>
      </c>
      <c r="H14" s="65">
        <v>16</v>
      </c>
      <c r="I14" s="65">
        <v>8</v>
      </c>
      <c r="K14" s="67">
        <f>BN5</f>
        <v>0</v>
      </c>
      <c r="L14" s="67">
        <f>BF5</f>
        <v>0</v>
      </c>
      <c r="M14" s="67">
        <f>AX5</f>
        <v>1</v>
      </c>
      <c r="N14" s="67">
        <f>AP5</f>
        <v>0</v>
      </c>
      <c r="O14" s="67">
        <f>AH5</f>
        <v>1</v>
      </c>
      <c r="P14" s="67">
        <f>Z5</f>
        <v>1</v>
      </c>
      <c r="Q14" s="67">
        <f>R5</f>
        <v>1</v>
      </c>
      <c r="R14" s="67">
        <f>J5</f>
        <v>1</v>
      </c>
      <c r="Z14" s="15" t="s">
        <v>653</v>
      </c>
    </row>
    <row r="15" spans="1:66" x14ac:dyDescent="0.25">
      <c r="B15" s="65">
        <v>57</v>
      </c>
      <c r="C15" s="65">
        <v>49</v>
      </c>
      <c r="D15" s="65">
        <v>41</v>
      </c>
      <c r="E15" s="65">
        <v>33</v>
      </c>
      <c r="F15" s="65">
        <v>25</v>
      </c>
      <c r="G15" s="65">
        <v>17</v>
      </c>
      <c r="H15" s="65">
        <v>9</v>
      </c>
      <c r="I15" s="65">
        <v>1</v>
      </c>
      <c r="K15" s="118">
        <f>BG5</f>
        <v>0</v>
      </c>
      <c r="L15" s="118">
        <f>AY5</f>
        <v>0</v>
      </c>
      <c r="M15" s="118">
        <f>AQ5</f>
        <v>0</v>
      </c>
      <c r="N15" s="118">
        <f>AI5</f>
        <v>1</v>
      </c>
      <c r="O15" s="118">
        <f>AA5</f>
        <v>0</v>
      </c>
      <c r="P15" s="118">
        <f>S5</f>
        <v>0</v>
      </c>
      <c r="Q15" s="118">
        <f>K5</f>
        <v>0</v>
      </c>
      <c r="R15" s="118">
        <f>C5</f>
        <v>0</v>
      </c>
    </row>
    <row r="16" spans="1:66" x14ac:dyDescent="0.25">
      <c r="B16" s="65">
        <v>59</v>
      </c>
      <c r="C16" s="65">
        <v>51</v>
      </c>
      <c r="D16" s="65">
        <v>43</v>
      </c>
      <c r="E16" s="65">
        <v>35</v>
      </c>
      <c r="F16" s="65">
        <v>27</v>
      </c>
      <c r="G16" s="65">
        <v>19</v>
      </c>
      <c r="H16" s="65">
        <v>11</v>
      </c>
      <c r="I16" s="65">
        <v>3</v>
      </c>
      <c r="K16" s="118">
        <f>BI5</f>
        <v>1</v>
      </c>
      <c r="L16" s="118">
        <f>BA5</f>
        <v>1</v>
      </c>
      <c r="M16" s="118">
        <f>AS5</f>
        <v>0</v>
      </c>
      <c r="N16" s="118">
        <f>AK5</f>
        <v>0</v>
      </c>
      <c r="O16" s="118">
        <f>AC5</f>
        <v>1</v>
      </c>
      <c r="P16" s="118">
        <f>U5</f>
        <v>0</v>
      </c>
      <c r="Q16" s="118">
        <f>M5</f>
        <v>1</v>
      </c>
      <c r="R16" s="118">
        <f>E5</f>
        <v>1</v>
      </c>
    </row>
    <row r="17" spans="1:34" x14ac:dyDescent="0.25">
      <c r="B17" s="65">
        <v>61</v>
      </c>
      <c r="C17" s="65">
        <v>53</v>
      </c>
      <c r="D17" s="65">
        <v>45</v>
      </c>
      <c r="E17" s="65">
        <v>37</v>
      </c>
      <c r="F17" s="65">
        <v>29</v>
      </c>
      <c r="G17" s="65">
        <v>21</v>
      </c>
      <c r="H17" s="65">
        <v>13</v>
      </c>
      <c r="I17" s="65">
        <v>5</v>
      </c>
      <c r="K17" s="118">
        <f>BK5</f>
        <v>1</v>
      </c>
      <c r="L17" s="118">
        <f>BC5</f>
        <v>0</v>
      </c>
      <c r="M17" s="118">
        <f>AU5</f>
        <v>1</v>
      </c>
      <c r="N17" s="118">
        <f>AM5</f>
        <v>0</v>
      </c>
      <c r="O17" s="118">
        <f>AE5</f>
        <v>0</v>
      </c>
      <c r="P17" s="118">
        <f>W5</f>
        <v>1</v>
      </c>
      <c r="Q17" s="118">
        <f>O5</f>
        <v>0</v>
      </c>
      <c r="R17" s="118">
        <f>G5</f>
        <v>1</v>
      </c>
    </row>
    <row r="18" spans="1:34" x14ac:dyDescent="0.25">
      <c r="B18" s="65">
        <v>63</v>
      </c>
      <c r="C18" s="65">
        <v>55</v>
      </c>
      <c r="D18" s="65">
        <v>47</v>
      </c>
      <c r="E18" s="65">
        <v>39</v>
      </c>
      <c r="F18" s="65">
        <v>31</v>
      </c>
      <c r="G18" s="65">
        <v>23</v>
      </c>
      <c r="H18" s="65">
        <v>15</v>
      </c>
      <c r="I18" s="65">
        <v>7</v>
      </c>
      <c r="K18" s="118">
        <f>BM5</f>
        <v>0</v>
      </c>
      <c r="L18" s="118">
        <f>BE5</f>
        <v>0</v>
      </c>
      <c r="M18" s="118">
        <f>AW5</f>
        <v>0</v>
      </c>
      <c r="N18" s="118">
        <f>AO5</f>
        <v>1</v>
      </c>
      <c r="O18" s="118">
        <f>AG5</f>
        <v>1</v>
      </c>
      <c r="P18" s="118">
        <f>Y5</f>
        <v>1</v>
      </c>
      <c r="Q18" s="118">
        <f>Q5</f>
        <v>0</v>
      </c>
      <c r="R18" s="118">
        <f>I5</f>
        <v>0</v>
      </c>
    </row>
    <row r="21" spans="1:34" x14ac:dyDescent="0.25">
      <c r="C21" s="116" t="s">
        <v>648</v>
      </c>
      <c r="D21" s="21">
        <v>0</v>
      </c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</row>
    <row r="22" spans="1:34" x14ac:dyDescent="0.25">
      <c r="C22" s="68">
        <v>1</v>
      </c>
      <c r="D22" s="68">
        <v>2</v>
      </c>
      <c r="E22" s="68">
        <v>3</v>
      </c>
      <c r="F22" s="68">
        <v>4</v>
      </c>
      <c r="G22" s="68">
        <v>5</v>
      </c>
      <c r="H22" s="68">
        <v>6</v>
      </c>
      <c r="I22" s="68">
        <v>7</v>
      </c>
      <c r="J22" s="68">
        <v>8</v>
      </c>
      <c r="K22" s="68">
        <v>9</v>
      </c>
      <c r="L22" s="68">
        <v>10</v>
      </c>
      <c r="M22" s="68">
        <v>11</v>
      </c>
      <c r="N22" s="68">
        <v>12</v>
      </c>
      <c r="O22" s="68">
        <v>13</v>
      </c>
      <c r="P22" s="68">
        <v>14</v>
      </c>
      <c r="Q22" s="68">
        <v>15</v>
      </c>
      <c r="R22" s="68">
        <v>16</v>
      </c>
      <c r="S22" s="68">
        <v>17</v>
      </c>
      <c r="T22" s="68">
        <v>18</v>
      </c>
      <c r="U22" s="68">
        <v>19</v>
      </c>
      <c r="V22" s="68">
        <v>20</v>
      </c>
      <c r="W22" s="68">
        <v>21</v>
      </c>
      <c r="X22" s="68">
        <v>22</v>
      </c>
      <c r="Y22" s="68">
        <v>23</v>
      </c>
      <c r="Z22" s="68">
        <v>24</v>
      </c>
      <c r="AA22" s="68">
        <v>25</v>
      </c>
      <c r="AB22" s="68">
        <v>26</v>
      </c>
      <c r="AC22" s="68">
        <v>27</v>
      </c>
      <c r="AD22" s="68">
        <v>28</v>
      </c>
      <c r="AE22" s="68">
        <v>29</v>
      </c>
      <c r="AF22" s="68">
        <v>30</v>
      </c>
      <c r="AG22" s="68">
        <v>31</v>
      </c>
      <c r="AH22" s="68">
        <v>32</v>
      </c>
    </row>
    <row r="23" spans="1:34" x14ac:dyDescent="0.25">
      <c r="C23" s="67">
        <f>K15</f>
        <v>0</v>
      </c>
      <c r="D23" s="67">
        <f t="shared" ref="D23:J23" si="0">L15</f>
        <v>0</v>
      </c>
      <c r="E23" s="67">
        <f t="shared" si="0"/>
        <v>0</v>
      </c>
      <c r="F23" s="67">
        <f t="shared" si="0"/>
        <v>1</v>
      </c>
      <c r="G23" s="67">
        <f t="shared" si="0"/>
        <v>0</v>
      </c>
      <c r="H23" s="67">
        <f t="shared" si="0"/>
        <v>0</v>
      </c>
      <c r="I23" s="67">
        <f t="shared" si="0"/>
        <v>0</v>
      </c>
      <c r="J23" s="67">
        <f t="shared" si="0"/>
        <v>0</v>
      </c>
      <c r="K23" s="68">
        <f>K16</f>
        <v>1</v>
      </c>
      <c r="L23" s="68">
        <f t="shared" ref="L23:R23" si="1">L16</f>
        <v>1</v>
      </c>
      <c r="M23" s="68">
        <f t="shared" si="1"/>
        <v>0</v>
      </c>
      <c r="N23" s="68">
        <f t="shared" si="1"/>
        <v>0</v>
      </c>
      <c r="O23" s="68">
        <f t="shared" si="1"/>
        <v>1</v>
      </c>
      <c r="P23" s="68">
        <f t="shared" si="1"/>
        <v>0</v>
      </c>
      <c r="Q23" s="68">
        <f t="shared" si="1"/>
        <v>1</v>
      </c>
      <c r="R23" s="68">
        <f t="shared" si="1"/>
        <v>1</v>
      </c>
      <c r="S23" s="68">
        <f>K17</f>
        <v>1</v>
      </c>
      <c r="T23" s="68">
        <f t="shared" ref="T23:Z23" si="2">L17</f>
        <v>0</v>
      </c>
      <c r="U23" s="68">
        <f t="shared" si="2"/>
        <v>1</v>
      </c>
      <c r="V23" s="68">
        <f t="shared" si="2"/>
        <v>0</v>
      </c>
      <c r="W23" s="68">
        <f t="shared" si="2"/>
        <v>0</v>
      </c>
      <c r="X23" s="68">
        <f t="shared" si="2"/>
        <v>1</v>
      </c>
      <c r="Y23" s="68">
        <f t="shared" si="2"/>
        <v>0</v>
      </c>
      <c r="Z23" s="68">
        <f t="shared" si="2"/>
        <v>1</v>
      </c>
      <c r="AA23" s="68">
        <f>K18</f>
        <v>0</v>
      </c>
      <c r="AB23" s="68">
        <f t="shared" ref="AB23:AH23" si="3">L18</f>
        <v>0</v>
      </c>
      <c r="AC23" s="68">
        <f t="shared" si="3"/>
        <v>0</v>
      </c>
      <c r="AD23" s="68">
        <f t="shared" si="3"/>
        <v>1</v>
      </c>
      <c r="AE23" s="68">
        <f t="shared" si="3"/>
        <v>1</v>
      </c>
      <c r="AF23" s="68">
        <f t="shared" si="3"/>
        <v>1</v>
      </c>
      <c r="AG23" s="68">
        <f t="shared" si="3"/>
        <v>0</v>
      </c>
      <c r="AH23" s="68">
        <f t="shared" si="3"/>
        <v>0</v>
      </c>
    </row>
    <row r="25" spans="1:34" x14ac:dyDescent="0.25">
      <c r="C25" s="116" t="s">
        <v>649</v>
      </c>
      <c r="D25" s="21">
        <v>0</v>
      </c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</row>
    <row r="26" spans="1:34" x14ac:dyDescent="0.25">
      <c r="C26" s="70">
        <v>1</v>
      </c>
      <c r="D26" s="69">
        <v>2</v>
      </c>
      <c r="E26" s="70">
        <v>3</v>
      </c>
      <c r="F26" s="69">
        <v>4</v>
      </c>
      <c r="G26" s="70">
        <v>5</v>
      </c>
      <c r="H26" s="69">
        <v>6</v>
      </c>
      <c r="I26" s="70">
        <v>7</v>
      </c>
      <c r="J26" s="69">
        <v>8</v>
      </c>
      <c r="K26" s="70">
        <v>9</v>
      </c>
      <c r="L26" s="69">
        <v>10</v>
      </c>
      <c r="M26" s="70">
        <v>11</v>
      </c>
      <c r="N26" s="69">
        <v>12</v>
      </c>
      <c r="O26" s="70">
        <v>13</v>
      </c>
      <c r="P26" s="69">
        <v>14</v>
      </c>
      <c r="Q26" s="70">
        <v>15</v>
      </c>
      <c r="R26" s="69">
        <v>16</v>
      </c>
      <c r="S26" s="70">
        <v>17</v>
      </c>
      <c r="T26" s="69">
        <v>18</v>
      </c>
      <c r="U26" s="70">
        <v>19</v>
      </c>
      <c r="V26" s="69">
        <v>20</v>
      </c>
      <c r="W26" s="70">
        <v>21</v>
      </c>
      <c r="X26" s="69">
        <v>22</v>
      </c>
      <c r="Y26" s="70">
        <v>23</v>
      </c>
      <c r="Z26" s="69">
        <v>24</v>
      </c>
      <c r="AA26" s="70">
        <v>25</v>
      </c>
      <c r="AB26" s="69">
        <v>26</v>
      </c>
      <c r="AC26" s="70">
        <v>27</v>
      </c>
      <c r="AD26" s="69">
        <v>28</v>
      </c>
      <c r="AE26" s="70">
        <v>29</v>
      </c>
      <c r="AF26" s="69">
        <v>30</v>
      </c>
      <c r="AG26" s="70">
        <v>31</v>
      </c>
      <c r="AH26" s="69">
        <v>32</v>
      </c>
    </row>
    <row r="27" spans="1:34" x14ac:dyDescent="0.25">
      <c r="C27" s="70">
        <f>K11</f>
        <v>0</v>
      </c>
      <c r="D27" s="70">
        <f t="shared" ref="D27:J27" si="4">L11</f>
        <v>1</v>
      </c>
      <c r="E27" s="70">
        <f t="shared" si="4"/>
        <v>1</v>
      </c>
      <c r="F27" s="70">
        <f t="shared" si="4"/>
        <v>1</v>
      </c>
      <c r="G27" s="70">
        <f t="shared" si="4"/>
        <v>1</v>
      </c>
      <c r="H27" s="70">
        <f t="shared" si="4"/>
        <v>1</v>
      </c>
      <c r="I27" s="70">
        <f t="shared" si="4"/>
        <v>1</v>
      </c>
      <c r="J27" s="70">
        <f t="shared" si="4"/>
        <v>0</v>
      </c>
      <c r="K27" s="71">
        <f>K12</f>
        <v>1</v>
      </c>
      <c r="L27" s="71">
        <f t="shared" ref="L27:R27" si="5">L12</f>
        <v>1</v>
      </c>
      <c r="M27" s="71">
        <f t="shared" si="5"/>
        <v>0</v>
      </c>
      <c r="N27" s="71">
        <f t="shared" si="5"/>
        <v>1</v>
      </c>
      <c r="O27" s="71">
        <f t="shared" si="5"/>
        <v>1</v>
      </c>
      <c r="P27" s="71">
        <f t="shared" si="5"/>
        <v>0</v>
      </c>
      <c r="Q27" s="71">
        <f t="shared" si="5"/>
        <v>1</v>
      </c>
      <c r="R27" s="71">
        <f t="shared" si="5"/>
        <v>1</v>
      </c>
      <c r="S27" s="71">
        <f>K13</f>
        <v>0</v>
      </c>
      <c r="T27" s="71">
        <f t="shared" ref="T27:Z27" si="6">L13</f>
        <v>1</v>
      </c>
      <c r="U27" s="71">
        <f t="shared" si="6"/>
        <v>1</v>
      </c>
      <c r="V27" s="71">
        <f t="shared" si="6"/>
        <v>1</v>
      </c>
      <c r="W27" s="71">
        <f t="shared" si="6"/>
        <v>0</v>
      </c>
      <c r="X27" s="71">
        <f t="shared" si="6"/>
        <v>1</v>
      </c>
      <c r="Y27" s="71">
        <f t="shared" si="6"/>
        <v>0</v>
      </c>
      <c r="Z27" s="71">
        <f t="shared" si="6"/>
        <v>0</v>
      </c>
      <c r="AA27" s="71">
        <f>K14</f>
        <v>0</v>
      </c>
      <c r="AB27" s="71">
        <f t="shared" ref="AB27:AG27" si="7">L14</f>
        <v>0</v>
      </c>
      <c r="AC27" s="71">
        <f t="shared" si="7"/>
        <v>1</v>
      </c>
      <c r="AD27" s="71">
        <f t="shared" si="7"/>
        <v>0</v>
      </c>
      <c r="AE27" s="71">
        <f t="shared" si="7"/>
        <v>1</v>
      </c>
      <c r="AF27" s="71">
        <f t="shared" si="7"/>
        <v>1</v>
      </c>
      <c r="AG27" s="71">
        <f t="shared" si="7"/>
        <v>1</v>
      </c>
      <c r="AH27" s="71">
        <f>R14</f>
        <v>1</v>
      </c>
    </row>
    <row r="28" spans="1:34" s="21" customFormat="1" ht="24.95" customHeight="1" x14ac:dyDescent="0.25">
      <c r="B28" s="64"/>
      <c r="C28" s="62"/>
    </row>
    <row r="29" spans="1:34" s="132" customFormat="1" ht="24.95" customHeight="1" x14ac:dyDescent="0.25">
      <c r="B29" s="133"/>
      <c r="C29" s="134"/>
    </row>
    <row r="30" spans="1:34" s="21" customFormat="1" ht="24.95" customHeight="1" x14ac:dyDescent="0.25">
      <c r="B30" s="64"/>
      <c r="C30" s="62"/>
    </row>
    <row r="31" spans="1:34" s="21" customFormat="1" ht="24.95" customHeight="1" x14ac:dyDescent="0.25">
      <c r="A31" s="118" t="s">
        <v>532</v>
      </c>
      <c r="B31" s="118"/>
      <c r="C31" s="75">
        <v>32</v>
      </c>
      <c r="D31" s="74">
        <v>1</v>
      </c>
      <c r="E31" s="74">
        <v>2</v>
      </c>
      <c r="F31" s="74">
        <v>3</v>
      </c>
      <c r="G31" s="74">
        <v>4</v>
      </c>
      <c r="H31" s="73">
        <v>5</v>
      </c>
      <c r="I31" s="122"/>
      <c r="J31" s="118">
        <f>AH23</f>
        <v>0</v>
      </c>
      <c r="K31" s="118">
        <f>C23</f>
        <v>0</v>
      </c>
      <c r="L31" s="118">
        <f t="shared" ref="L31:O31" si="8">D23</f>
        <v>0</v>
      </c>
      <c r="M31" s="118">
        <f t="shared" si="8"/>
        <v>0</v>
      </c>
      <c r="N31" s="118">
        <f t="shared" si="8"/>
        <v>1</v>
      </c>
      <c r="O31" s="118">
        <f t="shared" si="8"/>
        <v>0</v>
      </c>
      <c r="P31" s="122"/>
    </row>
    <row r="32" spans="1:34" s="21" customFormat="1" ht="24.95" customHeight="1" x14ac:dyDescent="0.25">
      <c r="B32" s="64"/>
      <c r="C32" s="75">
        <v>4</v>
      </c>
      <c r="D32" s="74">
        <v>5</v>
      </c>
      <c r="E32" s="74">
        <v>6</v>
      </c>
      <c r="F32" s="74">
        <v>7</v>
      </c>
      <c r="G32" s="74">
        <v>8</v>
      </c>
      <c r="H32" s="73">
        <v>9</v>
      </c>
      <c r="I32" s="122"/>
      <c r="J32" s="118">
        <f>F23</f>
        <v>1</v>
      </c>
      <c r="K32" s="118">
        <f t="shared" ref="K32:O32" si="9">G23</f>
        <v>0</v>
      </c>
      <c r="L32" s="118">
        <f t="shared" si="9"/>
        <v>0</v>
      </c>
      <c r="M32" s="118">
        <f t="shared" si="9"/>
        <v>0</v>
      </c>
      <c r="N32" s="118">
        <f t="shared" si="9"/>
        <v>0</v>
      </c>
      <c r="O32" s="118">
        <f t="shared" si="9"/>
        <v>1</v>
      </c>
      <c r="P32" s="122"/>
    </row>
    <row r="33" spans="1:50" s="21" customFormat="1" ht="24.95" customHeight="1" x14ac:dyDescent="0.25">
      <c r="B33" s="64"/>
      <c r="C33" s="75">
        <v>8</v>
      </c>
      <c r="D33" s="74">
        <v>9</v>
      </c>
      <c r="E33" s="74">
        <v>10</v>
      </c>
      <c r="F33" s="74">
        <v>11</v>
      </c>
      <c r="G33" s="74">
        <v>12</v>
      </c>
      <c r="H33" s="73">
        <v>13</v>
      </c>
      <c r="I33" s="123"/>
      <c r="J33" s="202">
        <f>J23</f>
        <v>0</v>
      </c>
      <c r="K33" s="202">
        <f t="shared" ref="K33:O33" si="10">K23</f>
        <v>1</v>
      </c>
      <c r="L33" s="202">
        <f t="shared" si="10"/>
        <v>1</v>
      </c>
      <c r="M33" s="202">
        <f t="shared" si="10"/>
        <v>0</v>
      </c>
      <c r="N33" s="202">
        <f t="shared" si="10"/>
        <v>0</v>
      </c>
      <c r="O33" s="202">
        <f t="shared" si="10"/>
        <v>1</v>
      </c>
      <c r="P33" s="123"/>
    </row>
    <row r="34" spans="1:50" s="21" customFormat="1" ht="24.95" customHeight="1" x14ac:dyDescent="0.25">
      <c r="B34" s="64"/>
      <c r="C34" s="75">
        <v>12</v>
      </c>
      <c r="D34" s="74">
        <v>13</v>
      </c>
      <c r="E34" s="74">
        <v>14</v>
      </c>
      <c r="F34" s="74">
        <v>15</v>
      </c>
      <c r="G34" s="74">
        <v>16</v>
      </c>
      <c r="H34" s="73">
        <v>17</v>
      </c>
      <c r="I34" s="122"/>
      <c r="J34" s="118">
        <f>N23</f>
        <v>0</v>
      </c>
      <c r="K34" s="118">
        <f t="shared" ref="K34:O34" si="11">O23</f>
        <v>1</v>
      </c>
      <c r="L34" s="118">
        <f t="shared" si="11"/>
        <v>0</v>
      </c>
      <c r="M34" s="118">
        <f t="shared" si="11"/>
        <v>1</v>
      </c>
      <c r="N34" s="118">
        <f t="shared" si="11"/>
        <v>1</v>
      </c>
      <c r="O34" s="118">
        <f t="shared" si="11"/>
        <v>1</v>
      </c>
      <c r="P34" s="122"/>
    </row>
    <row r="35" spans="1:50" s="21" customFormat="1" ht="24.95" customHeight="1" x14ac:dyDescent="0.25">
      <c r="B35" s="64"/>
      <c r="C35" s="75">
        <v>16</v>
      </c>
      <c r="D35" s="74">
        <v>17</v>
      </c>
      <c r="E35" s="74">
        <v>18</v>
      </c>
      <c r="F35" s="74">
        <v>19</v>
      </c>
      <c r="G35" s="74">
        <v>20</v>
      </c>
      <c r="H35" s="73">
        <v>21</v>
      </c>
      <c r="I35" s="122"/>
      <c r="J35" s="118">
        <f>R23</f>
        <v>1</v>
      </c>
      <c r="K35" s="118">
        <f t="shared" ref="K35:O35" si="12">S23</f>
        <v>1</v>
      </c>
      <c r="L35" s="118">
        <f t="shared" si="12"/>
        <v>0</v>
      </c>
      <c r="M35" s="118">
        <f t="shared" si="12"/>
        <v>1</v>
      </c>
      <c r="N35" s="118">
        <f t="shared" si="12"/>
        <v>0</v>
      </c>
      <c r="O35" s="118">
        <f t="shared" si="12"/>
        <v>0</v>
      </c>
      <c r="P35" s="122"/>
    </row>
    <row r="36" spans="1:50" s="21" customFormat="1" ht="24.95" customHeight="1" x14ac:dyDescent="0.25">
      <c r="B36" s="64"/>
      <c r="C36" s="75">
        <v>20</v>
      </c>
      <c r="D36" s="74">
        <v>21</v>
      </c>
      <c r="E36" s="74">
        <v>22</v>
      </c>
      <c r="F36" s="74">
        <v>23</v>
      </c>
      <c r="G36" s="74">
        <v>24</v>
      </c>
      <c r="H36" s="73">
        <v>25</v>
      </c>
      <c r="I36" s="122"/>
      <c r="J36" s="118">
        <f>V23</f>
        <v>0</v>
      </c>
      <c r="K36" s="118">
        <f t="shared" ref="K36:O36" si="13">W23</f>
        <v>0</v>
      </c>
      <c r="L36" s="118">
        <f t="shared" si="13"/>
        <v>1</v>
      </c>
      <c r="M36" s="118">
        <f t="shared" si="13"/>
        <v>0</v>
      </c>
      <c r="N36" s="118">
        <f t="shared" si="13"/>
        <v>1</v>
      </c>
      <c r="O36" s="118">
        <f t="shared" si="13"/>
        <v>0</v>
      </c>
      <c r="P36" s="122"/>
    </row>
    <row r="37" spans="1:50" s="21" customFormat="1" ht="24.95" customHeight="1" x14ac:dyDescent="0.25">
      <c r="B37" s="64"/>
      <c r="C37" s="75">
        <v>24</v>
      </c>
      <c r="D37" s="74">
        <v>25</v>
      </c>
      <c r="E37" s="74">
        <v>26</v>
      </c>
      <c r="F37" s="74">
        <v>27</v>
      </c>
      <c r="G37" s="74">
        <v>28</v>
      </c>
      <c r="H37" s="73">
        <v>29</v>
      </c>
      <c r="I37" s="122"/>
      <c r="J37" s="118">
        <f>Z23</f>
        <v>1</v>
      </c>
      <c r="K37" s="118">
        <f t="shared" ref="K37:O37" si="14">AA23</f>
        <v>0</v>
      </c>
      <c r="L37" s="118">
        <f t="shared" si="14"/>
        <v>0</v>
      </c>
      <c r="M37" s="118">
        <f t="shared" si="14"/>
        <v>0</v>
      </c>
      <c r="N37" s="118">
        <f t="shared" si="14"/>
        <v>1</v>
      </c>
      <c r="O37" s="118">
        <f t="shared" si="14"/>
        <v>1</v>
      </c>
      <c r="P37" s="122"/>
    </row>
    <row r="38" spans="1:50" s="21" customFormat="1" ht="24.95" customHeight="1" x14ac:dyDescent="0.25">
      <c r="B38" s="64"/>
      <c r="C38" s="75">
        <v>28</v>
      </c>
      <c r="D38" s="74">
        <v>29</v>
      </c>
      <c r="E38" s="74">
        <v>30</v>
      </c>
      <c r="F38" s="74">
        <v>31</v>
      </c>
      <c r="G38" s="74">
        <v>32</v>
      </c>
      <c r="H38" s="73">
        <v>1</v>
      </c>
      <c r="I38" s="122"/>
      <c r="J38" s="70">
        <f>AD23</f>
        <v>1</v>
      </c>
      <c r="K38" s="70">
        <f t="shared" ref="K38:N38" si="15">AE23</f>
        <v>1</v>
      </c>
      <c r="L38" s="70">
        <f t="shared" si="15"/>
        <v>1</v>
      </c>
      <c r="M38" s="70">
        <f t="shared" si="15"/>
        <v>0</v>
      </c>
      <c r="N38" s="70">
        <f t="shared" si="15"/>
        <v>0</v>
      </c>
      <c r="O38" s="121">
        <f>C23</f>
        <v>0</v>
      </c>
      <c r="P38" s="122"/>
    </row>
    <row r="39" spans="1:50" s="21" customFormat="1" ht="24.95" customHeight="1" x14ac:dyDescent="0.25">
      <c r="B39" s="64"/>
      <c r="C39" s="62"/>
    </row>
    <row r="40" spans="1:50" s="21" customFormat="1" ht="24.95" customHeight="1" x14ac:dyDescent="0.25">
      <c r="B40" s="64"/>
      <c r="C40" s="62"/>
    </row>
    <row r="41" spans="1:50" s="21" customFormat="1" ht="24.95" customHeight="1" x14ac:dyDescent="0.25">
      <c r="A41" s="124" t="s">
        <v>533</v>
      </c>
      <c r="B41" s="124"/>
      <c r="C41" s="125">
        <v>1</v>
      </c>
      <c r="D41" s="126">
        <v>2</v>
      </c>
      <c r="E41" s="125">
        <v>3</v>
      </c>
      <c r="F41" s="126">
        <v>4</v>
      </c>
      <c r="G41" s="125">
        <v>5</v>
      </c>
      <c r="H41" s="126">
        <v>6</v>
      </c>
      <c r="I41" s="125">
        <v>7</v>
      </c>
      <c r="J41" s="126">
        <v>8</v>
      </c>
      <c r="K41" s="125">
        <v>9</v>
      </c>
      <c r="L41" s="126">
        <v>10</v>
      </c>
      <c r="M41" s="125">
        <v>11</v>
      </c>
      <c r="N41" s="126">
        <v>12</v>
      </c>
      <c r="O41" s="125">
        <v>13</v>
      </c>
      <c r="P41" s="126">
        <v>14</v>
      </c>
      <c r="Q41" s="125">
        <v>15</v>
      </c>
      <c r="R41" s="126">
        <v>16</v>
      </c>
      <c r="S41" s="125">
        <v>17</v>
      </c>
      <c r="T41" s="126">
        <v>18</v>
      </c>
      <c r="U41" s="125">
        <v>19</v>
      </c>
      <c r="V41" s="126">
        <v>20</v>
      </c>
      <c r="W41" s="125">
        <v>21</v>
      </c>
      <c r="X41" s="126">
        <v>22</v>
      </c>
      <c r="Y41" s="125">
        <v>23</v>
      </c>
      <c r="Z41" s="126">
        <v>24</v>
      </c>
      <c r="AA41" s="125">
        <v>25</v>
      </c>
      <c r="AB41" s="126">
        <v>26</v>
      </c>
      <c r="AC41" s="125">
        <v>27</v>
      </c>
      <c r="AD41" s="126">
        <v>28</v>
      </c>
      <c r="AE41" s="125">
        <v>29</v>
      </c>
      <c r="AF41" s="126">
        <v>30</v>
      </c>
      <c r="AG41" s="125">
        <v>31</v>
      </c>
      <c r="AH41" s="126">
        <v>32</v>
      </c>
      <c r="AI41" s="125">
        <v>33</v>
      </c>
      <c r="AJ41" s="126">
        <v>34</v>
      </c>
      <c r="AK41" s="125">
        <v>35</v>
      </c>
      <c r="AL41" s="126">
        <v>36</v>
      </c>
      <c r="AM41" s="125">
        <v>37</v>
      </c>
      <c r="AN41" s="126">
        <v>38</v>
      </c>
      <c r="AO41" s="125">
        <v>39</v>
      </c>
      <c r="AP41" s="126">
        <v>40</v>
      </c>
      <c r="AQ41" s="125">
        <v>41</v>
      </c>
      <c r="AR41" s="126">
        <v>42</v>
      </c>
      <c r="AS41" s="125">
        <v>43</v>
      </c>
      <c r="AT41" s="126">
        <v>44</v>
      </c>
      <c r="AU41" s="125">
        <v>45</v>
      </c>
      <c r="AV41" s="126">
        <v>46</v>
      </c>
      <c r="AW41" s="125">
        <v>47</v>
      </c>
      <c r="AX41" s="126">
        <v>48</v>
      </c>
    </row>
    <row r="42" spans="1:50" s="21" customFormat="1" ht="24.95" customHeight="1" x14ac:dyDescent="0.25">
      <c r="B42" s="64"/>
      <c r="C42" s="125">
        <f t="shared" ref="C42:H42" si="16">J31</f>
        <v>0</v>
      </c>
      <c r="D42" s="125">
        <f t="shared" si="16"/>
        <v>0</v>
      </c>
      <c r="E42" s="125">
        <f t="shared" si="16"/>
        <v>0</v>
      </c>
      <c r="F42" s="125">
        <f t="shared" si="16"/>
        <v>0</v>
      </c>
      <c r="G42" s="126">
        <f t="shared" si="16"/>
        <v>1</v>
      </c>
      <c r="H42" s="126">
        <f t="shared" si="16"/>
        <v>0</v>
      </c>
      <c r="I42" s="125">
        <f t="shared" ref="I42:N42" si="17">J32</f>
        <v>1</v>
      </c>
      <c r="J42" s="125">
        <f t="shared" si="17"/>
        <v>0</v>
      </c>
      <c r="K42" s="125">
        <f t="shared" si="17"/>
        <v>0</v>
      </c>
      <c r="L42" s="125">
        <f t="shared" si="17"/>
        <v>0</v>
      </c>
      <c r="M42" s="125">
        <f t="shared" si="17"/>
        <v>0</v>
      </c>
      <c r="N42" s="125">
        <f t="shared" si="17"/>
        <v>1</v>
      </c>
      <c r="O42" s="126">
        <f t="shared" ref="O42:T42" si="18">J33</f>
        <v>0</v>
      </c>
      <c r="P42" s="126">
        <f t="shared" si="18"/>
        <v>1</v>
      </c>
      <c r="Q42" s="126">
        <f t="shared" si="18"/>
        <v>1</v>
      </c>
      <c r="R42" s="126">
        <f t="shared" si="18"/>
        <v>0</v>
      </c>
      <c r="S42" s="126">
        <f t="shared" si="18"/>
        <v>0</v>
      </c>
      <c r="T42" s="126">
        <f t="shared" si="18"/>
        <v>1</v>
      </c>
      <c r="U42" s="125">
        <f t="shared" ref="U42:Z42" si="19">J34</f>
        <v>0</v>
      </c>
      <c r="V42" s="126">
        <f t="shared" si="19"/>
        <v>1</v>
      </c>
      <c r="W42" s="125">
        <f t="shared" si="19"/>
        <v>0</v>
      </c>
      <c r="X42" s="126">
        <f t="shared" si="19"/>
        <v>1</v>
      </c>
      <c r="Y42" s="125">
        <f t="shared" si="19"/>
        <v>1</v>
      </c>
      <c r="Z42" s="126">
        <f t="shared" si="19"/>
        <v>1</v>
      </c>
      <c r="AA42" s="125">
        <f t="shared" ref="AA42:AF42" si="20">J35</f>
        <v>1</v>
      </c>
      <c r="AB42" s="126">
        <f t="shared" si="20"/>
        <v>1</v>
      </c>
      <c r="AC42" s="125">
        <f t="shared" si="20"/>
        <v>0</v>
      </c>
      <c r="AD42" s="126">
        <f t="shared" si="20"/>
        <v>1</v>
      </c>
      <c r="AE42" s="125">
        <f t="shared" si="20"/>
        <v>0</v>
      </c>
      <c r="AF42" s="126">
        <f t="shared" si="20"/>
        <v>0</v>
      </c>
      <c r="AG42" s="125">
        <f t="shared" ref="AG42:AL42" si="21">J36</f>
        <v>0</v>
      </c>
      <c r="AH42" s="126">
        <f t="shared" si="21"/>
        <v>0</v>
      </c>
      <c r="AI42" s="125">
        <f t="shared" si="21"/>
        <v>1</v>
      </c>
      <c r="AJ42" s="126">
        <f t="shared" si="21"/>
        <v>0</v>
      </c>
      <c r="AK42" s="125">
        <f t="shared" si="21"/>
        <v>1</v>
      </c>
      <c r="AL42" s="126">
        <f t="shared" si="21"/>
        <v>0</v>
      </c>
      <c r="AM42" s="125">
        <f t="shared" ref="AM42:AR42" si="22">J37</f>
        <v>1</v>
      </c>
      <c r="AN42" s="126">
        <f t="shared" si="22"/>
        <v>0</v>
      </c>
      <c r="AO42" s="125">
        <f t="shared" si="22"/>
        <v>0</v>
      </c>
      <c r="AP42" s="126">
        <f t="shared" si="22"/>
        <v>0</v>
      </c>
      <c r="AQ42" s="125">
        <f t="shared" si="22"/>
        <v>1</v>
      </c>
      <c r="AR42" s="126">
        <f t="shared" si="22"/>
        <v>1</v>
      </c>
      <c r="AS42" s="125">
        <f t="shared" ref="AS42:AX42" si="23">J38</f>
        <v>1</v>
      </c>
      <c r="AT42" s="126">
        <f t="shared" si="23"/>
        <v>1</v>
      </c>
      <c r="AU42" s="125">
        <f t="shared" si="23"/>
        <v>1</v>
      </c>
      <c r="AV42" s="126">
        <f t="shared" si="23"/>
        <v>0</v>
      </c>
      <c r="AW42" s="125">
        <f t="shared" si="23"/>
        <v>0</v>
      </c>
      <c r="AX42" s="126">
        <f t="shared" si="23"/>
        <v>0</v>
      </c>
    </row>
    <row r="43" spans="1:50" s="21" customFormat="1" ht="24.95" customHeight="1" x14ac:dyDescent="0.25">
      <c r="B43" s="64"/>
      <c r="C43" s="62"/>
    </row>
    <row r="44" spans="1:50" s="21" customFormat="1" ht="24.95" customHeight="1" x14ac:dyDescent="0.25">
      <c r="B44" s="64"/>
      <c r="C44" s="62"/>
    </row>
    <row r="45" spans="1:50" s="21" customFormat="1" ht="24.95" customHeight="1" x14ac:dyDescent="0.25">
      <c r="A45" s="127" t="s">
        <v>625</v>
      </c>
      <c r="B45" s="127"/>
      <c r="C45" s="77">
        <f>'Key Generator'!D584</f>
        <v>1</v>
      </c>
      <c r="D45" s="77">
        <f>'Key Generator'!E584</f>
        <v>2</v>
      </c>
      <c r="E45" s="77">
        <f>'Key Generator'!F584</f>
        <v>3</v>
      </c>
      <c r="F45" s="77">
        <f>'Key Generator'!G584</f>
        <v>4</v>
      </c>
      <c r="G45" s="77">
        <f>'Key Generator'!H584</f>
        <v>5</v>
      </c>
      <c r="H45" s="77">
        <f>'Key Generator'!I584</f>
        <v>6</v>
      </c>
      <c r="I45" s="77">
        <f>'Key Generator'!J584</f>
        <v>7</v>
      </c>
      <c r="J45" s="77">
        <f>'Key Generator'!K584</f>
        <v>8</v>
      </c>
      <c r="K45" s="77">
        <f>'Key Generator'!L584</f>
        <v>9</v>
      </c>
      <c r="L45" s="77">
        <f>'Key Generator'!M584</f>
        <v>10</v>
      </c>
      <c r="M45" s="77">
        <f>'Key Generator'!N584</f>
        <v>11</v>
      </c>
      <c r="N45" s="77">
        <f>'Key Generator'!O584</f>
        <v>12</v>
      </c>
      <c r="O45" s="77">
        <f>'Key Generator'!P584</f>
        <v>13</v>
      </c>
      <c r="P45" s="77">
        <f>'Key Generator'!Q584</f>
        <v>14</v>
      </c>
      <c r="Q45" s="77">
        <f>'Key Generator'!R584</f>
        <v>15</v>
      </c>
      <c r="R45" s="77">
        <f>'Key Generator'!S584</f>
        <v>16</v>
      </c>
      <c r="S45" s="77">
        <f>'Key Generator'!T584</f>
        <v>17</v>
      </c>
      <c r="T45" s="77">
        <f>'Key Generator'!U584</f>
        <v>18</v>
      </c>
      <c r="U45" s="77">
        <f>'Key Generator'!V584</f>
        <v>19</v>
      </c>
      <c r="V45" s="77">
        <f>'Key Generator'!W584</f>
        <v>20</v>
      </c>
      <c r="W45" s="77">
        <f>'Key Generator'!X584</f>
        <v>21</v>
      </c>
      <c r="X45" s="77">
        <f>'Key Generator'!Y584</f>
        <v>22</v>
      </c>
      <c r="Y45" s="77">
        <f>'Key Generator'!Z584</f>
        <v>23</v>
      </c>
      <c r="Z45" s="77">
        <f>'Key Generator'!AA584</f>
        <v>24</v>
      </c>
      <c r="AA45" s="77">
        <f>'Key Generator'!AB584</f>
        <v>25</v>
      </c>
      <c r="AB45" s="77">
        <f>'Key Generator'!AC584</f>
        <v>26</v>
      </c>
      <c r="AC45" s="77">
        <f>'Key Generator'!AD584</f>
        <v>27</v>
      </c>
      <c r="AD45" s="77">
        <f>'Key Generator'!AE584</f>
        <v>28</v>
      </c>
      <c r="AE45" s="77">
        <f>'Key Generator'!AF584</f>
        <v>29</v>
      </c>
      <c r="AF45" s="77">
        <f>'Key Generator'!AG584</f>
        <v>30</v>
      </c>
      <c r="AG45" s="77">
        <f>'Key Generator'!AH584</f>
        <v>31</v>
      </c>
      <c r="AH45" s="77">
        <f>'Key Generator'!AI584</f>
        <v>32</v>
      </c>
      <c r="AI45" s="77">
        <f>'Key Generator'!AJ584</f>
        <v>33</v>
      </c>
      <c r="AJ45" s="77">
        <f>'Key Generator'!AK584</f>
        <v>34</v>
      </c>
      <c r="AK45" s="77">
        <f>'Key Generator'!AL584</f>
        <v>35</v>
      </c>
      <c r="AL45" s="77">
        <f>'Key Generator'!AM584</f>
        <v>36</v>
      </c>
      <c r="AM45" s="77">
        <f>'Key Generator'!AN584</f>
        <v>37</v>
      </c>
      <c r="AN45" s="77">
        <f>'Key Generator'!AO584</f>
        <v>38</v>
      </c>
      <c r="AO45" s="77">
        <f>'Key Generator'!AP584</f>
        <v>39</v>
      </c>
      <c r="AP45" s="77">
        <f>'Key Generator'!AQ584</f>
        <v>40</v>
      </c>
      <c r="AQ45" s="77">
        <f>'Key Generator'!AR584</f>
        <v>41</v>
      </c>
      <c r="AR45" s="77">
        <f>'Key Generator'!AS584</f>
        <v>42</v>
      </c>
      <c r="AS45" s="77">
        <f>'Key Generator'!AT584</f>
        <v>43</v>
      </c>
      <c r="AT45" s="77">
        <f>'Key Generator'!AU584</f>
        <v>44</v>
      </c>
      <c r="AU45" s="77">
        <f>'Key Generator'!AV584</f>
        <v>45</v>
      </c>
      <c r="AV45" s="77">
        <f>'Key Generator'!AW584</f>
        <v>46</v>
      </c>
      <c r="AW45" s="77">
        <f>'Key Generator'!AX584</f>
        <v>47</v>
      </c>
      <c r="AX45" s="77">
        <f>'Key Generator'!AY584</f>
        <v>48</v>
      </c>
    </row>
    <row r="46" spans="1:50" s="21" customFormat="1" ht="24.95" customHeight="1" x14ac:dyDescent="0.25">
      <c r="B46" s="64"/>
      <c r="C46" s="77">
        <f>'Key Generator'!D585</f>
        <v>0</v>
      </c>
      <c r="D46" s="77">
        <f>'Key Generator'!E585</f>
        <v>1</v>
      </c>
      <c r="E46" s="77">
        <f>'Key Generator'!F585</f>
        <v>0</v>
      </c>
      <c r="F46" s="77">
        <f>'Key Generator'!G585</f>
        <v>1</v>
      </c>
      <c r="G46" s="77">
        <f>'Key Generator'!H585</f>
        <v>0</v>
      </c>
      <c r="H46" s="77">
        <f>'Key Generator'!I585</f>
        <v>0</v>
      </c>
      <c r="I46" s="77">
        <f>'Key Generator'!J585</f>
        <v>0</v>
      </c>
      <c r="J46" s="77">
        <f>'Key Generator'!K585</f>
        <v>1</v>
      </c>
      <c r="K46" s="77">
        <f>'Key Generator'!L585</f>
        <v>0</v>
      </c>
      <c r="L46" s="77">
        <f>'Key Generator'!M585</f>
        <v>0</v>
      </c>
      <c r="M46" s="77">
        <f>'Key Generator'!N585</f>
        <v>1</v>
      </c>
      <c r="N46" s="77">
        <f>'Key Generator'!O585</f>
        <v>0</v>
      </c>
      <c r="O46" s="77">
        <f>'Key Generator'!P585</f>
        <v>1</v>
      </c>
      <c r="P46" s="77">
        <f>'Key Generator'!Q585</f>
        <v>1</v>
      </c>
      <c r="Q46" s="77">
        <f>'Key Generator'!R585</f>
        <v>0</v>
      </c>
      <c r="R46" s="77">
        <f>'Key Generator'!S585</f>
        <v>0</v>
      </c>
      <c r="S46" s="77">
        <f>'Key Generator'!T585</f>
        <v>0</v>
      </c>
      <c r="T46" s="77">
        <f>'Key Generator'!U585</f>
        <v>1</v>
      </c>
      <c r="U46" s="77">
        <f>'Key Generator'!V585</f>
        <v>1</v>
      </c>
      <c r="V46" s="77">
        <f>'Key Generator'!W585</f>
        <v>0</v>
      </c>
      <c r="W46" s="77">
        <f>'Key Generator'!X585</f>
        <v>0</v>
      </c>
      <c r="X46" s="77">
        <f>'Key Generator'!Y585</f>
        <v>0</v>
      </c>
      <c r="Y46" s="77">
        <f>'Key Generator'!Z585</f>
        <v>0</v>
      </c>
      <c r="Z46" s="77">
        <f>'Key Generator'!AA585</f>
        <v>0</v>
      </c>
      <c r="AA46" s="77">
        <f>'Key Generator'!AB585</f>
        <v>1</v>
      </c>
      <c r="AB46" s="77">
        <f>'Key Generator'!AC585</f>
        <v>0</v>
      </c>
      <c r="AC46" s="77">
        <f>'Key Generator'!AD585</f>
        <v>1</v>
      </c>
      <c r="AD46" s="77">
        <f>'Key Generator'!AE585</f>
        <v>0</v>
      </c>
      <c r="AE46" s="77">
        <f>'Key Generator'!AF585</f>
        <v>0</v>
      </c>
      <c r="AF46" s="77">
        <f>'Key Generator'!AG585</f>
        <v>0</v>
      </c>
      <c r="AG46" s="77">
        <f>'Key Generator'!AH585</f>
        <v>0</v>
      </c>
      <c r="AH46" s="77">
        <f>'Key Generator'!AI585</f>
        <v>1</v>
      </c>
      <c r="AI46" s="77">
        <f>'Key Generator'!AJ585</f>
        <v>0</v>
      </c>
      <c r="AJ46" s="77">
        <f>'Key Generator'!AK585</f>
        <v>0</v>
      </c>
      <c r="AK46" s="77">
        <f>'Key Generator'!AL585</f>
        <v>0</v>
      </c>
      <c r="AL46" s="77">
        <f>'Key Generator'!AM585</f>
        <v>1</v>
      </c>
      <c r="AM46" s="77">
        <f>'Key Generator'!AN585</f>
        <v>1</v>
      </c>
      <c r="AN46" s="77">
        <f>'Key Generator'!AO585</f>
        <v>1</v>
      </c>
      <c r="AO46" s="77">
        <f>'Key Generator'!AP585</f>
        <v>0</v>
      </c>
      <c r="AP46" s="77">
        <f>'Key Generator'!AQ585</f>
        <v>1</v>
      </c>
      <c r="AQ46" s="77">
        <f>'Key Generator'!AR585</f>
        <v>1</v>
      </c>
      <c r="AR46" s="77">
        <f>'Key Generator'!AS585</f>
        <v>0</v>
      </c>
      <c r="AS46" s="77">
        <f>'Key Generator'!AT585</f>
        <v>1</v>
      </c>
      <c r="AT46" s="77">
        <f>'Key Generator'!AU585</f>
        <v>1</v>
      </c>
      <c r="AU46" s="77">
        <f>'Key Generator'!AV585</f>
        <v>1</v>
      </c>
      <c r="AV46" s="77">
        <f>'Key Generator'!AW585</f>
        <v>0</v>
      </c>
      <c r="AW46" s="77">
        <f>'Key Generator'!AX585</f>
        <v>1</v>
      </c>
      <c r="AX46" s="77">
        <f>'Key Generator'!AY585</f>
        <v>1</v>
      </c>
    </row>
    <row r="47" spans="1:50" s="21" customFormat="1" ht="24.95" customHeight="1" x14ac:dyDescent="0.25">
      <c r="B47" s="64"/>
      <c r="C47" s="62"/>
    </row>
    <row r="48" spans="1:50" s="21" customFormat="1" ht="24.95" customHeight="1" x14ac:dyDescent="0.25">
      <c r="B48" s="64"/>
      <c r="C48" s="62"/>
    </row>
    <row r="49" spans="1:79" s="21" customFormat="1" ht="24.95" customHeight="1" x14ac:dyDescent="0.25">
      <c r="A49" s="128" t="s">
        <v>535</v>
      </c>
      <c r="B49" s="129"/>
      <c r="C49" s="79">
        <v>1</v>
      </c>
      <c r="D49" s="80">
        <v>2</v>
      </c>
      <c r="E49" s="79">
        <v>3</v>
      </c>
      <c r="F49" s="80">
        <v>4</v>
      </c>
      <c r="G49" s="79">
        <v>5</v>
      </c>
      <c r="H49" s="80">
        <v>6</v>
      </c>
      <c r="I49" s="79">
        <v>7</v>
      </c>
      <c r="J49" s="80">
        <v>8</v>
      </c>
      <c r="K49" s="79">
        <v>9</v>
      </c>
      <c r="L49" s="80">
        <v>10</v>
      </c>
      <c r="M49" s="79">
        <v>11</v>
      </c>
      <c r="N49" s="80">
        <v>12</v>
      </c>
      <c r="O49" s="79">
        <v>13</v>
      </c>
      <c r="P49" s="80">
        <v>14</v>
      </c>
      <c r="Q49" s="79">
        <v>15</v>
      </c>
      <c r="R49" s="80">
        <v>16</v>
      </c>
      <c r="S49" s="79">
        <v>17</v>
      </c>
      <c r="T49" s="80">
        <v>18</v>
      </c>
      <c r="U49" s="79">
        <v>19</v>
      </c>
      <c r="V49" s="80">
        <v>20</v>
      </c>
      <c r="W49" s="79">
        <v>21</v>
      </c>
      <c r="X49" s="80">
        <v>22</v>
      </c>
      <c r="Y49" s="79">
        <v>23</v>
      </c>
      <c r="Z49" s="80">
        <v>24</v>
      </c>
      <c r="AA49" s="79">
        <v>25</v>
      </c>
      <c r="AB49" s="80">
        <v>26</v>
      </c>
      <c r="AC49" s="79">
        <v>27</v>
      </c>
      <c r="AD49" s="80">
        <v>28</v>
      </c>
      <c r="AE49" s="79">
        <v>29</v>
      </c>
      <c r="AF49" s="80">
        <v>30</v>
      </c>
      <c r="AG49" s="79">
        <v>31</v>
      </c>
      <c r="AH49" s="80">
        <v>32</v>
      </c>
      <c r="AI49" s="79">
        <v>33</v>
      </c>
      <c r="AJ49" s="80">
        <v>34</v>
      </c>
      <c r="AK49" s="79">
        <v>35</v>
      </c>
      <c r="AL49" s="80">
        <v>36</v>
      </c>
      <c r="AM49" s="79">
        <v>37</v>
      </c>
      <c r="AN49" s="80">
        <v>38</v>
      </c>
      <c r="AO49" s="79">
        <v>39</v>
      </c>
      <c r="AP49" s="80">
        <v>40</v>
      </c>
      <c r="AQ49" s="79">
        <v>41</v>
      </c>
      <c r="AR49" s="80">
        <v>42</v>
      </c>
      <c r="AS49" s="79">
        <v>43</v>
      </c>
      <c r="AT49" s="80">
        <v>44</v>
      </c>
      <c r="AU49" s="79">
        <v>45</v>
      </c>
      <c r="AV49" s="80">
        <v>46</v>
      </c>
      <c r="AW49" s="79">
        <v>47</v>
      </c>
      <c r="AX49" s="80">
        <v>48</v>
      </c>
    </row>
    <row r="50" spans="1:79" s="21" customFormat="1" ht="24.95" customHeight="1" x14ac:dyDescent="0.25">
      <c r="B50" s="64"/>
      <c r="C50" s="88">
        <f>--_xlfn.XOR(C42,'Key Generator'!D585)</f>
        <v>0</v>
      </c>
      <c r="D50" s="88">
        <f>--_xlfn.XOR(D42,'Key Generator'!E585)</f>
        <v>1</v>
      </c>
      <c r="E50" s="88">
        <f>--_xlfn.XOR(E42,'Key Generator'!F585)</f>
        <v>0</v>
      </c>
      <c r="F50" s="88">
        <f>--_xlfn.XOR(F42,'Key Generator'!G585)</f>
        <v>1</v>
      </c>
      <c r="G50" s="88">
        <f>--_xlfn.XOR(G42,'Key Generator'!H585)</f>
        <v>1</v>
      </c>
      <c r="H50" s="88">
        <f>--_xlfn.XOR(H42,'Key Generator'!I585)</f>
        <v>0</v>
      </c>
      <c r="I50" s="87">
        <f>--_xlfn.XOR(I42,'Key Generator'!J585)</f>
        <v>1</v>
      </c>
      <c r="J50" s="87">
        <f>--_xlfn.XOR(J42,'Key Generator'!K585)</f>
        <v>1</v>
      </c>
      <c r="K50" s="87">
        <f>--_xlfn.XOR(K42,'Key Generator'!L585)</f>
        <v>0</v>
      </c>
      <c r="L50" s="87">
        <f>--_xlfn.XOR(L42,'Key Generator'!M585)</f>
        <v>0</v>
      </c>
      <c r="M50" s="87">
        <f>--_xlfn.XOR(M42,'Key Generator'!N585)</f>
        <v>1</v>
      </c>
      <c r="N50" s="87">
        <f>--_xlfn.XOR(N42,'Key Generator'!O585)</f>
        <v>1</v>
      </c>
      <c r="O50" s="89">
        <f>--_xlfn.XOR(O42,'Key Generator'!P585)</f>
        <v>1</v>
      </c>
      <c r="P50" s="89">
        <f>--_xlfn.XOR(P42,'Key Generator'!Q585)</f>
        <v>0</v>
      </c>
      <c r="Q50" s="89">
        <f>--_xlfn.XOR(Q42,'Key Generator'!R585)</f>
        <v>1</v>
      </c>
      <c r="R50" s="89">
        <f>--_xlfn.XOR(R42,'Key Generator'!S585)</f>
        <v>0</v>
      </c>
      <c r="S50" s="89">
        <f>--_xlfn.XOR(S42,'Key Generator'!T585)</f>
        <v>0</v>
      </c>
      <c r="T50" s="89">
        <f>--_xlfn.XOR(T42,'Key Generator'!U585)</f>
        <v>0</v>
      </c>
      <c r="U50" s="90">
        <f>--_xlfn.XOR(U42,'Key Generator'!V585)</f>
        <v>1</v>
      </c>
      <c r="V50" s="90">
        <f>--_xlfn.XOR(V42,'Key Generator'!W585)</f>
        <v>1</v>
      </c>
      <c r="W50" s="90">
        <f>--_xlfn.XOR(W42,'Key Generator'!X585)</f>
        <v>0</v>
      </c>
      <c r="X50" s="90">
        <f>--_xlfn.XOR(X42,'Key Generator'!Y585)</f>
        <v>1</v>
      </c>
      <c r="Y50" s="90">
        <f>--_xlfn.XOR(Y42,'Key Generator'!Z585)</f>
        <v>1</v>
      </c>
      <c r="Z50" s="90">
        <f>--_xlfn.XOR(Z42,'Key Generator'!AA585)</f>
        <v>1</v>
      </c>
      <c r="AA50" s="91">
        <f>--_xlfn.XOR(AA42,'Key Generator'!AB585)</f>
        <v>0</v>
      </c>
      <c r="AB50" s="91">
        <f>--_xlfn.XOR(AB42,'Key Generator'!AC585)</f>
        <v>1</v>
      </c>
      <c r="AC50" s="91">
        <f>--_xlfn.XOR(AC42,'Key Generator'!AD585)</f>
        <v>1</v>
      </c>
      <c r="AD50" s="91">
        <f>--_xlfn.XOR(AD42,'Key Generator'!AE585)</f>
        <v>1</v>
      </c>
      <c r="AE50" s="91">
        <f>--_xlfn.XOR(AE42,'Key Generator'!AF585)</f>
        <v>0</v>
      </c>
      <c r="AF50" s="91">
        <f>--_xlfn.XOR(AF42,'Key Generator'!AG585)</f>
        <v>0</v>
      </c>
      <c r="AG50" s="92">
        <f>--_xlfn.XOR(AG42,'Key Generator'!AH585)</f>
        <v>0</v>
      </c>
      <c r="AH50" s="92">
        <f>--_xlfn.XOR(AH42,'Key Generator'!AI585)</f>
        <v>1</v>
      </c>
      <c r="AI50" s="92">
        <f>--_xlfn.XOR(AI42,'Key Generator'!AJ585)</f>
        <v>1</v>
      </c>
      <c r="AJ50" s="92">
        <f>--_xlfn.XOR(AJ42,'Key Generator'!AK585)</f>
        <v>0</v>
      </c>
      <c r="AK50" s="92">
        <f>--_xlfn.XOR(AK42,'Key Generator'!AL585)</f>
        <v>1</v>
      </c>
      <c r="AL50" s="92">
        <f>--_xlfn.XOR(AL42,'Key Generator'!AM585)</f>
        <v>1</v>
      </c>
      <c r="AM50" s="86">
        <f>--_xlfn.XOR(AM42,'Key Generator'!AN585)</f>
        <v>0</v>
      </c>
      <c r="AN50" s="86">
        <f>--_xlfn.XOR(AN42,'Key Generator'!AO585)</f>
        <v>1</v>
      </c>
      <c r="AO50" s="86">
        <f>--_xlfn.XOR(AO42,'Key Generator'!AP585)</f>
        <v>0</v>
      </c>
      <c r="AP50" s="86">
        <f>--_xlfn.XOR(AP42,'Key Generator'!AQ585)</f>
        <v>1</v>
      </c>
      <c r="AQ50" s="86">
        <f>--_xlfn.XOR(AQ42,'Key Generator'!AR585)</f>
        <v>0</v>
      </c>
      <c r="AR50" s="86">
        <f>--_xlfn.XOR(AR42,'Key Generator'!AS585)</f>
        <v>1</v>
      </c>
      <c r="AS50" s="81">
        <f>--_xlfn.XOR(AS42,'Key Generator'!AT585)</f>
        <v>0</v>
      </c>
      <c r="AT50" s="81">
        <f>--_xlfn.XOR(AT42,'Key Generator'!AU585)</f>
        <v>0</v>
      </c>
      <c r="AU50" s="81">
        <f>--_xlfn.XOR(AU42,'Key Generator'!AV585)</f>
        <v>0</v>
      </c>
      <c r="AV50" s="81">
        <f>--_xlfn.XOR(AV42,'Key Generator'!AW585)</f>
        <v>0</v>
      </c>
      <c r="AW50" s="81">
        <f>--_xlfn.XOR(AW42,'Key Generator'!AX585)</f>
        <v>1</v>
      </c>
      <c r="AX50" s="81">
        <f>--_xlfn.XOR(AX42,'Key Generator'!AY585)</f>
        <v>1</v>
      </c>
    </row>
    <row r="51" spans="1:79" s="21" customFormat="1" ht="24.95" customHeight="1" x14ac:dyDescent="0.25">
      <c r="B51" s="64"/>
      <c r="C51" s="93"/>
      <c r="D51" s="94"/>
      <c r="E51" s="94"/>
      <c r="F51" s="94"/>
      <c r="G51" s="94"/>
      <c r="H51" s="94"/>
    </row>
    <row r="52" spans="1:79" s="97" customFormat="1" ht="24.95" customHeight="1" x14ac:dyDescent="0.25">
      <c r="A52" s="96" t="s">
        <v>545</v>
      </c>
      <c r="C52" s="101">
        <f>D50*8+E50*4+F50*2+G50</f>
        <v>11</v>
      </c>
      <c r="D52" s="97" t="s">
        <v>536</v>
      </c>
      <c r="I52" s="101">
        <f>J50*8+K50*4+L50*2+M50</f>
        <v>9</v>
      </c>
      <c r="J52" s="97" t="s">
        <v>537</v>
      </c>
      <c r="O52" s="101">
        <f>P50*8+Q50*4+R50*2+S50</f>
        <v>4</v>
      </c>
      <c r="P52" s="97" t="s">
        <v>538</v>
      </c>
      <c r="U52" s="101">
        <f>V50*8+W50*4+X50*2+Y50</f>
        <v>11</v>
      </c>
      <c r="V52" s="97" t="s">
        <v>539</v>
      </c>
      <c r="AA52" s="101">
        <f>AB50*8+AC50*4+AD50*2+AE50</f>
        <v>14</v>
      </c>
      <c r="AB52" s="97" t="s">
        <v>540</v>
      </c>
      <c r="AG52" s="101">
        <f>AH50*8+AI50*4+AJ50*2+AK50</f>
        <v>13</v>
      </c>
      <c r="AH52" s="97" t="s">
        <v>541</v>
      </c>
      <c r="AM52" s="101">
        <f>AN50*8+AO50*4+AP50*2+AQ50</f>
        <v>10</v>
      </c>
      <c r="AN52" s="97" t="s">
        <v>542</v>
      </c>
      <c r="AS52" s="101">
        <f>AT50*8+AU50*4+AV50*2+AW50</f>
        <v>1</v>
      </c>
      <c r="AT52" s="97" t="s">
        <v>543</v>
      </c>
    </row>
    <row r="53" spans="1:79" s="99" customFormat="1" ht="24.95" customHeight="1" x14ac:dyDescent="0.25">
      <c r="A53" s="100" t="s">
        <v>546</v>
      </c>
      <c r="C53" s="87">
        <f>C50*2+H50</f>
        <v>0</v>
      </c>
      <c r="D53" s="98"/>
      <c r="E53" s="98"/>
      <c r="I53" s="87">
        <f>I50*2+N50</f>
        <v>3</v>
      </c>
      <c r="O53" s="87">
        <f>O50*2+T50</f>
        <v>2</v>
      </c>
      <c r="U53" s="87">
        <f>U50*2+Z50</f>
        <v>3</v>
      </c>
      <c r="AA53" s="87">
        <f>AA50*2+AF50</f>
        <v>0</v>
      </c>
      <c r="AG53" s="87">
        <f>AG50*2+AL50</f>
        <v>1</v>
      </c>
      <c r="AM53" s="87">
        <f>AM50*2+AR50</f>
        <v>1</v>
      </c>
      <c r="AS53" s="87">
        <f>AS50*2+AX50</f>
        <v>1</v>
      </c>
    </row>
    <row r="54" spans="1:79" s="21" customFormat="1" ht="24.95" customHeight="1" x14ac:dyDescent="0.25">
      <c r="B54" s="64"/>
      <c r="C54" s="62"/>
    </row>
    <row r="55" spans="1:79" s="21" customFormat="1" ht="24.95" customHeight="1" x14ac:dyDescent="0.25">
      <c r="A55" s="117" t="s">
        <v>547</v>
      </c>
      <c r="B55" s="64"/>
      <c r="C55" s="72">
        <f>INDEX('S-Box'!D3:S6,'DES-Dec'!C53+1,'DES-Dec'!C52+1)</f>
        <v>12</v>
      </c>
      <c r="I55" s="102">
        <f>INDEX('S-Box'!D9:S12,'DES-Dec'!I53+1,'DES-Dec'!I52+1)</f>
        <v>6</v>
      </c>
      <c r="O55" s="102">
        <f>INDEX('S-Box'!D15:S18,'DES-Dec'!O53+1,'DES-Dec'!O52+1)</f>
        <v>8</v>
      </c>
      <c r="U55" s="102">
        <f>INDEX('S-Box'!D21:S24,'DES-Dec'!U53+1,'DES-Dec'!U52+1)</f>
        <v>11</v>
      </c>
      <c r="AA55" s="102">
        <f>INDEX('S-Box'!D27:S30,'DES-Dec'!AA53+1,'DES-Dec'!AA52+1)</f>
        <v>14</v>
      </c>
      <c r="AG55" s="102">
        <f>INDEX('S-Box'!D33:S36,'DES-Dec'!AG53+1,'DES-Dec'!AG52+1)</f>
        <v>11</v>
      </c>
      <c r="AM55" s="102">
        <f>INDEX('S-Box'!D39:S42,'DES-Dec'!AM53+1,'DES-Dec'!AM52+1)</f>
        <v>5</v>
      </c>
      <c r="AS55" s="102">
        <f>INDEX('S-Box'!D45:S48,'DES-Dec'!AS53+1,'DES-Dec'!AS52+1)</f>
        <v>15</v>
      </c>
    </row>
    <row r="56" spans="1:79" s="21" customFormat="1" ht="24.95" customHeight="1" x14ac:dyDescent="0.25">
      <c r="B56" s="64"/>
      <c r="C56" s="104"/>
      <c r="I56" s="95"/>
      <c r="O56" s="95"/>
      <c r="U56" s="95"/>
      <c r="AA56" s="95"/>
      <c r="AG56" s="95"/>
      <c r="AM56" s="95"/>
      <c r="AS56" s="95"/>
    </row>
    <row r="57" spans="1:79" s="21" customFormat="1" ht="24.95" customHeight="1" x14ac:dyDescent="0.25">
      <c r="B57" s="64"/>
      <c r="C57" s="105" t="str">
        <f>MID(DEC2BIN(C55,4),1,1)</f>
        <v>1</v>
      </c>
      <c r="D57" s="106" t="str">
        <f>MID(DEC2BIN(C55,4),2,1)</f>
        <v>1</v>
      </c>
      <c r="E57" s="106" t="str">
        <f>MID(DEC2BIN(C55,4),3,1)</f>
        <v>0</v>
      </c>
      <c r="F57" s="107" t="str">
        <f>MID(DEC2BIN(C55,4),4,1)</f>
        <v>0</v>
      </c>
      <c r="I57" s="105" t="str">
        <f>MID(DEC2BIN(I55,4),1,1)</f>
        <v>0</v>
      </c>
      <c r="J57" s="106" t="str">
        <f>MID(DEC2BIN(I55,4),2,1)</f>
        <v>1</v>
      </c>
      <c r="K57" s="106" t="str">
        <f>MID(DEC2BIN(I55,4),3,1)</f>
        <v>1</v>
      </c>
      <c r="L57" s="107" t="str">
        <f>MID(DEC2BIN(I55,4),4,1)</f>
        <v>0</v>
      </c>
      <c r="O57" s="105" t="str">
        <f>MID(DEC2BIN(O55,4),1,1)</f>
        <v>1</v>
      </c>
      <c r="P57" s="106" t="str">
        <f>MID(DEC2BIN(O55,4),2,1)</f>
        <v>0</v>
      </c>
      <c r="Q57" s="106" t="str">
        <f>MID(DEC2BIN(O55,4),3,1)</f>
        <v>0</v>
      </c>
      <c r="R57" s="107" t="str">
        <f>MID(DEC2BIN(O55,4),4,1)</f>
        <v>0</v>
      </c>
      <c r="U57" s="105" t="str">
        <f>MID(DEC2BIN(U55,4),1,1)</f>
        <v>1</v>
      </c>
      <c r="V57" s="106" t="str">
        <f>MID(DEC2BIN(U55,4),2,1)</f>
        <v>0</v>
      </c>
      <c r="W57" s="106" t="str">
        <f>MID(DEC2BIN(U55,4),3,1)</f>
        <v>1</v>
      </c>
      <c r="X57" s="107" t="str">
        <f>MID(DEC2BIN(U55,4),4,1)</f>
        <v>1</v>
      </c>
      <c r="AA57" s="105" t="str">
        <f>MID(DEC2BIN(AA55,4),1,1)</f>
        <v>1</v>
      </c>
      <c r="AB57" s="106" t="str">
        <f>MID(DEC2BIN(AA55,4),2,1)</f>
        <v>1</v>
      </c>
      <c r="AC57" s="106" t="str">
        <f>MID(DEC2BIN(AA55,4),3,1)</f>
        <v>1</v>
      </c>
      <c r="AD57" s="107" t="str">
        <f>MID(DEC2BIN(AA55,4),4,1)</f>
        <v>0</v>
      </c>
      <c r="AG57" s="105" t="str">
        <f>MID(DEC2BIN(AG55,4),1,1)</f>
        <v>1</v>
      </c>
      <c r="AH57" s="106" t="str">
        <f>MID(DEC2BIN(AG55,4),2,1)</f>
        <v>0</v>
      </c>
      <c r="AI57" s="106" t="str">
        <f>MID(DEC2BIN(AG55,4),3,1)</f>
        <v>1</v>
      </c>
      <c r="AJ57" s="107" t="str">
        <f>MID(DEC2BIN(AG55,4),4,1)</f>
        <v>1</v>
      </c>
      <c r="AM57" s="105" t="str">
        <f>MID(DEC2BIN(AM55,4),1,1)</f>
        <v>0</v>
      </c>
      <c r="AN57" s="106" t="str">
        <f>MID(DEC2BIN(AM55,4),2,1)</f>
        <v>1</v>
      </c>
      <c r="AO57" s="106" t="str">
        <f>MID(DEC2BIN(AM55,4),3,1)</f>
        <v>0</v>
      </c>
      <c r="AP57" s="107" t="str">
        <f>MID(DEC2BIN(AM55,4),4,1)</f>
        <v>1</v>
      </c>
      <c r="AS57" s="105" t="str">
        <f>MID(DEC2BIN(AS55,4),1,1)</f>
        <v>1</v>
      </c>
      <c r="AT57" s="106" t="str">
        <f>MID(DEC2BIN(AS55,4),2,1)</f>
        <v>1</v>
      </c>
      <c r="AU57" s="106" t="str">
        <f>MID(DEC2BIN(AS55,4),3,1)</f>
        <v>1</v>
      </c>
      <c r="AV57" s="107" t="str">
        <f>MID(DEC2BIN(AS55,4),4,1)</f>
        <v>1</v>
      </c>
    </row>
    <row r="58" spans="1:79" s="21" customFormat="1" ht="24.95" customHeight="1" x14ac:dyDescent="0.25">
      <c r="B58" s="64"/>
      <c r="C58" s="21">
        <f>VALUE(C57)</f>
        <v>1</v>
      </c>
      <c r="D58" s="21">
        <f t="shared" ref="D58:F58" si="24">VALUE(D57)</f>
        <v>1</v>
      </c>
      <c r="E58" s="21">
        <f t="shared" si="24"/>
        <v>0</v>
      </c>
      <c r="F58" s="21">
        <f t="shared" si="24"/>
        <v>0</v>
      </c>
      <c r="I58" s="21">
        <f t="shared" ref="I58:L58" si="25">VALUE(I57)</f>
        <v>0</v>
      </c>
      <c r="J58" s="21">
        <f t="shared" si="25"/>
        <v>1</v>
      </c>
      <c r="K58" s="21">
        <f t="shared" si="25"/>
        <v>1</v>
      </c>
      <c r="L58" s="21">
        <f t="shared" si="25"/>
        <v>0</v>
      </c>
      <c r="O58" s="21">
        <f>VALUE(O57)</f>
        <v>1</v>
      </c>
      <c r="P58" s="21">
        <f t="shared" ref="P58:R58" si="26">VALUE(P57)</f>
        <v>0</v>
      </c>
      <c r="Q58" s="21">
        <f t="shared" si="26"/>
        <v>0</v>
      </c>
      <c r="R58" s="21">
        <f t="shared" si="26"/>
        <v>0</v>
      </c>
      <c r="U58" s="21">
        <f>VALUE(U57)</f>
        <v>1</v>
      </c>
      <c r="V58" s="21">
        <f t="shared" ref="V58:X58" si="27">VALUE(V57)</f>
        <v>0</v>
      </c>
      <c r="W58" s="21">
        <f t="shared" si="27"/>
        <v>1</v>
      </c>
      <c r="X58" s="21">
        <f t="shared" si="27"/>
        <v>1</v>
      </c>
      <c r="AA58" s="21">
        <f>VALUE(AA57)</f>
        <v>1</v>
      </c>
      <c r="AB58" s="21">
        <f t="shared" ref="AB58:AD58" si="28">VALUE(AB57)</f>
        <v>1</v>
      </c>
      <c r="AC58" s="21">
        <f t="shared" si="28"/>
        <v>1</v>
      </c>
      <c r="AD58" s="21">
        <f t="shared" si="28"/>
        <v>0</v>
      </c>
      <c r="AG58" s="21">
        <f>VALUE(AG57)</f>
        <v>1</v>
      </c>
      <c r="AH58" s="21">
        <f t="shared" ref="AH58:AJ58" si="29">VALUE(AH57)</f>
        <v>0</v>
      </c>
      <c r="AI58" s="21">
        <f t="shared" si="29"/>
        <v>1</v>
      </c>
      <c r="AJ58" s="21">
        <f t="shared" si="29"/>
        <v>1</v>
      </c>
      <c r="AM58" s="21">
        <f>VALUE(AM57)</f>
        <v>0</v>
      </c>
      <c r="AN58" s="21">
        <f t="shared" ref="AN58:AP58" si="30">VALUE(AN57)</f>
        <v>1</v>
      </c>
      <c r="AO58" s="21">
        <f t="shared" si="30"/>
        <v>0</v>
      </c>
      <c r="AP58" s="21">
        <f t="shared" si="30"/>
        <v>1</v>
      </c>
      <c r="AS58" s="21">
        <f>VALUE(AS57)</f>
        <v>1</v>
      </c>
      <c r="AT58" s="21">
        <f t="shared" ref="AT58:AV58" si="31">VALUE(AT57)</f>
        <v>1</v>
      </c>
      <c r="AU58" s="21">
        <f t="shared" si="31"/>
        <v>1</v>
      </c>
      <c r="AV58" s="21">
        <f t="shared" si="31"/>
        <v>1</v>
      </c>
    </row>
    <row r="59" spans="1:79" s="21" customFormat="1" ht="24.95" customHeight="1" x14ac:dyDescent="0.25">
      <c r="A59" s="111" t="s">
        <v>588</v>
      </c>
      <c r="B59" s="111"/>
      <c r="C59" s="111">
        <v>1</v>
      </c>
      <c r="D59" s="76">
        <v>2</v>
      </c>
      <c r="E59" s="111">
        <v>3</v>
      </c>
      <c r="F59" s="76">
        <v>4</v>
      </c>
      <c r="G59" s="111">
        <v>5</v>
      </c>
      <c r="H59" s="76">
        <v>6</v>
      </c>
      <c r="I59" s="111">
        <v>7</v>
      </c>
      <c r="J59" s="76">
        <v>8</v>
      </c>
      <c r="K59" s="111">
        <v>9</v>
      </c>
      <c r="L59" s="76">
        <v>10</v>
      </c>
      <c r="M59" s="111">
        <v>11</v>
      </c>
      <c r="N59" s="76">
        <v>12</v>
      </c>
      <c r="O59" s="111">
        <v>13</v>
      </c>
      <c r="P59" s="76">
        <v>14</v>
      </c>
      <c r="Q59" s="111">
        <v>15</v>
      </c>
      <c r="R59" s="76">
        <v>16</v>
      </c>
      <c r="S59" s="111">
        <v>17</v>
      </c>
      <c r="T59" s="76">
        <v>18</v>
      </c>
      <c r="U59" s="111">
        <v>19</v>
      </c>
      <c r="V59" s="76">
        <v>20</v>
      </c>
      <c r="W59" s="111">
        <v>21</v>
      </c>
      <c r="X59" s="76">
        <v>22</v>
      </c>
      <c r="Y59" s="111">
        <v>23</v>
      </c>
      <c r="Z59" s="76">
        <v>24</v>
      </c>
      <c r="AA59" s="111">
        <v>25</v>
      </c>
      <c r="AB59" s="76">
        <v>26</v>
      </c>
      <c r="AC59" s="111">
        <v>27</v>
      </c>
      <c r="AD59" s="76">
        <v>28</v>
      </c>
      <c r="AE59" s="111">
        <v>29</v>
      </c>
      <c r="AF59" s="76">
        <v>30</v>
      </c>
      <c r="AG59" s="111">
        <v>31</v>
      </c>
      <c r="AH59" s="76">
        <v>32</v>
      </c>
    </row>
    <row r="60" spans="1:79" s="21" customFormat="1" ht="24.95" customHeight="1" x14ac:dyDescent="0.25">
      <c r="B60" s="64"/>
      <c r="C60" s="108">
        <f>C58</f>
        <v>1</v>
      </c>
      <c r="D60" s="108">
        <f t="shared" ref="D60:F60" si="32">D58</f>
        <v>1</v>
      </c>
      <c r="E60" s="108">
        <f t="shared" si="32"/>
        <v>0</v>
      </c>
      <c r="F60" s="108">
        <f t="shared" si="32"/>
        <v>0</v>
      </c>
      <c r="G60" s="23">
        <f>I58</f>
        <v>0</v>
      </c>
      <c r="H60" s="23">
        <f t="shared" ref="H60:J60" si="33">J58</f>
        <v>1</v>
      </c>
      <c r="I60" s="23">
        <f t="shared" si="33"/>
        <v>1</v>
      </c>
      <c r="J60" s="23">
        <f t="shared" si="33"/>
        <v>0</v>
      </c>
      <c r="K60" s="23">
        <f>O58</f>
        <v>1</v>
      </c>
      <c r="L60" s="23">
        <f t="shared" ref="L60:N60" si="34">P58</f>
        <v>0</v>
      </c>
      <c r="M60" s="23">
        <f t="shared" si="34"/>
        <v>0</v>
      </c>
      <c r="N60" s="23">
        <f t="shared" si="34"/>
        <v>0</v>
      </c>
      <c r="O60" s="23">
        <f>U58</f>
        <v>1</v>
      </c>
      <c r="P60" s="23">
        <f t="shared" ref="P60:R60" si="35">V58</f>
        <v>0</v>
      </c>
      <c r="Q60" s="23">
        <f t="shared" si="35"/>
        <v>1</v>
      </c>
      <c r="R60" s="23">
        <f t="shared" si="35"/>
        <v>1</v>
      </c>
      <c r="S60" s="23">
        <f>AA58</f>
        <v>1</v>
      </c>
      <c r="T60" s="23">
        <f t="shared" ref="T60:V60" si="36">AB58</f>
        <v>1</v>
      </c>
      <c r="U60" s="23">
        <f t="shared" si="36"/>
        <v>1</v>
      </c>
      <c r="V60" s="23">
        <f t="shared" si="36"/>
        <v>0</v>
      </c>
      <c r="W60" s="23">
        <f>AG58</f>
        <v>1</v>
      </c>
      <c r="X60" s="23">
        <f t="shared" ref="X60:Z60" si="37">AH58</f>
        <v>0</v>
      </c>
      <c r="Y60" s="23">
        <f t="shared" si="37"/>
        <v>1</v>
      </c>
      <c r="Z60" s="23">
        <f t="shared" si="37"/>
        <v>1</v>
      </c>
      <c r="AA60" s="23">
        <f>AM58</f>
        <v>0</v>
      </c>
      <c r="AB60" s="23">
        <f t="shared" ref="AB60:AD60" si="38">AN58</f>
        <v>1</v>
      </c>
      <c r="AC60" s="23">
        <f t="shared" si="38"/>
        <v>0</v>
      </c>
      <c r="AD60" s="23">
        <f t="shared" si="38"/>
        <v>1</v>
      </c>
      <c r="AE60" s="23">
        <f>AS58</f>
        <v>1</v>
      </c>
      <c r="AF60" s="23">
        <f t="shared" ref="AF60:AH60" si="39">AT58</f>
        <v>1</v>
      </c>
      <c r="AG60" s="23">
        <f t="shared" si="39"/>
        <v>1</v>
      </c>
      <c r="AH60" s="23">
        <f t="shared" si="39"/>
        <v>1</v>
      </c>
    </row>
    <row r="61" spans="1:79" s="21" customFormat="1" ht="24.95" customHeight="1" x14ac:dyDescent="0.25">
      <c r="B61" s="64"/>
      <c r="C61" s="62"/>
    </row>
    <row r="62" spans="1:79" s="21" customFormat="1" ht="24.95" customHeight="1" x14ac:dyDescent="0.25">
      <c r="A62" s="110" t="s">
        <v>548</v>
      </c>
      <c r="B62" s="110"/>
      <c r="C62" s="109">
        <v>16</v>
      </c>
      <c r="D62" s="110">
        <v>7</v>
      </c>
      <c r="E62" s="110">
        <v>20</v>
      </c>
      <c r="F62" s="110">
        <v>21</v>
      </c>
      <c r="G62" s="110">
        <v>29</v>
      </c>
      <c r="H62" s="110">
        <v>12</v>
      </c>
      <c r="I62" s="110">
        <v>28</v>
      </c>
      <c r="J62" s="110">
        <v>17</v>
      </c>
      <c r="K62" s="110">
        <v>1</v>
      </c>
      <c r="L62" s="110">
        <v>15</v>
      </c>
      <c r="M62" s="110">
        <v>23</v>
      </c>
      <c r="N62" s="110">
        <v>26</v>
      </c>
      <c r="O62" s="110">
        <v>5</v>
      </c>
      <c r="P62" s="110">
        <v>18</v>
      </c>
      <c r="Q62" s="110">
        <v>31</v>
      </c>
      <c r="R62" s="110">
        <v>10</v>
      </c>
      <c r="S62" s="110">
        <v>2</v>
      </c>
      <c r="T62" s="110">
        <v>8</v>
      </c>
      <c r="U62" s="110">
        <v>24</v>
      </c>
      <c r="V62" s="110">
        <v>14</v>
      </c>
      <c r="W62" s="110">
        <v>32</v>
      </c>
      <c r="X62" s="110">
        <v>27</v>
      </c>
      <c r="Y62" s="110">
        <v>3</v>
      </c>
      <c r="Z62" s="110">
        <v>9</v>
      </c>
      <c r="AA62" s="110">
        <v>19</v>
      </c>
      <c r="AB62" s="110">
        <v>13</v>
      </c>
      <c r="AC62" s="110">
        <v>30</v>
      </c>
      <c r="AD62" s="110">
        <v>6</v>
      </c>
      <c r="AE62" s="110">
        <v>22</v>
      </c>
      <c r="AF62" s="110">
        <v>11</v>
      </c>
      <c r="AG62" s="110">
        <v>4</v>
      </c>
      <c r="AH62" s="110">
        <v>25</v>
      </c>
    </row>
    <row r="63" spans="1:79" s="21" customFormat="1" ht="24.95" customHeight="1" x14ac:dyDescent="0.25">
      <c r="B63" s="64"/>
      <c r="C63" s="103">
        <f>K60</f>
        <v>1</v>
      </c>
      <c r="D63" s="103">
        <f>S60</f>
        <v>1</v>
      </c>
      <c r="E63" s="103">
        <f>Y60</f>
        <v>1</v>
      </c>
      <c r="F63" s="112">
        <f>AG60</f>
        <v>1</v>
      </c>
      <c r="G63" s="103">
        <f>O60</f>
        <v>1</v>
      </c>
      <c r="H63" s="103">
        <f>AD60</f>
        <v>1</v>
      </c>
      <c r="I63" s="103">
        <f>D60</f>
        <v>1</v>
      </c>
      <c r="J63" s="103">
        <f>T60</f>
        <v>1</v>
      </c>
      <c r="K63" s="103">
        <f>Z60</f>
        <v>1</v>
      </c>
      <c r="L63" s="103">
        <f>R60</f>
        <v>1</v>
      </c>
      <c r="M63" s="103">
        <f>AF60</f>
        <v>1</v>
      </c>
      <c r="N63" s="103">
        <f>H60</f>
        <v>1</v>
      </c>
      <c r="O63" s="103">
        <f>AB60</f>
        <v>1</v>
      </c>
      <c r="P63" s="103">
        <f>V60</f>
        <v>0</v>
      </c>
      <c r="Q63" s="103">
        <f>L60</f>
        <v>0</v>
      </c>
      <c r="R63" s="103">
        <f>C60</f>
        <v>1</v>
      </c>
      <c r="S63" s="103">
        <f>J60</f>
        <v>0</v>
      </c>
      <c r="T63" s="103">
        <f>P60</f>
        <v>0</v>
      </c>
      <c r="U63" s="103">
        <f>AA60</f>
        <v>0</v>
      </c>
      <c r="V63" s="103">
        <f>E60</f>
        <v>0</v>
      </c>
      <c r="W63" s="103">
        <f>F60</f>
        <v>0</v>
      </c>
      <c r="X63" s="103">
        <f>AE60</f>
        <v>1</v>
      </c>
      <c r="Y63" s="103">
        <f>M60</f>
        <v>0</v>
      </c>
      <c r="Z63" s="103">
        <f>U60</f>
        <v>1</v>
      </c>
      <c r="AA63" s="103">
        <f>AH60</f>
        <v>1</v>
      </c>
      <c r="AB63" s="103">
        <f>N60</f>
        <v>0</v>
      </c>
      <c r="AC63" s="103">
        <f>X60</f>
        <v>0</v>
      </c>
      <c r="AD63" s="103">
        <f>I60</f>
        <v>1</v>
      </c>
      <c r="AE63" s="103">
        <f>G60</f>
        <v>0</v>
      </c>
      <c r="AF63" s="103">
        <f>AC60</f>
        <v>0</v>
      </c>
      <c r="AG63" s="103">
        <f>Q60</f>
        <v>1</v>
      </c>
      <c r="AH63" s="103">
        <f>W60</f>
        <v>1</v>
      </c>
      <c r="AV63" s="103">
        <f>BK60</f>
        <v>0</v>
      </c>
      <c r="AW63" s="103">
        <f>BB60</f>
        <v>0</v>
      </c>
      <c r="AX63" s="103">
        <f>BO60</f>
        <v>0</v>
      </c>
      <c r="AY63" s="112">
        <f>BP60</f>
        <v>0</v>
      </c>
      <c r="AZ63" s="103">
        <f>BX60</f>
        <v>0</v>
      </c>
      <c r="BA63" s="103">
        <f>BG60</f>
        <v>0</v>
      </c>
      <c r="BB63" s="103">
        <f>BW60</f>
        <v>0</v>
      </c>
      <c r="BC63" s="103">
        <f>BL60</f>
        <v>0</v>
      </c>
      <c r="BD63" s="103">
        <f>AV60</f>
        <v>0</v>
      </c>
      <c r="BE63" s="103">
        <f>BJ60</f>
        <v>0</v>
      </c>
      <c r="BF63" s="103">
        <f>BR60</f>
        <v>0</v>
      </c>
      <c r="BG63" s="103">
        <f>BU60</f>
        <v>0</v>
      </c>
      <c r="BH63" s="103">
        <f>AZ60</f>
        <v>0</v>
      </c>
      <c r="BI63" s="103">
        <f>BM60</f>
        <v>0</v>
      </c>
      <c r="BJ63" s="103">
        <f>BZ60</f>
        <v>0</v>
      </c>
      <c r="BK63" s="103">
        <f>BE60</f>
        <v>0</v>
      </c>
      <c r="BL63" s="103">
        <f>AW60</f>
        <v>0</v>
      </c>
      <c r="BM63" s="103">
        <f>BC60</f>
        <v>0</v>
      </c>
      <c r="BN63" s="103">
        <f>BS60</f>
        <v>0</v>
      </c>
      <c r="BO63" s="103">
        <f>BI60</f>
        <v>0</v>
      </c>
      <c r="BP63" s="103">
        <f>CA60</f>
        <v>0</v>
      </c>
      <c r="BQ63" s="103">
        <f>BV60</f>
        <v>0</v>
      </c>
      <c r="BR63" s="103">
        <f>AX60</f>
        <v>0</v>
      </c>
      <c r="BS63" s="103">
        <f>BD60</f>
        <v>0</v>
      </c>
      <c r="BT63" s="103">
        <f>BN60</f>
        <v>0</v>
      </c>
      <c r="BU63" s="103">
        <f>BH60</f>
        <v>0</v>
      </c>
      <c r="BV63" s="103">
        <f>BY60</f>
        <v>0</v>
      </c>
      <c r="BW63" s="103">
        <f>BA60</f>
        <v>0</v>
      </c>
      <c r="BX63" s="103">
        <f>BQ60</f>
        <v>0</v>
      </c>
      <c r="BY63" s="103">
        <f>BF60</f>
        <v>0</v>
      </c>
      <c r="BZ63" s="103">
        <f>AY60</f>
        <v>0</v>
      </c>
      <c r="CA63" s="103">
        <f>BT60</f>
        <v>0</v>
      </c>
    </row>
    <row r="64" spans="1:79" s="21" customFormat="1" ht="24.95" customHeight="1" x14ac:dyDescent="0.25">
      <c r="B64" s="64"/>
      <c r="C64" s="130">
        <v>1</v>
      </c>
      <c r="D64" s="131">
        <v>2</v>
      </c>
      <c r="E64" s="130">
        <v>3</v>
      </c>
      <c r="F64" s="131">
        <v>4</v>
      </c>
      <c r="G64" s="130">
        <v>5</v>
      </c>
      <c r="H64" s="131">
        <v>6</v>
      </c>
      <c r="I64" s="130">
        <v>7</v>
      </c>
      <c r="J64" s="131">
        <v>8</v>
      </c>
      <c r="K64" s="130">
        <v>9</v>
      </c>
      <c r="L64" s="131">
        <v>10</v>
      </c>
      <c r="M64" s="130">
        <v>11</v>
      </c>
      <c r="N64" s="131">
        <v>12</v>
      </c>
      <c r="O64" s="130">
        <v>13</v>
      </c>
      <c r="P64" s="131">
        <v>14</v>
      </c>
      <c r="Q64" s="130">
        <v>15</v>
      </c>
      <c r="R64" s="131">
        <v>16</v>
      </c>
      <c r="S64" s="130">
        <v>17</v>
      </c>
      <c r="T64" s="131">
        <v>18</v>
      </c>
      <c r="U64" s="130">
        <v>19</v>
      </c>
      <c r="V64" s="131">
        <v>20</v>
      </c>
      <c r="W64" s="130">
        <v>21</v>
      </c>
      <c r="X64" s="131">
        <v>22</v>
      </c>
      <c r="Y64" s="130">
        <v>23</v>
      </c>
      <c r="Z64" s="131">
        <v>24</v>
      </c>
      <c r="AA64" s="130">
        <v>25</v>
      </c>
      <c r="AB64" s="131">
        <v>26</v>
      </c>
      <c r="AC64" s="130">
        <v>27</v>
      </c>
      <c r="AD64" s="131">
        <v>28</v>
      </c>
      <c r="AE64" s="130">
        <v>29</v>
      </c>
      <c r="AF64" s="131">
        <v>30</v>
      </c>
      <c r="AG64" s="130">
        <v>31</v>
      </c>
      <c r="AH64" s="131">
        <v>32</v>
      </c>
    </row>
    <row r="65" spans="1:57" s="21" customFormat="1" ht="24.95" customHeight="1" x14ac:dyDescent="0.25">
      <c r="B65" s="64"/>
      <c r="C65" s="62"/>
    </row>
    <row r="66" spans="1:57" s="21" customFormat="1" ht="24.95" customHeight="1" x14ac:dyDescent="0.25">
      <c r="B66" s="64"/>
      <c r="C66" s="62"/>
    </row>
    <row r="67" spans="1:57" s="21" customFormat="1" ht="24.95" customHeight="1" x14ac:dyDescent="0.25">
      <c r="B67" s="64"/>
      <c r="C67" s="62"/>
    </row>
    <row r="68" spans="1:57" s="21" customFormat="1" ht="24.95" customHeight="1" x14ac:dyDescent="0.25">
      <c r="A68" s="114" t="s">
        <v>550</v>
      </c>
      <c r="B68" s="114"/>
      <c r="C68" s="114"/>
      <c r="D68" s="68">
        <v>1</v>
      </c>
      <c r="E68" s="68">
        <v>2</v>
      </c>
      <c r="F68" s="68">
        <v>3</v>
      </c>
      <c r="G68" s="68">
        <v>4</v>
      </c>
      <c r="H68" s="68">
        <v>5</v>
      </c>
      <c r="I68" s="68">
        <v>6</v>
      </c>
      <c r="J68" s="68">
        <v>7</v>
      </c>
      <c r="K68" s="68">
        <v>8</v>
      </c>
      <c r="L68" s="68">
        <v>9</v>
      </c>
      <c r="M68" s="68">
        <v>10</v>
      </c>
      <c r="N68" s="68">
        <v>11</v>
      </c>
      <c r="O68" s="68">
        <v>12</v>
      </c>
      <c r="P68" s="68">
        <v>13</v>
      </c>
      <c r="Q68" s="68">
        <v>14</v>
      </c>
      <c r="R68" s="68">
        <v>15</v>
      </c>
      <c r="S68" s="68">
        <v>16</v>
      </c>
      <c r="T68" s="68">
        <v>17</v>
      </c>
      <c r="U68" s="68">
        <v>18</v>
      </c>
      <c r="V68" s="68">
        <v>19</v>
      </c>
      <c r="W68" s="68">
        <v>20</v>
      </c>
      <c r="X68" s="68">
        <v>21</v>
      </c>
      <c r="Y68" s="68">
        <v>22</v>
      </c>
      <c r="Z68" s="68">
        <v>23</v>
      </c>
      <c r="AA68" s="68">
        <v>24</v>
      </c>
      <c r="AB68" s="68">
        <v>25</v>
      </c>
      <c r="AC68" s="68">
        <v>26</v>
      </c>
      <c r="AD68" s="68">
        <v>27</v>
      </c>
      <c r="AE68" s="68">
        <v>28</v>
      </c>
      <c r="AF68" s="68">
        <v>29</v>
      </c>
      <c r="AG68" s="68">
        <v>30</v>
      </c>
      <c r="AH68" s="68">
        <v>31</v>
      </c>
      <c r="AI68" s="68">
        <v>32</v>
      </c>
      <c r="AL68" s="21" t="s">
        <v>654</v>
      </c>
      <c r="AN68" s="21" t="s">
        <v>268</v>
      </c>
    </row>
    <row r="69" spans="1:57" s="21" customFormat="1" ht="24.95" customHeight="1" x14ac:dyDescent="0.25">
      <c r="A69" s="64" t="s">
        <v>549</v>
      </c>
      <c r="B69" s="64"/>
      <c r="C69" s="62"/>
      <c r="D69" s="67">
        <f>C23</f>
        <v>0</v>
      </c>
      <c r="E69" s="67">
        <f t="shared" ref="E69:AI69" si="40">D23</f>
        <v>0</v>
      </c>
      <c r="F69" s="67">
        <f t="shared" si="40"/>
        <v>0</v>
      </c>
      <c r="G69" s="67">
        <f t="shared" si="40"/>
        <v>1</v>
      </c>
      <c r="H69" s="67">
        <f t="shared" si="40"/>
        <v>0</v>
      </c>
      <c r="I69" s="67">
        <f t="shared" si="40"/>
        <v>0</v>
      </c>
      <c r="J69" s="67">
        <f t="shared" si="40"/>
        <v>0</v>
      </c>
      <c r="K69" s="67">
        <f t="shared" si="40"/>
        <v>0</v>
      </c>
      <c r="L69" s="67">
        <f t="shared" si="40"/>
        <v>1</v>
      </c>
      <c r="M69" s="67">
        <f t="shared" si="40"/>
        <v>1</v>
      </c>
      <c r="N69" s="67">
        <f t="shared" si="40"/>
        <v>0</v>
      </c>
      <c r="O69" s="67">
        <f t="shared" si="40"/>
        <v>0</v>
      </c>
      <c r="P69" s="67">
        <f t="shared" si="40"/>
        <v>1</v>
      </c>
      <c r="Q69" s="67">
        <f t="shared" si="40"/>
        <v>0</v>
      </c>
      <c r="R69" s="67">
        <f t="shared" si="40"/>
        <v>1</v>
      </c>
      <c r="S69" s="67">
        <f t="shared" si="40"/>
        <v>1</v>
      </c>
      <c r="T69" s="67">
        <f t="shared" si="40"/>
        <v>1</v>
      </c>
      <c r="U69" s="67">
        <f t="shared" si="40"/>
        <v>0</v>
      </c>
      <c r="V69" s="67">
        <f t="shared" si="40"/>
        <v>1</v>
      </c>
      <c r="W69" s="67">
        <f t="shared" si="40"/>
        <v>0</v>
      </c>
      <c r="X69" s="67">
        <f t="shared" si="40"/>
        <v>0</v>
      </c>
      <c r="Y69" s="67">
        <f t="shared" si="40"/>
        <v>1</v>
      </c>
      <c r="Z69" s="67">
        <f t="shared" si="40"/>
        <v>0</v>
      </c>
      <c r="AA69" s="67">
        <f t="shared" si="40"/>
        <v>1</v>
      </c>
      <c r="AB69" s="67">
        <f t="shared" si="40"/>
        <v>0</v>
      </c>
      <c r="AC69" s="67">
        <f t="shared" si="40"/>
        <v>0</v>
      </c>
      <c r="AD69" s="67">
        <f t="shared" si="40"/>
        <v>0</v>
      </c>
      <c r="AE69" s="67">
        <f t="shared" si="40"/>
        <v>1</v>
      </c>
      <c r="AF69" s="67">
        <f t="shared" si="40"/>
        <v>1</v>
      </c>
      <c r="AG69" s="67">
        <f t="shared" si="40"/>
        <v>1</v>
      </c>
      <c r="AH69" s="67">
        <f t="shared" si="40"/>
        <v>0</v>
      </c>
      <c r="AI69" s="67">
        <f t="shared" si="40"/>
        <v>0</v>
      </c>
    </row>
    <row r="70" spans="1:57" s="21" customFormat="1" ht="24.95" customHeight="1" x14ac:dyDescent="0.25">
      <c r="B70" s="64"/>
      <c r="C70" s="62"/>
    </row>
    <row r="71" spans="1:57" s="21" customFormat="1" ht="24.95" customHeight="1" x14ac:dyDescent="0.25">
      <c r="A71" s="114" t="s">
        <v>552</v>
      </c>
      <c r="B71" s="114"/>
      <c r="C71" s="114"/>
      <c r="D71" s="70">
        <v>1</v>
      </c>
      <c r="E71" s="70">
        <v>2</v>
      </c>
      <c r="F71" s="70">
        <v>3</v>
      </c>
      <c r="G71" s="70">
        <v>4</v>
      </c>
      <c r="H71" s="70">
        <v>5</v>
      </c>
      <c r="I71" s="70">
        <v>6</v>
      </c>
      <c r="J71" s="70">
        <v>7</v>
      </c>
      <c r="K71" s="70">
        <v>8</v>
      </c>
      <c r="L71" s="70">
        <v>9</v>
      </c>
      <c r="M71" s="70">
        <v>10</v>
      </c>
      <c r="N71" s="70">
        <v>11</v>
      </c>
      <c r="O71" s="70">
        <v>12</v>
      </c>
      <c r="P71" s="70">
        <v>13</v>
      </c>
      <c r="Q71" s="70">
        <v>14</v>
      </c>
      <c r="R71" s="70">
        <v>15</v>
      </c>
      <c r="S71" s="70">
        <v>16</v>
      </c>
      <c r="T71" s="70">
        <v>17</v>
      </c>
      <c r="U71" s="70">
        <v>18</v>
      </c>
      <c r="V71" s="70">
        <v>19</v>
      </c>
      <c r="W71" s="70">
        <v>20</v>
      </c>
      <c r="X71" s="70">
        <v>21</v>
      </c>
      <c r="Y71" s="70">
        <v>22</v>
      </c>
      <c r="Z71" s="70">
        <v>23</v>
      </c>
      <c r="AA71" s="70">
        <v>24</v>
      </c>
      <c r="AB71" s="70">
        <v>25</v>
      </c>
      <c r="AC71" s="70">
        <v>26</v>
      </c>
      <c r="AD71" s="70">
        <v>27</v>
      </c>
      <c r="AE71" s="70">
        <v>28</v>
      </c>
      <c r="AF71" s="70">
        <v>29</v>
      </c>
      <c r="AG71" s="70">
        <v>30</v>
      </c>
      <c r="AH71" s="70">
        <v>31</v>
      </c>
      <c r="AI71" s="70">
        <v>32</v>
      </c>
      <c r="AN71" s="21" t="s">
        <v>0</v>
      </c>
    </row>
    <row r="72" spans="1:57" s="21" customFormat="1" ht="24.95" customHeight="1" x14ac:dyDescent="0.25">
      <c r="A72" s="64" t="s">
        <v>551</v>
      </c>
      <c r="B72" s="64"/>
      <c r="C72" s="62"/>
      <c r="D72" s="70">
        <f>--_xlfn.XOR(C63,C27)</f>
        <v>1</v>
      </c>
      <c r="E72" s="70">
        <f t="shared" ref="E72:AI72" si="41">--_xlfn.XOR(D63,D27)</f>
        <v>0</v>
      </c>
      <c r="F72" s="70">
        <f t="shared" si="41"/>
        <v>0</v>
      </c>
      <c r="G72" s="70">
        <f t="shared" si="41"/>
        <v>0</v>
      </c>
      <c r="H72" s="70">
        <f t="shared" si="41"/>
        <v>0</v>
      </c>
      <c r="I72" s="70">
        <f t="shared" si="41"/>
        <v>0</v>
      </c>
      <c r="J72" s="70">
        <f t="shared" si="41"/>
        <v>0</v>
      </c>
      <c r="K72" s="70">
        <f t="shared" si="41"/>
        <v>1</v>
      </c>
      <c r="L72" s="70">
        <f t="shared" si="41"/>
        <v>0</v>
      </c>
      <c r="M72" s="70">
        <f t="shared" si="41"/>
        <v>0</v>
      </c>
      <c r="N72" s="70">
        <f t="shared" si="41"/>
        <v>1</v>
      </c>
      <c r="O72" s="70">
        <f t="shared" si="41"/>
        <v>0</v>
      </c>
      <c r="P72" s="70">
        <f t="shared" si="41"/>
        <v>0</v>
      </c>
      <c r="Q72" s="70">
        <f t="shared" si="41"/>
        <v>0</v>
      </c>
      <c r="R72" s="70">
        <f t="shared" si="41"/>
        <v>1</v>
      </c>
      <c r="S72" s="70">
        <f t="shared" si="41"/>
        <v>0</v>
      </c>
      <c r="T72" s="70">
        <f t="shared" si="41"/>
        <v>0</v>
      </c>
      <c r="U72" s="70">
        <f t="shared" si="41"/>
        <v>1</v>
      </c>
      <c r="V72" s="70">
        <f t="shared" si="41"/>
        <v>1</v>
      </c>
      <c r="W72" s="70">
        <f t="shared" si="41"/>
        <v>1</v>
      </c>
      <c r="X72" s="70">
        <f t="shared" si="41"/>
        <v>0</v>
      </c>
      <c r="Y72" s="70">
        <f t="shared" si="41"/>
        <v>0</v>
      </c>
      <c r="Z72" s="70">
        <f t="shared" si="41"/>
        <v>0</v>
      </c>
      <c r="AA72" s="70">
        <f t="shared" si="41"/>
        <v>1</v>
      </c>
      <c r="AB72" s="70">
        <f t="shared" si="41"/>
        <v>1</v>
      </c>
      <c r="AC72" s="70">
        <f t="shared" si="41"/>
        <v>0</v>
      </c>
      <c r="AD72" s="70">
        <f t="shared" si="41"/>
        <v>1</v>
      </c>
      <c r="AE72" s="70">
        <f t="shared" si="41"/>
        <v>1</v>
      </c>
      <c r="AF72" s="70">
        <f t="shared" si="41"/>
        <v>1</v>
      </c>
      <c r="AG72" s="70">
        <f t="shared" si="41"/>
        <v>1</v>
      </c>
      <c r="AH72" s="70">
        <f t="shared" si="41"/>
        <v>0</v>
      </c>
      <c r="AI72" s="70">
        <f t="shared" si="41"/>
        <v>0</v>
      </c>
    </row>
    <row r="73" spans="1:57" s="21" customFormat="1" ht="24.95" customHeight="1" x14ac:dyDescent="0.25">
      <c r="A73" s="132" t="s">
        <v>589</v>
      </c>
      <c r="B73" s="64"/>
      <c r="C73" s="62"/>
      <c r="D73" s="62"/>
    </row>
    <row r="74" spans="1:57" s="132" customFormat="1" ht="24.95" customHeight="1" x14ac:dyDescent="0.25">
      <c r="B74" s="133"/>
      <c r="C74" s="134"/>
    </row>
    <row r="75" spans="1:57" s="21" customFormat="1" ht="24.95" customHeight="1" x14ac:dyDescent="0.25">
      <c r="C75" s="70">
        <v>1</v>
      </c>
      <c r="D75" s="70">
        <v>2</v>
      </c>
      <c r="E75" s="70">
        <v>3</v>
      </c>
      <c r="F75" s="70">
        <v>4</v>
      </c>
      <c r="G75" s="70">
        <v>5</v>
      </c>
      <c r="H75" s="70">
        <v>6</v>
      </c>
      <c r="I75" s="70">
        <v>7</v>
      </c>
      <c r="J75" s="70">
        <v>8</v>
      </c>
      <c r="K75" s="70">
        <v>9</v>
      </c>
      <c r="L75" s="70">
        <v>10</v>
      </c>
      <c r="M75" s="70">
        <v>11</v>
      </c>
      <c r="N75" s="70">
        <v>12</v>
      </c>
      <c r="O75" s="70">
        <v>13</v>
      </c>
      <c r="P75" s="70">
        <v>14</v>
      </c>
      <c r="Q75" s="70">
        <v>15</v>
      </c>
      <c r="R75" s="70">
        <v>16</v>
      </c>
      <c r="S75" s="70">
        <v>17</v>
      </c>
      <c r="T75" s="70">
        <v>18</v>
      </c>
      <c r="U75" s="70">
        <v>19</v>
      </c>
      <c r="V75" s="70">
        <v>20</v>
      </c>
      <c r="W75" s="70">
        <v>21</v>
      </c>
      <c r="X75" s="70">
        <v>22</v>
      </c>
      <c r="Y75" s="70">
        <v>23</v>
      </c>
      <c r="Z75" s="70">
        <v>24</v>
      </c>
      <c r="AA75" s="70">
        <v>25</v>
      </c>
      <c r="AB75" s="70">
        <v>26</v>
      </c>
      <c r="AC75" s="70">
        <v>27</v>
      </c>
      <c r="AD75" s="70">
        <v>28</v>
      </c>
      <c r="AE75" s="70">
        <v>29</v>
      </c>
      <c r="AF75" s="70">
        <v>30</v>
      </c>
      <c r="AG75" s="70">
        <v>31</v>
      </c>
      <c r="AH75" s="70">
        <v>32</v>
      </c>
    </row>
    <row r="76" spans="1:57" s="21" customFormat="1" ht="24.95" customHeight="1" x14ac:dyDescent="0.25">
      <c r="A76" s="114" t="s">
        <v>552</v>
      </c>
      <c r="B76" s="114"/>
      <c r="C76" s="70">
        <f>D72</f>
        <v>1</v>
      </c>
      <c r="D76" s="70">
        <f t="shared" ref="D76:AH76" si="42">E72</f>
        <v>0</v>
      </c>
      <c r="E76" s="70">
        <f t="shared" si="42"/>
        <v>0</v>
      </c>
      <c r="F76" s="70">
        <f t="shared" si="42"/>
        <v>0</v>
      </c>
      <c r="G76" s="70">
        <f t="shared" si="42"/>
        <v>0</v>
      </c>
      <c r="H76" s="70">
        <f t="shared" si="42"/>
        <v>0</v>
      </c>
      <c r="I76" s="70">
        <f t="shared" si="42"/>
        <v>0</v>
      </c>
      <c r="J76" s="70">
        <f t="shared" si="42"/>
        <v>1</v>
      </c>
      <c r="K76" s="70">
        <f t="shared" si="42"/>
        <v>0</v>
      </c>
      <c r="L76" s="70">
        <f t="shared" si="42"/>
        <v>0</v>
      </c>
      <c r="M76" s="70">
        <f t="shared" si="42"/>
        <v>1</v>
      </c>
      <c r="N76" s="70">
        <f t="shared" si="42"/>
        <v>0</v>
      </c>
      <c r="O76" s="70">
        <f t="shared" si="42"/>
        <v>0</v>
      </c>
      <c r="P76" s="70">
        <f t="shared" si="42"/>
        <v>0</v>
      </c>
      <c r="Q76" s="70">
        <f t="shared" si="42"/>
        <v>1</v>
      </c>
      <c r="R76" s="70">
        <f t="shared" si="42"/>
        <v>0</v>
      </c>
      <c r="S76" s="70">
        <f t="shared" si="42"/>
        <v>0</v>
      </c>
      <c r="T76" s="70">
        <f t="shared" si="42"/>
        <v>1</v>
      </c>
      <c r="U76" s="70">
        <f t="shared" si="42"/>
        <v>1</v>
      </c>
      <c r="V76" s="70">
        <f t="shared" si="42"/>
        <v>1</v>
      </c>
      <c r="W76" s="70">
        <f t="shared" si="42"/>
        <v>0</v>
      </c>
      <c r="X76" s="70">
        <f t="shared" si="42"/>
        <v>0</v>
      </c>
      <c r="Y76" s="70">
        <f t="shared" si="42"/>
        <v>0</v>
      </c>
      <c r="Z76" s="70">
        <f t="shared" si="42"/>
        <v>1</v>
      </c>
      <c r="AA76" s="70">
        <f t="shared" si="42"/>
        <v>1</v>
      </c>
      <c r="AB76" s="70">
        <f t="shared" si="42"/>
        <v>0</v>
      </c>
      <c r="AC76" s="70">
        <f t="shared" si="42"/>
        <v>1</v>
      </c>
      <c r="AD76" s="70">
        <f t="shared" si="42"/>
        <v>1</v>
      </c>
      <c r="AE76" s="70">
        <f t="shared" si="42"/>
        <v>1</v>
      </c>
      <c r="AF76" s="70">
        <f t="shared" si="42"/>
        <v>1</v>
      </c>
      <c r="AG76" s="70">
        <f t="shared" si="42"/>
        <v>0</v>
      </c>
      <c r="AH76" s="70">
        <f t="shared" si="42"/>
        <v>0</v>
      </c>
      <c r="AI76" s="135"/>
    </row>
    <row r="77" spans="1:57" s="21" customFormat="1" ht="24.95" customHeight="1" x14ac:dyDescent="0.25">
      <c r="B77" s="64"/>
      <c r="C77" s="62"/>
    </row>
    <row r="78" spans="1:57" s="21" customFormat="1" ht="24.95" customHeight="1" x14ac:dyDescent="0.25">
      <c r="A78" s="132"/>
      <c r="B78" s="133"/>
      <c r="C78" s="134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</row>
    <row r="79" spans="1:57" x14ac:dyDescent="0.25">
      <c r="A79" s="21"/>
      <c r="B79" s="64"/>
      <c r="C79" s="62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</row>
    <row r="80" spans="1:57" x14ac:dyDescent="0.25">
      <c r="A80" s="118" t="s">
        <v>532</v>
      </c>
      <c r="B80" s="118"/>
      <c r="C80" s="75">
        <v>32</v>
      </c>
      <c r="D80" s="74">
        <v>1</v>
      </c>
      <c r="E80" s="74">
        <v>2</v>
      </c>
      <c r="F80" s="74">
        <v>3</v>
      </c>
      <c r="G80" s="74">
        <v>4</v>
      </c>
      <c r="H80" s="73">
        <v>5</v>
      </c>
      <c r="I80" s="122"/>
      <c r="J80" s="118">
        <f>AH76</f>
        <v>0</v>
      </c>
      <c r="K80" s="118">
        <f>C76</f>
        <v>1</v>
      </c>
      <c r="L80" s="118">
        <f>D76</f>
        <v>0</v>
      </c>
      <c r="M80" s="118">
        <f>E76</f>
        <v>0</v>
      </c>
      <c r="N80" s="69">
        <f>F76</f>
        <v>0</v>
      </c>
      <c r="O80" s="119">
        <f>G76</f>
        <v>0</v>
      </c>
      <c r="P80" s="122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</row>
    <row r="81" spans="1:57" x14ac:dyDescent="0.25">
      <c r="A81" s="21"/>
      <c r="B81" s="64"/>
      <c r="C81" s="75">
        <v>4</v>
      </c>
      <c r="D81" s="74">
        <v>5</v>
      </c>
      <c r="E81" s="74">
        <v>6</v>
      </c>
      <c r="F81" s="74">
        <v>7</v>
      </c>
      <c r="G81" s="74">
        <v>8</v>
      </c>
      <c r="H81" s="73">
        <v>9</v>
      </c>
      <c r="I81" s="122"/>
      <c r="J81" s="118">
        <f t="shared" ref="J81" si="43">F76</f>
        <v>0</v>
      </c>
      <c r="K81" s="69">
        <f t="shared" ref="K81" si="44">G76</f>
        <v>0</v>
      </c>
      <c r="L81" s="69">
        <f t="shared" ref="L81" si="45">H76</f>
        <v>0</v>
      </c>
      <c r="M81" s="69">
        <f t="shared" ref="M81" si="46">I76</f>
        <v>0</v>
      </c>
      <c r="N81" s="69">
        <f t="shared" ref="N81" si="47">J76</f>
        <v>1</v>
      </c>
      <c r="O81" s="119">
        <f t="shared" ref="O81" si="48">K76</f>
        <v>0</v>
      </c>
      <c r="P81" s="122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</row>
    <row r="82" spans="1:57" x14ac:dyDescent="0.25">
      <c r="A82" s="21"/>
      <c r="B82" s="64"/>
      <c r="C82" s="75">
        <v>8</v>
      </c>
      <c r="D82" s="74">
        <v>9</v>
      </c>
      <c r="E82" s="74">
        <v>10</v>
      </c>
      <c r="F82" s="74">
        <v>11</v>
      </c>
      <c r="G82" s="74">
        <v>12</v>
      </c>
      <c r="H82" s="73">
        <v>13</v>
      </c>
      <c r="I82" s="123"/>
      <c r="J82" s="120">
        <f t="shared" ref="J82:O82" si="49">J76</f>
        <v>1</v>
      </c>
      <c r="K82" s="69">
        <f t="shared" si="49"/>
        <v>0</v>
      </c>
      <c r="L82" s="69">
        <f t="shared" si="49"/>
        <v>0</v>
      </c>
      <c r="M82" s="69">
        <f t="shared" si="49"/>
        <v>1</v>
      </c>
      <c r="N82" s="69">
        <f t="shared" si="49"/>
        <v>0</v>
      </c>
      <c r="O82" s="119">
        <f t="shared" si="49"/>
        <v>0</v>
      </c>
      <c r="P82" s="123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</row>
    <row r="83" spans="1:57" x14ac:dyDescent="0.25">
      <c r="A83" s="21"/>
      <c r="B83" s="64"/>
      <c r="C83" s="75">
        <v>12</v>
      </c>
      <c r="D83" s="74">
        <v>13</v>
      </c>
      <c r="E83" s="74">
        <v>14</v>
      </c>
      <c r="F83" s="74">
        <v>15</v>
      </c>
      <c r="G83" s="74">
        <v>16</v>
      </c>
      <c r="H83" s="73">
        <v>17</v>
      </c>
      <c r="I83" s="122"/>
      <c r="J83" s="118">
        <f t="shared" ref="J83" si="50">N76</f>
        <v>0</v>
      </c>
      <c r="K83" s="69">
        <f t="shared" ref="K83" si="51">O76</f>
        <v>0</v>
      </c>
      <c r="L83" s="69">
        <f t="shared" ref="L83" si="52">P76</f>
        <v>0</v>
      </c>
      <c r="M83" s="69">
        <f t="shared" ref="M83" si="53">Q76</f>
        <v>1</v>
      </c>
      <c r="N83" s="69">
        <f t="shared" ref="N83" si="54">R76</f>
        <v>0</v>
      </c>
      <c r="O83" s="119">
        <f t="shared" ref="O83" si="55">S76</f>
        <v>0</v>
      </c>
      <c r="P83" s="122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</row>
    <row r="84" spans="1:57" x14ac:dyDescent="0.25">
      <c r="A84" s="21"/>
      <c r="B84" s="64"/>
      <c r="C84" s="75">
        <v>16</v>
      </c>
      <c r="D84" s="74">
        <v>17</v>
      </c>
      <c r="E84" s="74">
        <v>18</v>
      </c>
      <c r="F84" s="74">
        <v>19</v>
      </c>
      <c r="G84" s="74">
        <v>20</v>
      </c>
      <c r="H84" s="73">
        <v>21</v>
      </c>
      <c r="I84" s="122"/>
      <c r="J84" s="118">
        <f t="shared" ref="J84" si="56">R76</f>
        <v>0</v>
      </c>
      <c r="K84" s="69">
        <f t="shared" ref="K84" si="57">S76</f>
        <v>0</v>
      </c>
      <c r="L84" s="69">
        <f t="shared" ref="L84" si="58">T76</f>
        <v>1</v>
      </c>
      <c r="M84" s="69">
        <f t="shared" ref="M84" si="59">U76</f>
        <v>1</v>
      </c>
      <c r="N84" s="69">
        <f t="shared" ref="N84" si="60">V76</f>
        <v>1</v>
      </c>
      <c r="O84" s="119">
        <f t="shared" ref="O84" si="61">W76</f>
        <v>0</v>
      </c>
      <c r="P84" s="122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</row>
    <row r="85" spans="1:57" x14ac:dyDescent="0.25">
      <c r="A85" s="21"/>
      <c r="B85" s="64"/>
      <c r="C85" s="75">
        <v>20</v>
      </c>
      <c r="D85" s="74">
        <v>21</v>
      </c>
      <c r="E85" s="74">
        <v>22</v>
      </c>
      <c r="F85" s="74">
        <v>23</v>
      </c>
      <c r="G85" s="74">
        <v>24</v>
      </c>
      <c r="H85" s="73">
        <v>25</v>
      </c>
      <c r="I85" s="122"/>
      <c r="J85" s="118">
        <f t="shared" ref="J85" si="62">V76</f>
        <v>1</v>
      </c>
      <c r="K85" s="69">
        <f t="shared" ref="K85" si="63">W76</f>
        <v>0</v>
      </c>
      <c r="L85" s="69">
        <f t="shared" ref="L85" si="64">X76</f>
        <v>0</v>
      </c>
      <c r="M85" s="69">
        <f t="shared" ref="M85" si="65">Y76</f>
        <v>0</v>
      </c>
      <c r="N85" s="69">
        <f t="shared" ref="N85" si="66">Z76</f>
        <v>1</v>
      </c>
      <c r="O85" s="119">
        <f t="shared" ref="O85" si="67">AA76</f>
        <v>1</v>
      </c>
      <c r="P85" s="122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</row>
    <row r="86" spans="1:57" x14ac:dyDescent="0.25">
      <c r="A86" s="21"/>
      <c r="B86" s="64"/>
      <c r="C86" s="75">
        <v>24</v>
      </c>
      <c r="D86" s="74">
        <v>25</v>
      </c>
      <c r="E86" s="74">
        <v>26</v>
      </c>
      <c r="F86" s="74">
        <v>27</v>
      </c>
      <c r="G86" s="74">
        <v>28</v>
      </c>
      <c r="H86" s="73">
        <v>29</v>
      </c>
      <c r="I86" s="122"/>
      <c r="J86" s="118">
        <f t="shared" ref="J86" si="68">Z76</f>
        <v>1</v>
      </c>
      <c r="K86" s="69">
        <f t="shared" ref="K86" si="69">AA76</f>
        <v>1</v>
      </c>
      <c r="L86" s="69">
        <f t="shared" ref="L86" si="70">AB76</f>
        <v>0</v>
      </c>
      <c r="M86" s="69">
        <f t="shared" ref="M86" si="71">AC76</f>
        <v>1</v>
      </c>
      <c r="N86" s="69">
        <f t="shared" ref="N86" si="72">AD76</f>
        <v>1</v>
      </c>
      <c r="O86" s="119">
        <f t="shared" ref="O86" si="73">AE76</f>
        <v>1</v>
      </c>
      <c r="P86" s="122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</row>
    <row r="87" spans="1:57" x14ac:dyDescent="0.25">
      <c r="A87" s="21"/>
      <c r="B87" s="64"/>
      <c r="C87" s="75">
        <v>28</v>
      </c>
      <c r="D87" s="74">
        <v>29</v>
      </c>
      <c r="E87" s="74">
        <v>30</v>
      </c>
      <c r="F87" s="74">
        <v>31</v>
      </c>
      <c r="G87" s="74">
        <v>32</v>
      </c>
      <c r="H87" s="73">
        <v>1</v>
      </c>
      <c r="I87" s="122"/>
      <c r="J87" s="70">
        <f>AD76</f>
        <v>1</v>
      </c>
      <c r="K87" s="71">
        <f>AE76</f>
        <v>1</v>
      </c>
      <c r="L87" s="71">
        <f>AF76</f>
        <v>1</v>
      </c>
      <c r="M87" s="71">
        <f>AG76</f>
        <v>0</v>
      </c>
      <c r="N87" s="71">
        <f>AH76</f>
        <v>0</v>
      </c>
      <c r="O87" s="121">
        <f>C76</f>
        <v>1</v>
      </c>
      <c r="P87" s="122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</row>
    <row r="88" spans="1:57" x14ac:dyDescent="0.25">
      <c r="A88" s="21"/>
      <c r="B88" s="64"/>
      <c r="C88" s="62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</row>
    <row r="89" spans="1:57" x14ac:dyDescent="0.25">
      <c r="A89" s="21"/>
      <c r="B89" s="64"/>
      <c r="C89" s="62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</row>
    <row r="90" spans="1:57" x14ac:dyDescent="0.25">
      <c r="A90" s="124" t="s">
        <v>533</v>
      </c>
      <c r="B90" s="124"/>
      <c r="C90" s="125">
        <v>1</v>
      </c>
      <c r="D90" s="126">
        <v>2</v>
      </c>
      <c r="E90" s="125">
        <v>3</v>
      </c>
      <c r="F90" s="126">
        <v>4</v>
      </c>
      <c r="G90" s="125">
        <v>5</v>
      </c>
      <c r="H90" s="126">
        <v>6</v>
      </c>
      <c r="I90" s="125">
        <v>7</v>
      </c>
      <c r="J90" s="126">
        <v>8</v>
      </c>
      <c r="K90" s="125">
        <v>9</v>
      </c>
      <c r="L90" s="126">
        <v>10</v>
      </c>
      <c r="M90" s="125">
        <v>11</v>
      </c>
      <c r="N90" s="126">
        <v>12</v>
      </c>
      <c r="O90" s="125">
        <v>13</v>
      </c>
      <c r="P90" s="126">
        <v>14</v>
      </c>
      <c r="Q90" s="125">
        <v>15</v>
      </c>
      <c r="R90" s="126">
        <v>16</v>
      </c>
      <c r="S90" s="125">
        <v>17</v>
      </c>
      <c r="T90" s="126">
        <v>18</v>
      </c>
      <c r="U90" s="125">
        <v>19</v>
      </c>
      <c r="V90" s="126">
        <v>20</v>
      </c>
      <c r="W90" s="125">
        <v>21</v>
      </c>
      <c r="X90" s="126">
        <v>22</v>
      </c>
      <c r="Y90" s="125">
        <v>23</v>
      </c>
      <c r="Z90" s="126">
        <v>24</v>
      </c>
      <c r="AA90" s="125">
        <v>25</v>
      </c>
      <c r="AB90" s="126">
        <v>26</v>
      </c>
      <c r="AC90" s="125">
        <v>27</v>
      </c>
      <c r="AD90" s="126">
        <v>28</v>
      </c>
      <c r="AE90" s="125">
        <v>29</v>
      </c>
      <c r="AF90" s="126">
        <v>30</v>
      </c>
      <c r="AG90" s="125">
        <v>31</v>
      </c>
      <c r="AH90" s="126">
        <v>32</v>
      </c>
      <c r="AI90" s="125">
        <v>33</v>
      </c>
      <c r="AJ90" s="126">
        <v>34</v>
      </c>
      <c r="AK90" s="125">
        <v>35</v>
      </c>
      <c r="AL90" s="126">
        <v>36</v>
      </c>
      <c r="AM90" s="125">
        <v>37</v>
      </c>
      <c r="AN90" s="126">
        <v>38</v>
      </c>
      <c r="AO90" s="125">
        <v>39</v>
      </c>
      <c r="AP90" s="126">
        <v>40</v>
      </c>
      <c r="AQ90" s="125">
        <v>41</v>
      </c>
      <c r="AR90" s="126">
        <v>42</v>
      </c>
      <c r="AS90" s="125">
        <v>43</v>
      </c>
      <c r="AT90" s="126">
        <v>44</v>
      </c>
      <c r="AU90" s="125">
        <v>45</v>
      </c>
      <c r="AV90" s="126">
        <v>46</v>
      </c>
      <c r="AW90" s="125">
        <v>47</v>
      </c>
      <c r="AX90" s="126">
        <v>48</v>
      </c>
      <c r="AY90" s="21"/>
      <c r="AZ90" s="21"/>
      <c r="BA90" s="21"/>
      <c r="BB90" s="21"/>
      <c r="BC90" s="21"/>
      <c r="BD90" s="21"/>
      <c r="BE90" s="21"/>
    </row>
    <row r="91" spans="1:57" x14ac:dyDescent="0.25">
      <c r="A91" s="21"/>
      <c r="B91" s="64"/>
      <c r="C91" s="125">
        <f t="shared" ref="C91" si="74">J80</f>
        <v>0</v>
      </c>
      <c r="D91" s="125">
        <f t="shared" ref="D91" si="75">K80</f>
        <v>1</v>
      </c>
      <c r="E91" s="125">
        <f t="shared" ref="E91" si="76">L80</f>
        <v>0</v>
      </c>
      <c r="F91" s="125">
        <f t="shared" ref="F91" si="77">M80</f>
        <v>0</v>
      </c>
      <c r="G91" s="126">
        <f t="shared" ref="G91" si="78">N80</f>
        <v>0</v>
      </c>
      <c r="H91" s="126">
        <f t="shared" ref="H91" si="79">O80</f>
        <v>0</v>
      </c>
      <c r="I91" s="125">
        <f t="shared" ref="I91" si="80">J81</f>
        <v>0</v>
      </c>
      <c r="J91" s="125">
        <f t="shared" ref="J91" si="81">K81</f>
        <v>0</v>
      </c>
      <c r="K91" s="125">
        <f t="shared" ref="K91" si="82">L81</f>
        <v>0</v>
      </c>
      <c r="L91" s="125">
        <f t="shared" ref="L91" si="83">M81</f>
        <v>0</v>
      </c>
      <c r="M91" s="125">
        <f t="shared" ref="M91" si="84">N81</f>
        <v>1</v>
      </c>
      <c r="N91" s="125">
        <f t="shared" ref="N91" si="85">O81</f>
        <v>0</v>
      </c>
      <c r="O91" s="126">
        <f t="shared" ref="O91" si="86">J82</f>
        <v>1</v>
      </c>
      <c r="P91" s="126">
        <f t="shared" ref="P91" si="87">K82</f>
        <v>0</v>
      </c>
      <c r="Q91" s="126">
        <f t="shared" ref="Q91" si="88">L82</f>
        <v>0</v>
      </c>
      <c r="R91" s="126">
        <f t="shared" ref="R91" si="89">M82</f>
        <v>1</v>
      </c>
      <c r="S91" s="126">
        <f t="shared" ref="S91" si="90">N82</f>
        <v>0</v>
      </c>
      <c r="T91" s="126">
        <f t="shared" ref="T91" si="91">O82</f>
        <v>0</v>
      </c>
      <c r="U91" s="125">
        <f t="shared" ref="U91" si="92">J83</f>
        <v>0</v>
      </c>
      <c r="V91" s="126">
        <f t="shared" ref="V91" si="93">K83</f>
        <v>0</v>
      </c>
      <c r="W91" s="125">
        <f t="shared" ref="W91" si="94">L83</f>
        <v>0</v>
      </c>
      <c r="X91" s="126">
        <f t="shared" ref="X91" si="95">M83</f>
        <v>1</v>
      </c>
      <c r="Y91" s="125">
        <f t="shared" ref="Y91" si="96">N83</f>
        <v>0</v>
      </c>
      <c r="Z91" s="126">
        <f t="shared" ref="Z91" si="97">O83</f>
        <v>0</v>
      </c>
      <c r="AA91" s="125">
        <f t="shared" ref="AA91" si="98">J84</f>
        <v>0</v>
      </c>
      <c r="AB91" s="126">
        <f t="shared" ref="AB91" si="99">K84</f>
        <v>0</v>
      </c>
      <c r="AC91" s="125">
        <f t="shared" ref="AC91" si="100">L84</f>
        <v>1</v>
      </c>
      <c r="AD91" s="126">
        <f t="shared" ref="AD91" si="101">M84</f>
        <v>1</v>
      </c>
      <c r="AE91" s="125">
        <f t="shared" ref="AE91" si="102">N84</f>
        <v>1</v>
      </c>
      <c r="AF91" s="126">
        <f t="shared" ref="AF91" si="103">O84</f>
        <v>0</v>
      </c>
      <c r="AG91" s="125">
        <f t="shared" ref="AG91" si="104">J85</f>
        <v>1</v>
      </c>
      <c r="AH91" s="126">
        <f t="shared" ref="AH91" si="105">K85</f>
        <v>0</v>
      </c>
      <c r="AI91" s="125">
        <f t="shared" ref="AI91" si="106">L85</f>
        <v>0</v>
      </c>
      <c r="AJ91" s="126">
        <f t="shared" ref="AJ91" si="107">M85</f>
        <v>0</v>
      </c>
      <c r="AK91" s="125">
        <f t="shared" ref="AK91" si="108">N85</f>
        <v>1</v>
      </c>
      <c r="AL91" s="126">
        <f t="shared" ref="AL91" si="109">O85</f>
        <v>1</v>
      </c>
      <c r="AM91" s="125">
        <f t="shared" ref="AM91" si="110">J86</f>
        <v>1</v>
      </c>
      <c r="AN91" s="126">
        <f t="shared" ref="AN91" si="111">K86</f>
        <v>1</v>
      </c>
      <c r="AO91" s="125">
        <f t="shared" ref="AO91" si="112">L86</f>
        <v>0</v>
      </c>
      <c r="AP91" s="126">
        <f t="shared" ref="AP91" si="113">M86</f>
        <v>1</v>
      </c>
      <c r="AQ91" s="125">
        <f t="shared" ref="AQ91" si="114">N86</f>
        <v>1</v>
      </c>
      <c r="AR91" s="126">
        <f t="shared" ref="AR91" si="115">O86</f>
        <v>1</v>
      </c>
      <c r="AS91" s="125">
        <f t="shared" ref="AS91" si="116">J87</f>
        <v>1</v>
      </c>
      <c r="AT91" s="126">
        <f t="shared" ref="AT91" si="117">K87</f>
        <v>1</v>
      </c>
      <c r="AU91" s="125">
        <f t="shared" ref="AU91" si="118">L87</f>
        <v>1</v>
      </c>
      <c r="AV91" s="126">
        <f t="shared" ref="AV91" si="119">M87</f>
        <v>0</v>
      </c>
      <c r="AW91" s="125">
        <f t="shared" ref="AW91" si="120">N87</f>
        <v>0</v>
      </c>
      <c r="AX91" s="126">
        <f t="shared" ref="AX91" si="121">O87</f>
        <v>1</v>
      </c>
      <c r="AY91" s="21"/>
      <c r="AZ91" s="21"/>
      <c r="BA91" s="21"/>
      <c r="BB91" s="21"/>
      <c r="BC91" s="21"/>
      <c r="BD91" s="21"/>
      <c r="BE91" s="21"/>
    </row>
    <row r="92" spans="1:57" x14ac:dyDescent="0.25">
      <c r="A92" s="21"/>
      <c r="B92" s="64"/>
      <c r="C92" s="62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</row>
    <row r="93" spans="1:57" x14ac:dyDescent="0.25">
      <c r="A93" s="21"/>
      <c r="B93" s="64"/>
      <c r="C93" s="62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</row>
    <row r="94" spans="1:57" x14ac:dyDescent="0.25">
      <c r="A94" s="127" t="s">
        <v>622</v>
      </c>
      <c r="B94" s="127"/>
      <c r="C94" s="77">
        <f>'Key Generator'!D549</f>
        <v>1</v>
      </c>
      <c r="D94" s="77">
        <f>'Key Generator'!E549</f>
        <v>2</v>
      </c>
      <c r="E94" s="77">
        <f>'Key Generator'!F549</f>
        <v>3</v>
      </c>
      <c r="F94" s="77">
        <f>'Key Generator'!G549</f>
        <v>4</v>
      </c>
      <c r="G94" s="77">
        <f>'Key Generator'!H549</f>
        <v>5</v>
      </c>
      <c r="H94" s="77">
        <f>'Key Generator'!I549</f>
        <v>6</v>
      </c>
      <c r="I94" s="77">
        <f>'Key Generator'!J549</f>
        <v>7</v>
      </c>
      <c r="J94" s="77">
        <f>'Key Generator'!K549</f>
        <v>8</v>
      </c>
      <c r="K94" s="77">
        <f>'Key Generator'!L549</f>
        <v>9</v>
      </c>
      <c r="L94" s="77">
        <f>'Key Generator'!M549</f>
        <v>10</v>
      </c>
      <c r="M94" s="77">
        <f>'Key Generator'!N549</f>
        <v>11</v>
      </c>
      <c r="N94" s="77">
        <f>'Key Generator'!O549</f>
        <v>12</v>
      </c>
      <c r="O94" s="77">
        <f>'Key Generator'!P549</f>
        <v>13</v>
      </c>
      <c r="P94" s="77">
        <f>'Key Generator'!Q549</f>
        <v>14</v>
      </c>
      <c r="Q94" s="77">
        <f>'Key Generator'!R549</f>
        <v>15</v>
      </c>
      <c r="R94" s="77">
        <f>'Key Generator'!S549</f>
        <v>16</v>
      </c>
      <c r="S94" s="77">
        <f>'Key Generator'!T549</f>
        <v>17</v>
      </c>
      <c r="T94" s="77">
        <f>'Key Generator'!U549</f>
        <v>18</v>
      </c>
      <c r="U94" s="77">
        <f>'Key Generator'!V549</f>
        <v>19</v>
      </c>
      <c r="V94" s="77">
        <f>'Key Generator'!W549</f>
        <v>20</v>
      </c>
      <c r="W94" s="77">
        <f>'Key Generator'!X549</f>
        <v>21</v>
      </c>
      <c r="X94" s="77">
        <f>'Key Generator'!Y549</f>
        <v>22</v>
      </c>
      <c r="Y94" s="77">
        <f>'Key Generator'!Z549</f>
        <v>23</v>
      </c>
      <c r="Z94" s="77">
        <f>'Key Generator'!AA549</f>
        <v>24</v>
      </c>
      <c r="AA94" s="77">
        <f>'Key Generator'!AB549</f>
        <v>25</v>
      </c>
      <c r="AB94" s="77">
        <f>'Key Generator'!AC549</f>
        <v>26</v>
      </c>
      <c r="AC94" s="77">
        <f>'Key Generator'!AD549</f>
        <v>27</v>
      </c>
      <c r="AD94" s="77">
        <f>'Key Generator'!AE549</f>
        <v>28</v>
      </c>
      <c r="AE94" s="77">
        <f>'Key Generator'!AF549</f>
        <v>29</v>
      </c>
      <c r="AF94" s="77">
        <f>'Key Generator'!AG549</f>
        <v>30</v>
      </c>
      <c r="AG94" s="77">
        <f>'Key Generator'!AH549</f>
        <v>31</v>
      </c>
      <c r="AH94" s="77">
        <f>'Key Generator'!AI549</f>
        <v>32</v>
      </c>
      <c r="AI94" s="77">
        <f>'Key Generator'!AJ549</f>
        <v>33</v>
      </c>
      <c r="AJ94" s="77">
        <f>'Key Generator'!AK549</f>
        <v>34</v>
      </c>
      <c r="AK94" s="77">
        <f>'Key Generator'!AL549</f>
        <v>35</v>
      </c>
      <c r="AL94" s="77">
        <f>'Key Generator'!AM549</f>
        <v>36</v>
      </c>
      <c r="AM94" s="77">
        <f>'Key Generator'!AN549</f>
        <v>37</v>
      </c>
      <c r="AN94" s="77">
        <f>'Key Generator'!AO549</f>
        <v>38</v>
      </c>
      <c r="AO94" s="77">
        <f>'Key Generator'!AP549</f>
        <v>39</v>
      </c>
      <c r="AP94" s="77">
        <f>'Key Generator'!AQ549</f>
        <v>40</v>
      </c>
      <c r="AQ94" s="77">
        <f>'Key Generator'!AR549</f>
        <v>41</v>
      </c>
      <c r="AR94" s="77">
        <f>'Key Generator'!AS549</f>
        <v>42</v>
      </c>
      <c r="AS94" s="77">
        <f>'Key Generator'!AT549</f>
        <v>43</v>
      </c>
      <c r="AT94" s="77">
        <f>'Key Generator'!AU549</f>
        <v>44</v>
      </c>
      <c r="AU94" s="77">
        <f>'Key Generator'!AV549</f>
        <v>45</v>
      </c>
      <c r="AV94" s="77">
        <f>'Key Generator'!AW549</f>
        <v>46</v>
      </c>
      <c r="AW94" s="77">
        <f>'Key Generator'!AX549</f>
        <v>47</v>
      </c>
      <c r="AX94" s="77">
        <f>'Key Generator'!AY549</f>
        <v>48</v>
      </c>
      <c r="AY94" s="21"/>
      <c r="AZ94" s="21"/>
      <c r="BA94" s="21"/>
      <c r="BB94" s="21"/>
      <c r="BC94" s="21"/>
      <c r="BD94" s="21"/>
      <c r="BE94" s="21"/>
    </row>
    <row r="95" spans="1:57" x14ac:dyDescent="0.25">
      <c r="A95" s="21"/>
      <c r="B95" s="64"/>
      <c r="C95" s="77">
        <f>'Key Generator'!D550</f>
        <v>0</v>
      </c>
      <c r="D95" s="77">
        <f>'Key Generator'!E550</f>
        <v>0</v>
      </c>
      <c r="E95" s="77">
        <f>'Key Generator'!F550</f>
        <v>0</v>
      </c>
      <c r="F95" s="77">
        <f>'Key Generator'!G550</f>
        <v>1</v>
      </c>
      <c r="G95" s="77">
        <f>'Key Generator'!H550</f>
        <v>0</v>
      </c>
      <c r="H95" s="77">
        <f>'Key Generator'!I550</f>
        <v>1</v>
      </c>
      <c r="I95" s="77">
        <f>'Key Generator'!J550</f>
        <v>0</v>
      </c>
      <c r="J95" s="77">
        <f>'Key Generator'!K550</f>
        <v>0</v>
      </c>
      <c r="K95" s="77">
        <f>'Key Generator'!L550</f>
        <v>0</v>
      </c>
      <c r="L95" s="77">
        <f>'Key Generator'!M550</f>
        <v>0</v>
      </c>
      <c r="M95" s="77">
        <f>'Key Generator'!N550</f>
        <v>1</v>
      </c>
      <c r="N95" s="77">
        <f>'Key Generator'!O550</f>
        <v>0</v>
      </c>
      <c r="O95" s="77">
        <f>'Key Generator'!P550</f>
        <v>1</v>
      </c>
      <c r="P95" s="77">
        <f>'Key Generator'!Q550</f>
        <v>1</v>
      </c>
      <c r="Q95" s="77">
        <f>'Key Generator'!R550</f>
        <v>0</v>
      </c>
      <c r="R95" s="77">
        <f>'Key Generator'!S550</f>
        <v>0</v>
      </c>
      <c r="S95" s="77">
        <f>'Key Generator'!T550</f>
        <v>0</v>
      </c>
      <c r="T95" s="77">
        <f>'Key Generator'!U550</f>
        <v>0</v>
      </c>
      <c r="U95" s="77">
        <f>'Key Generator'!V550</f>
        <v>0</v>
      </c>
      <c r="V95" s="77">
        <f>'Key Generator'!W550</f>
        <v>0</v>
      </c>
      <c r="W95" s="77">
        <f>'Key Generator'!X550</f>
        <v>0</v>
      </c>
      <c r="X95" s="77">
        <f>'Key Generator'!Y550</f>
        <v>1</v>
      </c>
      <c r="Y95" s="77">
        <f>'Key Generator'!Z550</f>
        <v>1</v>
      </c>
      <c r="Z95" s="77">
        <f>'Key Generator'!AA550</f>
        <v>0</v>
      </c>
      <c r="AA95" s="77">
        <f>'Key Generator'!AB550</f>
        <v>1</v>
      </c>
      <c r="AB95" s="77">
        <f>'Key Generator'!AC550</f>
        <v>0</v>
      </c>
      <c r="AC95" s="77">
        <f>'Key Generator'!AD550</f>
        <v>0</v>
      </c>
      <c r="AD95" s="77">
        <f>'Key Generator'!AE550</f>
        <v>1</v>
      </c>
      <c r="AE95" s="77">
        <f>'Key Generator'!AF550</f>
        <v>1</v>
      </c>
      <c r="AF95" s="77">
        <f>'Key Generator'!AG550</f>
        <v>0</v>
      </c>
      <c r="AG95" s="77">
        <f>'Key Generator'!AH550</f>
        <v>1</v>
      </c>
      <c r="AH95" s="77">
        <f>'Key Generator'!AI550</f>
        <v>0</v>
      </c>
      <c r="AI95" s="77">
        <f>'Key Generator'!AJ550</f>
        <v>1</v>
      </c>
      <c r="AJ95" s="77">
        <f>'Key Generator'!AK550</f>
        <v>1</v>
      </c>
      <c r="AK95" s="77">
        <f>'Key Generator'!AL550</f>
        <v>0</v>
      </c>
      <c r="AL95" s="77">
        <f>'Key Generator'!AM550</f>
        <v>0</v>
      </c>
      <c r="AM95" s="77">
        <f>'Key Generator'!AN550</f>
        <v>1</v>
      </c>
      <c r="AN95" s="77">
        <f>'Key Generator'!AO550</f>
        <v>0</v>
      </c>
      <c r="AO95" s="77">
        <f>'Key Generator'!AP550</f>
        <v>1</v>
      </c>
      <c r="AP95" s="77">
        <f>'Key Generator'!AQ550</f>
        <v>0</v>
      </c>
      <c r="AQ95" s="77">
        <f>'Key Generator'!AR550</f>
        <v>0</v>
      </c>
      <c r="AR95" s="77">
        <f>'Key Generator'!AS550</f>
        <v>1</v>
      </c>
      <c r="AS95" s="77">
        <f>'Key Generator'!AT550</f>
        <v>0</v>
      </c>
      <c r="AT95" s="77">
        <f>'Key Generator'!AU550</f>
        <v>1</v>
      </c>
      <c r="AU95" s="77">
        <f>'Key Generator'!AV550</f>
        <v>1</v>
      </c>
      <c r="AV95" s="77">
        <f>'Key Generator'!AW550</f>
        <v>0</v>
      </c>
      <c r="AW95" s="77">
        <f>'Key Generator'!AX550</f>
        <v>1</v>
      </c>
      <c r="AX95" s="77">
        <f>'Key Generator'!AY550</f>
        <v>1</v>
      </c>
      <c r="AY95" s="21"/>
      <c r="AZ95" s="21"/>
      <c r="BA95" s="21"/>
      <c r="BB95" s="21"/>
      <c r="BC95" s="21"/>
      <c r="BD95" s="21"/>
      <c r="BE95" s="21"/>
    </row>
    <row r="96" spans="1:57" x14ac:dyDescent="0.25">
      <c r="A96" s="21"/>
      <c r="B96" s="64"/>
      <c r="C96" s="62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</row>
    <row r="97" spans="1:57" x14ac:dyDescent="0.25">
      <c r="A97" s="21"/>
      <c r="B97" s="64"/>
      <c r="C97" s="62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</row>
    <row r="98" spans="1:57" x14ac:dyDescent="0.25">
      <c r="A98" s="128" t="s">
        <v>535</v>
      </c>
      <c r="B98" s="129"/>
      <c r="C98" s="79">
        <v>1</v>
      </c>
      <c r="D98" s="80">
        <v>2</v>
      </c>
      <c r="E98" s="79">
        <v>3</v>
      </c>
      <c r="F98" s="80">
        <v>4</v>
      </c>
      <c r="G98" s="79">
        <v>5</v>
      </c>
      <c r="H98" s="80">
        <v>6</v>
      </c>
      <c r="I98" s="79">
        <v>7</v>
      </c>
      <c r="J98" s="80">
        <v>8</v>
      </c>
      <c r="K98" s="79">
        <v>9</v>
      </c>
      <c r="L98" s="80">
        <v>10</v>
      </c>
      <c r="M98" s="79">
        <v>11</v>
      </c>
      <c r="N98" s="80">
        <v>12</v>
      </c>
      <c r="O98" s="79">
        <v>13</v>
      </c>
      <c r="P98" s="80">
        <v>14</v>
      </c>
      <c r="Q98" s="79">
        <v>15</v>
      </c>
      <c r="R98" s="80">
        <v>16</v>
      </c>
      <c r="S98" s="79">
        <v>17</v>
      </c>
      <c r="T98" s="80">
        <v>18</v>
      </c>
      <c r="U98" s="79">
        <v>19</v>
      </c>
      <c r="V98" s="80">
        <v>20</v>
      </c>
      <c r="W98" s="79">
        <v>21</v>
      </c>
      <c r="X98" s="80">
        <v>22</v>
      </c>
      <c r="Y98" s="79">
        <v>23</v>
      </c>
      <c r="Z98" s="80">
        <v>24</v>
      </c>
      <c r="AA98" s="79">
        <v>25</v>
      </c>
      <c r="AB98" s="80">
        <v>26</v>
      </c>
      <c r="AC98" s="79">
        <v>27</v>
      </c>
      <c r="AD98" s="80">
        <v>28</v>
      </c>
      <c r="AE98" s="79">
        <v>29</v>
      </c>
      <c r="AF98" s="80">
        <v>30</v>
      </c>
      <c r="AG98" s="79">
        <v>31</v>
      </c>
      <c r="AH98" s="80">
        <v>32</v>
      </c>
      <c r="AI98" s="79">
        <v>33</v>
      </c>
      <c r="AJ98" s="80">
        <v>34</v>
      </c>
      <c r="AK98" s="79">
        <v>35</v>
      </c>
      <c r="AL98" s="80">
        <v>36</v>
      </c>
      <c r="AM98" s="79">
        <v>37</v>
      </c>
      <c r="AN98" s="80">
        <v>38</v>
      </c>
      <c r="AO98" s="79">
        <v>39</v>
      </c>
      <c r="AP98" s="80">
        <v>40</v>
      </c>
      <c r="AQ98" s="79">
        <v>41</v>
      </c>
      <c r="AR98" s="80">
        <v>42</v>
      </c>
      <c r="AS98" s="79">
        <v>43</v>
      </c>
      <c r="AT98" s="80">
        <v>44</v>
      </c>
      <c r="AU98" s="79">
        <v>45</v>
      </c>
      <c r="AV98" s="80">
        <v>46</v>
      </c>
      <c r="AW98" s="79">
        <v>47</v>
      </c>
      <c r="AX98" s="80">
        <v>48</v>
      </c>
      <c r="AY98" s="21"/>
      <c r="AZ98" s="21"/>
      <c r="BA98" s="21"/>
      <c r="BB98" s="21"/>
      <c r="BC98" s="21"/>
      <c r="BD98" s="21"/>
      <c r="BE98" s="21"/>
    </row>
    <row r="99" spans="1:57" x14ac:dyDescent="0.25">
      <c r="A99" s="21"/>
      <c r="B99" s="64"/>
      <c r="C99" s="88">
        <f>--_xlfn.XOR(C91,'Key Generator'!D550)</f>
        <v>0</v>
      </c>
      <c r="D99" s="88">
        <f>--_xlfn.XOR(D91,'Key Generator'!E550)</f>
        <v>1</v>
      </c>
      <c r="E99" s="88">
        <f>--_xlfn.XOR(E91,'Key Generator'!F550)</f>
        <v>0</v>
      </c>
      <c r="F99" s="88">
        <f>--_xlfn.XOR(F91,'Key Generator'!G550)</f>
        <v>1</v>
      </c>
      <c r="G99" s="88">
        <f>--_xlfn.XOR(G91,'Key Generator'!H550)</f>
        <v>0</v>
      </c>
      <c r="H99" s="88">
        <f>--_xlfn.XOR(H91,'Key Generator'!I550)</f>
        <v>1</v>
      </c>
      <c r="I99" s="87">
        <f>--_xlfn.XOR(I91,'Key Generator'!J550)</f>
        <v>0</v>
      </c>
      <c r="J99" s="87">
        <f>--_xlfn.XOR(J91,'Key Generator'!K550)</f>
        <v>0</v>
      </c>
      <c r="K99" s="87">
        <f>--_xlfn.XOR(K91,'Key Generator'!L550)</f>
        <v>0</v>
      </c>
      <c r="L99" s="87">
        <f>--_xlfn.XOR(L91,'Key Generator'!M550)</f>
        <v>0</v>
      </c>
      <c r="M99" s="87">
        <f>--_xlfn.XOR(M91,'Key Generator'!N550)</f>
        <v>0</v>
      </c>
      <c r="N99" s="87">
        <f>--_xlfn.XOR(N91,'Key Generator'!O550)</f>
        <v>0</v>
      </c>
      <c r="O99" s="89">
        <f>--_xlfn.XOR(O91,'Key Generator'!P550)</f>
        <v>0</v>
      </c>
      <c r="P99" s="89">
        <f>--_xlfn.XOR(P91,'Key Generator'!Q550)</f>
        <v>1</v>
      </c>
      <c r="Q99" s="89">
        <f>--_xlfn.XOR(Q91,'Key Generator'!R550)</f>
        <v>0</v>
      </c>
      <c r="R99" s="89">
        <f>--_xlfn.XOR(R91,'Key Generator'!S550)</f>
        <v>1</v>
      </c>
      <c r="S99" s="89">
        <f>--_xlfn.XOR(S91,'Key Generator'!T550)</f>
        <v>0</v>
      </c>
      <c r="T99" s="89">
        <f>--_xlfn.XOR(T91,'Key Generator'!U550)</f>
        <v>0</v>
      </c>
      <c r="U99" s="149">
        <f>--_xlfn.XOR(U91,'Key Generator'!V550)</f>
        <v>0</v>
      </c>
      <c r="V99" s="149">
        <f>--_xlfn.XOR(V91,'Key Generator'!W550)</f>
        <v>0</v>
      </c>
      <c r="W99" s="149">
        <f>--_xlfn.XOR(W91,'Key Generator'!X550)</f>
        <v>0</v>
      </c>
      <c r="X99" s="149">
        <f>--_xlfn.XOR(X91,'Key Generator'!Y550)</f>
        <v>0</v>
      </c>
      <c r="Y99" s="149">
        <f>--_xlfn.XOR(Y91,'Key Generator'!Z550)</f>
        <v>1</v>
      </c>
      <c r="Z99" s="149">
        <f>--_xlfn.XOR(Z91,'Key Generator'!AA550)</f>
        <v>0</v>
      </c>
      <c r="AA99" s="91">
        <f>--_xlfn.XOR(AA91,'Key Generator'!AB550)</f>
        <v>1</v>
      </c>
      <c r="AB99" s="91">
        <f>--_xlfn.XOR(AB91,'Key Generator'!AC550)</f>
        <v>0</v>
      </c>
      <c r="AC99" s="91">
        <f>--_xlfn.XOR(AC91,'Key Generator'!AD550)</f>
        <v>1</v>
      </c>
      <c r="AD99" s="91">
        <f>--_xlfn.XOR(AD91,'Key Generator'!AE550)</f>
        <v>0</v>
      </c>
      <c r="AE99" s="91">
        <f>--_xlfn.XOR(AE91,'Key Generator'!AF550)</f>
        <v>0</v>
      </c>
      <c r="AF99" s="91">
        <f>--_xlfn.XOR(AF91,'Key Generator'!AG550)</f>
        <v>0</v>
      </c>
      <c r="AG99" s="92">
        <f>--_xlfn.XOR(AG91,'Key Generator'!AH550)</f>
        <v>0</v>
      </c>
      <c r="AH99" s="92">
        <f>--_xlfn.XOR(AH91,'Key Generator'!AI550)</f>
        <v>0</v>
      </c>
      <c r="AI99" s="92">
        <f>--_xlfn.XOR(AI91,'Key Generator'!AJ550)</f>
        <v>1</v>
      </c>
      <c r="AJ99" s="92">
        <f>--_xlfn.XOR(AJ91,'Key Generator'!AK550)</f>
        <v>1</v>
      </c>
      <c r="AK99" s="92">
        <f>--_xlfn.XOR(AK91,'Key Generator'!AL550)</f>
        <v>1</v>
      </c>
      <c r="AL99" s="92">
        <f>--_xlfn.XOR(AL91,'Key Generator'!AM550)</f>
        <v>1</v>
      </c>
      <c r="AM99" s="86">
        <f>--_xlfn.XOR(AM91,'Key Generator'!AN550)</f>
        <v>0</v>
      </c>
      <c r="AN99" s="86">
        <f>--_xlfn.XOR(AN91,'Key Generator'!AO550)</f>
        <v>1</v>
      </c>
      <c r="AO99" s="86">
        <f>--_xlfn.XOR(AO91,'Key Generator'!AP550)</f>
        <v>1</v>
      </c>
      <c r="AP99" s="86">
        <f>--_xlfn.XOR(AP91,'Key Generator'!AQ550)</f>
        <v>1</v>
      </c>
      <c r="AQ99" s="86">
        <f>--_xlfn.XOR(AQ91,'Key Generator'!AR550)</f>
        <v>1</v>
      </c>
      <c r="AR99" s="86">
        <f>--_xlfn.XOR(AR91,'Key Generator'!AS550)</f>
        <v>0</v>
      </c>
      <c r="AS99" s="81">
        <f>--_xlfn.XOR(AS91,'Key Generator'!AT550)</f>
        <v>1</v>
      </c>
      <c r="AT99" s="81">
        <f>--_xlfn.XOR(AT91,'Key Generator'!AU550)</f>
        <v>0</v>
      </c>
      <c r="AU99" s="81">
        <f>--_xlfn.XOR(AU91,'Key Generator'!AV550)</f>
        <v>0</v>
      </c>
      <c r="AV99" s="81">
        <f>--_xlfn.XOR(AV91,'Key Generator'!AW550)</f>
        <v>0</v>
      </c>
      <c r="AW99" s="81">
        <f>--_xlfn.XOR(AW91,'Key Generator'!AX550)</f>
        <v>1</v>
      </c>
      <c r="AX99" s="81">
        <f>--_xlfn.XOR(AX91,'Key Generator'!AY550)</f>
        <v>0</v>
      </c>
      <c r="AY99" s="21"/>
      <c r="AZ99" s="21"/>
      <c r="BA99" s="21"/>
      <c r="BB99" s="21"/>
      <c r="BC99" s="21"/>
      <c r="BD99" s="21"/>
      <c r="BE99" s="21"/>
    </row>
    <row r="100" spans="1:57" x14ac:dyDescent="0.25">
      <c r="A100" s="21"/>
      <c r="B100" s="64"/>
      <c r="C100" s="93"/>
      <c r="D100" s="94"/>
      <c r="E100" s="94"/>
      <c r="F100" s="94"/>
      <c r="G100" s="94"/>
      <c r="H100" s="94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</row>
    <row r="101" spans="1:57" x14ac:dyDescent="0.25">
      <c r="A101" s="96" t="s">
        <v>545</v>
      </c>
      <c r="B101" s="97"/>
      <c r="C101" s="161">
        <f>D99*8+E99*4+F99*2+G99</f>
        <v>10</v>
      </c>
      <c r="D101" s="97" t="s">
        <v>536</v>
      </c>
      <c r="E101" s="97"/>
      <c r="F101" s="97"/>
      <c r="G101" s="97"/>
      <c r="H101" s="97"/>
      <c r="I101" s="161">
        <f>J99*8+K99*4+L99*2+M99</f>
        <v>0</v>
      </c>
      <c r="J101" s="97" t="s">
        <v>537</v>
      </c>
      <c r="K101" s="97"/>
      <c r="L101" s="97"/>
      <c r="M101" s="97"/>
      <c r="N101" s="97"/>
      <c r="O101" s="161">
        <f>P99*8+Q99*4+R99*2+S99</f>
        <v>10</v>
      </c>
      <c r="P101" s="97" t="s">
        <v>538</v>
      </c>
      <c r="Q101" s="97"/>
      <c r="R101" s="97"/>
      <c r="S101" s="97"/>
      <c r="T101" s="97"/>
      <c r="U101" s="161">
        <f>V99*8+W99*4+X99*2+Y99</f>
        <v>1</v>
      </c>
      <c r="V101" s="97" t="s">
        <v>539</v>
      </c>
      <c r="W101" s="97"/>
      <c r="X101" s="97"/>
      <c r="Y101" s="97"/>
      <c r="Z101" s="97"/>
      <c r="AA101" s="161">
        <f>AB99*8+AC99*4+AD99*2+AE99</f>
        <v>4</v>
      </c>
      <c r="AB101" s="97" t="s">
        <v>540</v>
      </c>
      <c r="AC101" s="97"/>
      <c r="AD101" s="97"/>
      <c r="AE101" s="97"/>
      <c r="AF101" s="97"/>
      <c r="AG101" s="161">
        <f>AH99*8+AI99*4+AJ99*2+AK99</f>
        <v>7</v>
      </c>
      <c r="AH101" s="97" t="s">
        <v>541</v>
      </c>
      <c r="AI101" s="97"/>
      <c r="AJ101" s="97"/>
      <c r="AK101" s="97"/>
      <c r="AL101" s="97"/>
      <c r="AM101" s="161">
        <f>AN99*8+AO99*4+AP99*2+AQ99</f>
        <v>15</v>
      </c>
      <c r="AN101" s="97" t="s">
        <v>542</v>
      </c>
      <c r="AO101" s="97"/>
      <c r="AP101" s="97"/>
      <c r="AQ101" s="97"/>
      <c r="AR101" s="97"/>
      <c r="AS101" s="161">
        <f>AT99*8+AU99*4+AV99*2+AW99</f>
        <v>1</v>
      </c>
      <c r="AT101" s="97" t="s">
        <v>543</v>
      </c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1:57" x14ac:dyDescent="0.25">
      <c r="A102" s="100" t="s">
        <v>546</v>
      </c>
      <c r="B102" s="99"/>
      <c r="C102" s="87">
        <f>C99*2+H99</f>
        <v>1</v>
      </c>
      <c r="D102" s="98"/>
      <c r="E102" s="98"/>
      <c r="F102" s="99"/>
      <c r="G102" s="99"/>
      <c r="H102" s="99"/>
      <c r="I102" s="87">
        <f>I99*2+N99</f>
        <v>0</v>
      </c>
      <c r="J102" s="99"/>
      <c r="K102" s="99"/>
      <c r="L102" s="99"/>
      <c r="M102" s="99"/>
      <c r="N102" s="99"/>
      <c r="O102" s="87">
        <f>O99*2+T99</f>
        <v>0</v>
      </c>
      <c r="P102" s="99"/>
      <c r="Q102" s="99"/>
      <c r="R102" s="99"/>
      <c r="S102" s="99"/>
      <c r="T102" s="99"/>
      <c r="U102" s="87">
        <f>U99*2+Z99</f>
        <v>0</v>
      </c>
      <c r="V102" s="99"/>
      <c r="W102" s="99"/>
      <c r="X102" s="99"/>
      <c r="Y102" s="99"/>
      <c r="Z102" s="99"/>
      <c r="AA102" s="87">
        <f>AA99*2+AF99</f>
        <v>2</v>
      </c>
      <c r="AB102" s="99"/>
      <c r="AC102" s="99"/>
      <c r="AD102" s="99"/>
      <c r="AE102" s="99"/>
      <c r="AF102" s="99"/>
      <c r="AG102" s="87">
        <f>AG99*2+AL99</f>
        <v>1</v>
      </c>
      <c r="AH102" s="99"/>
      <c r="AI102" s="99"/>
      <c r="AJ102" s="99"/>
      <c r="AK102" s="99"/>
      <c r="AL102" s="99"/>
      <c r="AM102" s="87">
        <f>AM99*2+AR99</f>
        <v>0</v>
      </c>
      <c r="AN102" s="99"/>
      <c r="AO102" s="99"/>
      <c r="AP102" s="99"/>
      <c r="AQ102" s="99"/>
      <c r="AR102" s="99"/>
      <c r="AS102" s="87">
        <f>AS99*2+AX99</f>
        <v>2</v>
      </c>
      <c r="AT102" s="99"/>
      <c r="AU102" s="99"/>
      <c r="AV102" s="99"/>
      <c r="AW102" s="99"/>
      <c r="AX102" s="99"/>
      <c r="AY102" s="99"/>
      <c r="AZ102" s="99"/>
      <c r="BA102" s="99"/>
      <c r="BB102" s="99"/>
      <c r="BC102" s="99"/>
      <c r="BD102" s="99"/>
      <c r="BE102" s="99"/>
    </row>
    <row r="103" spans="1:57" x14ac:dyDescent="0.25">
      <c r="A103" s="21"/>
      <c r="B103" s="64"/>
      <c r="C103" s="62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</row>
    <row r="104" spans="1:57" x14ac:dyDescent="0.25">
      <c r="A104" s="117" t="s">
        <v>547</v>
      </c>
      <c r="B104" s="64"/>
      <c r="C104" s="72">
        <f>INDEX('S-Box'!D3:S6,'DES-Dec'!C102+1,'DES-Dec'!C101+1)</f>
        <v>12</v>
      </c>
      <c r="D104" s="21"/>
      <c r="E104" s="21"/>
      <c r="F104" s="21"/>
      <c r="G104" s="21"/>
      <c r="H104" s="21"/>
      <c r="I104" s="168">
        <f>INDEX('S-Box'!D9:S12,'DES-Dec'!I102+1,'DES-Dec'!I101+1)</f>
        <v>15</v>
      </c>
      <c r="J104" s="21"/>
      <c r="K104" s="21"/>
      <c r="L104" s="21"/>
      <c r="M104" s="21"/>
      <c r="N104" s="21"/>
      <c r="O104" s="168">
        <f>INDEX('S-Box'!D15:S18,'DES-Dec'!O102+1,'DES-Dec'!O101+1)</f>
        <v>12</v>
      </c>
      <c r="P104" s="21"/>
      <c r="Q104" s="21"/>
      <c r="R104" s="21"/>
      <c r="S104" s="21"/>
      <c r="T104" s="21"/>
      <c r="U104" s="168">
        <f>INDEX('S-Box'!D21:S24,'DES-Dec'!U102+1,'DES-Dec'!U101+1)</f>
        <v>13</v>
      </c>
      <c r="V104" s="21"/>
      <c r="W104" s="21"/>
      <c r="X104" s="21"/>
      <c r="Y104" s="21"/>
      <c r="Z104" s="21"/>
      <c r="AA104" s="168">
        <f>INDEX('S-Box'!D27:S30,'DES-Dec'!AA102+1,'DES-Dec'!AA101+1)</f>
        <v>10</v>
      </c>
      <c r="AB104" s="21"/>
      <c r="AC104" s="21"/>
      <c r="AD104" s="21"/>
      <c r="AE104" s="21"/>
      <c r="AF104" s="21"/>
      <c r="AG104" s="168">
        <f>INDEX('S-Box'!D33:S36,'DES-Dec'!AG102+1,'DES-Dec'!AG101+1)</f>
        <v>5</v>
      </c>
      <c r="AH104" s="21"/>
      <c r="AI104" s="21"/>
      <c r="AJ104" s="21"/>
      <c r="AK104" s="21"/>
      <c r="AL104" s="21"/>
      <c r="AM104" s="168">
        <f>INDEX('S-Box'!D39:S42,'DES-Dec'!AM102+1,'DES-Dec'!AM101+1)</f>
        <v>1</v>
      </c>
      <c r="AN104" s="21"/>
      <c r="AO104" s="21"/>
      <c r="AP104" s="21"/>
      <c r="AQ104" s="21"/>
      <c r="AR104" s="21"/>
      <c r="AS104" s="168">
        <f>INDEX('S-Box'!D45:S48,'DES-Dec'!AS102+1,'DES-Dec'!AS101+1)</f>
        <v>11</v>
      </c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</row>
    <row r="105" spans="1:57" x14ac:dyDescent="0.25">
      <c r="A105" s="21"/>
      <c r="B105" s="64"/>
      <c r="C105" s="104"/>
      <c r="D105" s="21"/>
      <c r="E105" s="21"/>
      <c r="F105" s="21"/>
      <c r="G105" s="21"/>
      <c r="H105" s="21"/>
      <c r="I105" s="95"/>
      <c r="J105" s="21"/>
      <c r="K105" s="21"/>
      <c r="L105" s="21"/>
      <c r="M105" s="21"/>
      <c r="N105" s="21"/>
      <c r="O105" s="95"/>
      <c r="P105" s="21"/>
      <c r="Q105" s="21"/>
      <c r="R105" s="21"/>
      <c r="S105" s="21"/>
      <c r="T105" s="21"/>
      <c r="U105" s="95"/>
      <c r="V105" s="21"/>
      <c r="W105" s="21"/>
      <c r="X105" s="21"/>
      <c r="Y105" s="21"/>
      <c r="Z105" s="21"/>
      <c r="AA105" s="95"/>
      <c r="AB105" s="21"/>
      <c r="AC105" s="21"/>
      <c r="AD105" s="21"/>
      <c r="AE105" s="21"/>
      <c r="AF105" s="21"/>
      <c r="AG105" s="95"/>
      <c r="AH105" s="21"/>
      <c r="AI105" s="21"/>
      <c r="AJ105" s="21"/>
      <c r="AK105" s="21"/>
      <c r="AL105" s="21"/>
      <c r="AM105" s="95"/>
      <c r="AN105" s="21"/>
      <c r="AO105" s="21"/>
      <c r="AP105" s="21"/>
      <c r="AQ105" s="21"/>
      <c r="AR105" s="21"/>
      <c r="AS105" s="95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</row>
    <row r="106" spans="1:57" x14ac:dyDescent="0.25">
      <c r="A106" s="21"/>
      <c r="B106" s="64"/>
      <c r="C106" s="105" t="str">
        <f>MID(DEC2BIN(C104,4),1,1)</f>
        <v>1</v>
      </c>
      <c r="D106" s="106" t="str">
        <f>MID(DEC2BIN(C104,4),2,1)</f>
        <v>1</v>
      </c>
      <c r="E106" s="106" t="str">
        <f>MID(DEC2BIN(C104,4),3,1)</f>
        <v>0</v>
      </c>
      <c r="F106" s="107" t="str">
        <f>MID(DEC2BIN(C104,4),4,1)</f>
        <v>0</v>
      </c>
      <c r="G106" s="21"/>
      <c r="H106" s="21"/>
      <c r="I106" s="105" t="str">
        <f>MID(DEC2BIN(I104,4),1,1)</f>
        <v>1</v>
      </c>
      <c r="J106" s="106" t="str">
        <f>MID(DEC2BIN(I104,4),2,1)</f>
        <v>1</v>
      </c>
      <c r="K106" s="106" t="str">
        <f>MID(DEC2BIN(I104,4),3,1)</f>
        <v>1</v>
      </c>
      <c r="L106" s="107" t="str">
        <f>MID(DEC2BIN(I104,4),4,1)</f>
        <v>1</v>
      </c>
      <c r="M106" s="21"/>
      <c r="N106" s="21"/>
      <c r="O106" s="105" t="str">
        <f>MID(DEC2BIN(O104,4),1,1)</f>
        <v>1</v>
      </c>
      <c r="P106" s="106" t="str">
        <f>MID(DEC2BIN(O104,4),2,1)</f>
        <v>1</v>
      </c>
      <c r="Q106" s="106" t="str">
        <f>MID(DEC2BIN(O104,4),3,1)</f>
        <v>0</v>
      </c>
      <c r="R106" s="107" t="str">
        <f>MID(DEC2BIN(O104,4),4,1)</f>
        <v>0</v>
      </c>
      <c r="S106" s="21"/>
      <c r="T106" s="21"/>
      <c r="U106" s="105" t="str">
        <f>MID(DEC2BIN(U104,4),1,1)</f>
        <v>1</v>
      </c>
      <c r="V106" s="106" t="str">
        <f>MID(DEC2BIN(U104,4),2,1)</f>
        <v>1</v>
      </c>
      <c r="W106" s="106" t="str">
        <f>MID(DEC2BIN(U104,4),3,1)</f>
        <v>0</v>
      </c>
      <c r="X106" s="107" t="str">
        <f>MID(DEC2BIN(U104,4),4,1)</f>
        <v>1</v>
      </c>
      <c r="Y106" s="21"/>
      <c r="Z106" s="21"/>
      <c r="AA106" s="105" t="str">
        <f>MID(DEC2BIN(AA104,4),1,1)</f>
        <v>1</v>
      </c>
      <c r="AB106" s="106" t="str">
        <f>MID(DEC2BIN(AA104,4),2,1)</f>
        <v>0</v>
      </c>
      <c r="AC106" s="106" t="str">
        <f>MID(DEC2BIN(AA104,4),3,1)</f>
        <v>1</v>
      </c>
      <c r="AD106" s="107" t="str">
        <f>MID(DEC2BIN(AA104,4),4,1)</f>
        <v>0</v>
      </c>
      <c r="AE106" s="21"/>
      <c r="AF106" s="21"/>
      <c r="AG106" s="105" t="str">
        <f>MID(DEC2BIN(AG104,4),1,1)</f>
        <v>0</v>
      </c>
      <c r="AH106" s="106" t="str">
        <f>MID(DEC2BIN(AG104,4),2,1)</f>
        <v>1</v>
      </c>
      <c r="AI106" s="106" t="str">
        <f>MID(DEC2BIN(AG104,4),3,1)</f>
        <v>0</v>
      </c>
      <c r="AJ106" s="107" t="str">
        <f>MID(DEC2BIN(AG104,4),4,1)</f>
        <v>1</v>
      </c>
      <c r="AK106" s="21"/>
      <c r="AL106" s="21"/>
      <c r="AM106" s="105" t="str">
        <f>MID(DEC2BIN(AM104,4),1,1)</f>
        <v>0</v>
      </c>
      <c r="AN106" s="106" t="str">
        <f>MID(DEC2BIN(AM104,4),2,1)</f>
        <v>0</v>
      </c>
      <c r="AO106" s="106" t="str">
        <f>MID(DEC2BIN(AM104,4),3,1)</f>
        <v>0</v>
      </c>
      <c r="AP106" s="107" t="str">
        <f>MID(DEC2BIN(AM104,4),4,1)</f>
        <v>1</v>
      </c>
      <c r="AQ106" s="21"/>
      <c r="AR106" s="21"/>
      <c r="AS106" s="105" t="str">
        <f>MID(DEC2BIN(AS104,4),1,1)</f>
        <v>1</v>
      </c>
      <c r="AT106" s="106" t="str">
        <f>MID(DEC2BIN(AS104,4),2,1)</f>
        <v>0</v>
      </c>
      <c r="AU106" s="106" t="str">
        <f>MID(DEC2BIN(AS104,4),3,1)</f>
        <v>1</v>
      </c>
      <c r="AV106" s="107" t="str">
        <f>MID(DEC2BIN(AS104,4),4,1)</f>
        <v>1</v>
      </c>
      <c r="AW106" s="21"/>
      <c r="AX106" s="21"/>
      <c r="AY106" s="21"/>
      <c r="AZ106" s="21"/>
      <c r="BA106" s="21"/>
      <c r="BB106" s="21"/>
      <c r="BC106" s="21"/>
      <c r="BD106" s="21"/>
      <c r="BE106" s="21"/>
    </row>
    <row r="107" spans="1:57" s="21" customFormat="1" ht="24.95" customHeight="1" x14ac:dyDescent="0.25">
      <c r="B107" s="64"/>
      <c r="C107" s="21">
        <f>VALUE(C106)</f>
        <v>1</v>
      </c>
      <c r="D107" s="21">
        <f t="shared" ref="D107" si="122">VALUE(D106)</f>
        <v>1</v>
      </c>
      <c r="E107" s="21">
        <f t="shared" ref="E107" si="123">VALUE(E106)</f>
        <v>0</v>
      </c>
      <c r="F107" s="21">
        <f t="shared" ref="F107" si="124">VALUE(F106)</f>
        <v>0</v>
      </c>
      <c r="I107" s="21">
        <f t="shared" ref="I107" si="125">VALUE(I106)</f>
        <v>1</v>
      </c>
      <c r="J107" s="21">
        <f t="shared" ref="J107" si="126">VALUE(J106)</f>
        <v>1</v>
      </c>
      <c r="K107" s="21">
        <f t="shared" ref="K107" si="127">VALUE(K106)</f>
        <v>1</v>
      </c>
      <c r="L107" s="21">
        <f t="shared" ref="L107" si="128">VALUE(L106)</f>
        <v>1</v>
      </c>
      <c r="O107" s="21">
        <f>VALUE(O106)</f>
        <v>1</v>
      </c>
      <c r="P107" s="21">
        <f t="shared" ref="P107" si="129">VALUE(P106)</f>
        <v>1</v>
      </c>
      <c r="Q107" s="21">
        <f t="shared" ref="Q107" si="130">VALUE(Q106)</f>
        <v>0</v>
      </c>
      <c r="R107" s="21">
        <f t="shared" ref="R107" si="131">VALUE(R106)</f>
        <v>0</v>
      </c>
      <c r="U107" s="21">
        <f>VALUE(U106)</f>
        <v>1</v>
      </c>
      <c r="V107" s="21">
        <f t="shared" ref="V107" si="132">VALUE(V106)</f>
        <v>1</v>
      </c>
      <c r="W107" s="21">
        <f t="shared" ref="W107" si="133">VALUE(W106)</f>
        <v>0</v>
      </c>
      <c r="X107" s="21">
        <f t="shared" ref="X107" si="134">VALUE(X106)</f>
        <v>1</v>
      </c>
      <c r="AA107" s="21">
        <f>VALUE(AA106)</f>
        <v>1</v>
      </c>
      <c r="AB107" s="21">
        <f t="shared" ref="AB107" si="135">VALUE(AB106)</f>
        <v>0</v>
      </c>
      <c r="AC107" s="21">
        <f t="shared" ref="AC107" si="136">VALUE(AC106)</f>
        <v>1</v>
      </c>
      <c r="AD107" s="21">
        <f t="shared" ref="AD107" si="137">VALUE(AD106)</f>
        <v>0</v>
      </c>
      <c r="AG107" s="21">
        <f>VALUE(AG106)</f>
        <v>0</v>
      </c>
      <c r="AH107" s="21">
        <f t="shared" ref="AH107" si="138">VALUE(AH106)</f>
        <v>1</v>
      </c>
      <c r="AI107" s="21">
        <f t="shared" ref="AI107" si="139">VALUE(AI106)</f>
        <v>0</v>
      </c>
      <c r="AJ107" s="21">
        <f t="shared" ref="AJ107" si="140">VALUE(AJ106)</f>
        <v>1</v>
      </c>
      <c r="AM107" s="21">
        <f>VALUE(AM106)</f>
        <v>0</v>
      </c>
      <c r="AN107" s="21">
        <f t="shared" ref="AN107" si="141">VALUE(AN106)</f>
        <v>0</v>
      </c>
      <c r="AO107" s="21">
        <f t="shared" ref="AO107" si="142">VALUE(AO106)</f>
        <v>0</v>
      </c>
      <c r="AP107" s="21">
        <f t="shared" ref="AP107" si="143">VALUE(AP106)</f>
        <v>1</v>
      </c>
      <c r="AS107" s="21">
        <f>VALUE(AS106)</f>
        <v>1</v>
      </c>
      <c r="AT107" s="21">
        <f t="shared" ref="AT107" si="144">VALUE(AT106)</f>
        <v>0</v>
      </c>
      <c r="AU107" s="21">
        <f t="shared" ref="AU107" si="145">VALUE(AU106)</f>
        <v>1</v>
      </c>
      <c r="AV107" s="21">
        <f t="shared" ref="AV107" si="146">VALUE(AV106)</f>
        <v>1</v>
      </c>
    </row>
    <row r="108" spans="1:57" s="21" customFormat="1" ht="24.95" customHeight="1" x14ac:dyDescent="0.25">
      <c r="A108" s="111" t="s">
        <v>588</v>
      </c>
      <c r="B108" s="111"/>
      <c r="C108" s="111">
        <v>1</v>
      </c>
      <c r="D108" s="76">
        <v>2</v>
      </c>
      <c r="E108" s="111">
        <v>3</v>
      </c>
      <c r="F108" s="76">
        <v>4</v>
      </c>
      <c r="G108" s="111">
        <v>5</v>
      </c>
      <c r="H108" s="76">
        <v>6</v>
      </c>
      <c r="I108" s="111">
        <v>7</v>
      </c>
      <c r="J108" s="76">
        <v>8</v>
      </c>
      <c r="K108" s="111">
        <v>9</v>
      </c>
      <c r="L108" s="76">
        <v>10</v>
      </c>
      <c r="M108" s="111">
        <v>11</v>
      </c>
      <c r="N108" s="76">
        <v>12</v>
      </c>
      <c r="O108" s="111">
        <v>13</v>
      </c>
      <c r="P108" s="76">
        <v>14</v>
      </c>
      <c r="Q108" s="111">
        <v>15</v>
      </c>
      <c r="R108" s="76">
        <v>16</v>
      </c>
      <c r="S108" s="111">
        <v>17</v>
      </c>
      <c r="T108" s="76">
        <v>18</v>
      </c>
      <c r="U108" s="111">
        <v>19</v>
      </c>
      <c r="V108" s="76">
        <v>20</v>
      </c>
      <c r="W108" s="111">
        <v>21</v>
      </c>
      <c r="X108" s="76">
        <v>22</v>
      </c>
      <c r="Y108" s="111">
        <v>23</v>
      </c>
      <c r="Z108" s="76">
        <v>24</v>
      </c>
      <c r="AA108" s="111">
        <v>25</v>
      </c>
      <c r="AB108" s="76">
        <v>26</v>
      </c>
      <c r="AC108" s="111">
        <v>27</v>
      </c>
      <c r="AD108" s="76">
        <v>28</v>
      </c>
      <c r="AE108" s="111">
        <v>29</v>
      </c>
      <c r="AF108" s="76">
        <v>30</v>
      </c>
      <c r="AG108" s="111">
        <v>31</v>
      </c>
      <c r="AH108" s="76">
        <v>32</v>
      </c>
    </row>
    <row r="109" spans="1:57" s="21" customFormat="1" ht="24.95" customHeight="1" x14ac:dyDescent="0.25">
      <c r="B109" s="64"/>
      <c r="C109" s="108">
        <f>C107</f>
        <v>1</v>
      </c>
      <c r="D109" s="108">
        <f t="shared" ref="D109:F109" si="147">D107</f>
        <v>1</v>
      </c>
      <c r="E109" s="108">
        <f t="shared" si="147"/>
        <v>0</v>
      </c>
      <c r="F109" s="108">
        <f t="shared" si="147"/>
        <v>0</v>
      </c>
      <c r="G109" s="23">
        <f>I107</f>
        <v>1</v>
      </c>
      <c r="H109" s="23">
        <f t="shared" ref="H109" si="148">J107</f>
        <v>1</v>
      </c>
      <c r="I109" s="23">
        <f t="shared" ref="I109" si="149">K107</f>
        <v>1</v>
      </c>
      <c r="J109" s="23">
        <f t="shared" ref="J109" si="150">L107</f>
        <v>1</v>
      </c>
      <c r="K109" s="23">
        <f>O107</f>
        <v>1</v>
      </c>
      <c r="L109" s="23">
        <f t="shared" ref="L109" si="151">P107</f>
        <v>1</v>
      </c>
      <c r="M109" s="23">
        <f t="shared" ref="M109" si="152">Q107</f>
        <v>0</v>
      </c>
      <c r="N109" s="23">
        <f t="shared" ref="N109" si="153">R107</f>
        <v>0</v>
      </c>
      <c r="O109" s="23">
        <f>U107</f>
        <v>1</v>
      </c>
      <c r="P109" s="23">
        <f t="shared" ref="P109" si="154">V107</f>
        <v>1</v>
      </c>
      <c r="Q109" s="23">
        <f t="shared" ref="Q109" si="155">W107</f>
        <v>0</v>
      </c>
      <c r="R109" s="23">
        <f t="shared" ref="R109" si="156">X107</f>
        <v>1</v>
      </c>
      <c r="S109" s="23">
        <f>AA107</f>
        <v>1</v>
      </c>
      <c r="T109" s="23">
        <f t="shared" ref="T109" si="157">AB107</f>
        <v>0</v>
      </c>
      <c r="U109" s="23">
        <f t="shared" ref="U109" si="158">AC107</f>
        <v>1</v>
      </c>
      <c r="V109" s="23">
        <f t="shared" ref="V109" si="159">AD107</f>
        <v>0</v>
      </c>
      <c r="W109" s="23">
        <f>AG107</f>
        <v>0</v>
      </c>
      <c r="X109" s="23">
        <f t="shared" ref="X109" si="160">AH107</f>
        <v>1</v>
      </c>
      <c r="Y109" s="23">
        <f t="shared" ref="Y109" si="161">AI107</f>
        <v>0</v>
      </c>
      <c r="Z109" s="23">
        <f t="shared" ref="Z109" si="162">AJ107</f>
        <v>1</v>
      </c>
      <c r="AA109" s="23">
        <f>AM107</f>
        <v>0</v>
      </c>
      <c r="AB109" s="23">
        <f t="shared" ref="AB109" si="163">AN107</f>
        <v>0</v>
      </c>
      <c r="AC109" s="23">
        <f t="shared" ref="AC109" si="164">AO107</f>
        <v>0</v>
      </c>
      <c r="AD109" s="23">
        <f t="shared" ref="AD109" si="165">AP107</f>
        <v>1</v>
      </c>
      <c r="AE109" s="23">
        <f>AS107</f>
        <v>1</v>
      </c>
      <c r="AF109" s="23">
        <f t="shared" ref="AF109" si="166">AT107</f>
        <v>0</v>
      </c>
      <c r="AG109" s="23">
        <f t="shared" ref="AG109" si="167">AU107</f>
        <v>1</v>
      </c>
      <c r="AH109" s="23">
        <f t="shared" ref="AH109" si="168">AV107</f>
        <v>1</v>
      </c>
    </row>
    <row r="110" spans="1:57" x14ac:dyDescent="0.25">
      <c r="A110" s="21"/>
      <c r="B110" s="64"/>
      <c r="C110" s="62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</row>
    <row r="111" spans="1:57" x14ac:dyDescent="0.25">
      <c r="A111" s="110" t="s">
        <v>548</v>
      </c>
      <c r="B111" s="110"/>
      <c r="C111" s="109">
        <v>16</v>
      </c>
      <c r="D111" s="110">
        <v>7</v>
      </c>
      <c r="E111" s="110">
        <v>20</v>
      </c>
      <c r="F111" s="110">
        <v>21</v>
      </c>
      <c r="G111" s="110">
        <v>29</v>
      </c>
      <c r="H111" s="110">
        <v>12</v>
      </c>
      <c r="I111" s="110">
        <v>28</v>
      </c>
      <c r="J111" s="110">
        <v>17</v>
      </c>
      <c r="K111" s="110">
        <v>1</v>
      </c>
      <c r="L111" s="110">
        <v>15</v>
      </c>
      <c r="M111" s="110">
        <v>23</v>
      </c>
      <c r="N111" s="110">
        <v>26</v>
      </c>
      <c r="O111" s="110">
        <v>5</v>
      </c>
      <c r="P111" s="110">
        <v>18</v>
      </c>
      <c r="Q111" s="110">
        <v>31</v>
      </c>
      <c r="R111" s="110">
        <v>10</v>
      </c>
      <c r="S111" s="110">
        <v>2</v>
      </c>
      <c r="T111" s="110">
        <v>8</v>
      </c>
      <c r="U111" s="110">
        <v>24</v>
      </c>
      <c r="V111" s="110">
        <v>14</v>
      </c>
      <c r="W111" s="110">
        <v>32</v>
      </c>
      <c r="X111" s="110">
        <v>27</v>
      </c>
      <c r="Y111" s="110">
        <v>3</v>
      </c>
      <c r="Z111" s="110">
        <v>9</v>
      </c>
      <c r="AA111" s="110">
        <v>19</v>
      </c>
      <c r="AB111" s="110">
        <v>13</v>
      </c>
      <c r="AC111" s="110">
        <v>30</v>
      </c>
      <c r="AD111" s="110">
        <v>6</v>
      </c>
      <c r="AE111" s="110">
        <v>22</v>
      </c>
      <c r="AF111" s="110">
        <v>11</v>
      </c>
      <c r="AG111" s="110">
        <v>4</v>
      </c>
      <c r="AH111" s="110">
        <v>25</v>
      </c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</row>
    <row r="112" spans="1:57" x14ac:dyDescent="0.25">
      <c r="A112" s="21"/>
      <c r="B112" s="64"/>
      <c r="C112" s="103">
        <f>K109</f>
        <v>1</v>
      </c>
      <c r="D112" s="103">
        <f>S109</f>
        <v>1</v>
      </c>
      <c r="E112" s="103">
        <f>Y109</f>
        <v>0</v>
      </c>
      <c r="F112" s="112">
        <f>AG109</f>
        <v>1</v>
      </c>
      <c r="G112" s="103">
        <f>O109</f>
        <v>1</v>
      </c>
      <c r="H112" s="103">
        <f>AD109</f>
        <v>1</v>
      </c>
      <c r="I112" s="103">
        <f>D109</f>
        <v>1</v>
      </c>
      <c r="J112" s="103">
        <f>T109</f>
        <v>0</v>
      </c>
      <c r="K112" s="103">
        <f>Z109</f>
        <v>1</v>
      </c>
      <c r="L112" s="103">
        <f>R109</f>
        <v>1</v>
      </c>
      <c r="M112" s="103">
        <f>AF109</f>
        <v>0</v>
      </c>
      <c r="N112" s="103">
        <f>H109</f>
        <v>1</v>
      </c>
      <c r="O112" s="103">
        <f>AB109</f>
        <v>0</v>
      </c>
      <c r="P112" s="103">
        <f>V109</f>
        <v>0</v>
      </c>
      <c r="Q112" s="103">
        <f>L109</f>
        <v>1</v>
      </c>
      <c r="R112" s="103">
        <f>C109</f>
        <v>1</v>
      </c>
      <c r="S112" s="103">
        <f>J109</f>
        <v>1</v>
      </c>
      <c r="T112" s="103">
        <f>P109</f>
        <v>1</v>
      </c>
      <c r="U112" s="103">
        <f>AA109</f>
        <v>0</v>
      </c>
      <c r="V112" s="103">
        <f>E109</f>
        <v>0</v>
      </c>
      <c r="W112" s="103">
        <f>F109</f>
        <v>0</v>
      </c>
      <c r="X112" s="103">
        <f>AE109</f>
        <v>1</v>
      </c>
      <c r="Y112" s="103">
        <f>M109</f>
        <v>0</v>
      </c>
      <c r="Z112" s="103">
        <f>U109</f>
        <v>1</v>
      </c>
      <c r="AA112" s="103">
        <f>AH109</f>
        <v>1</v>
      </c>
      <c r="AB112" s="103">
        <f>N109</f>
        <v>0</v>
      </c>
      <c r="AC112" s="103">
        <f>X109</f>
        <v>1</v>
      </c>
      <c r="AD112" s="103">
        <f>I109</f>
        <v>1</v>
      </c>
      <c r="AE112" s="103">
        <f>G109</f>
        <v>1</v>
      </c>
      <c r="AF112" s="103">
        <f>AC109</f>
        <v>0</v>
      </c>
      <c r="AG112" s="103">
        <f>Q109</f>
        <v>0</v>
      </c>
      <c r="AH112" s="103">
        <f>W109</f>
        <v>0</v>
      </c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</row>
    <row r="113" spans="1:57" x14ac:dyDescent="0.25">
      <c r="A113" s="21"/>
      <c r="B113" s="64"/>
      <c r="C113" s="130">
        <v>1</v>
      </c>
      <c r="D113" s="131">
        <v>2</v>
      </c>
      <c r="E113" s="130">
        <v>3</v>
      </c>
      <c r="F113" s="131">
        <v>4</v>
      </c>
      <c r="G113" s="130">
        <v>5</v>
      </c>
      <c r="H113" s="131">
        <v>6</v>
      </c>
      <c r="I113" s="130">
        <v>7</v>
      </c>
      <c r="J113" s="131">
        <v>8</v>
      </c>
      <c r="K113" s="130">
        <v>9</v>
      </c>
      <c r="L113" s="131">
        <v>10</v>
      </c>
      <c r="M113" s="130">
        <v>11</v>
      </c>
      <c r="N113" s="131">
        <v>12</v>
      </c>
      <c r="O113" s="130">
        <v>13</v>
      </c>
      <c r="P113" s="131">
        <v>14</v>
      </c>
      <c r="Q113" s="130">
        <v>15</v>
      </c>
      <c r="R113" s="131">
        <v>16</v>
      </c>
      <c r="S113" s="130">
        <v>17</v>
      </c>
      <c r="T113" s="131">
        <v>18</v>
      </c>
      <c r="U113" s="130">
        <v>19</v>
      </c>
      <c r="V113" s="131">
        <v>20</v>
      </c>
      <c r="W113" s="130">
        <v>21</v>
      </c>
      <c r="X113" s="131">
        <v>22</v>
      </c>
      <c r="Y113" s="130">
        <v>23</v>
      </c>
      <c r="Z113" s="131">
        <v>24</v>
      </c>
      <c r="AA113" s="130">
        <v>25</v>
      </c>
      <c r="AB113" s="131">
        <v>26</v>
      </c>
      <c r="AC113" s="130">
        <v>27</v>
      </c>
      <c r="AD113" s="131">
        <v>28</v>
      </c>
      <c r="AE113" s="130">
        <v>29</v>
      </c>
      <c r="AF113" s="131">
        <v>30</v>
      </c>
      <c r="AG113" s="130">
        <v>31</v>
      </c>
      <c r="AH113" s="131">
        <v>32</v>
      </c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</row>
    <row r="114" spans="1:57" x14ac:dyDescent="0.25">
      <c r="A114" s="21"/>
      <c r="B114" s="64"/>
      <c r="C114" s="62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</row>
    <row r="115" spans="1:57" x14ac:dyDescent="0.25">
      <c r="A115" s="21"/>
      <c r="B115" s="64"/>
      <c r="C115" s="62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</row>
    <row r="116" spans="1:57" x14ac:dyDescent="0.25">
      <c r="A116" s="21"/>
      <c r="B116" s="64"/>
      <c r="C116" s="62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</row>
    <row r="117" spans="1:57" x14ac:dyDescent="0.25">
      <c r="A117" s="114" t="s">
        <v>590</v>
      </c>
      <c r="B117" s="114"/>
      <c r="C117" s="114"/>
      <c r="D117" s="68">
        <v>1</v>
      </c>
      <c r="E117" s="68">
        <v>2</v>
      </c>
      <c r="F117" s="68">
        <v>3</v>
      </c>
      <c r="G117" s="68">
        <v>4</v>
      </c>
      <c r="H117" s="68">
        <v>5</v>
      </c>
      <c r="I117" s="68">
        <v>6</v>
      </c>
      <c r="J117" s="68">
        <v>7</v>
      </c>
      <c r="K117" s="68">
        <v>8</v>
      </c>
      <c r="L117" s="68">
        <v>9</v>
      </c>
      <c r="M117" s="68">
        <v>10</v>
      </c>
      <c r="N117" s="68">
        <v>11</v>
      </c>
      <c r="O117" s="68">
        <v>12</v>
      </c>
      <c r="P117" s="68">
        <v>13</v>
      </c>
      <c r="Q117" s="68">
        <v>14</v>
      </c>
      <c r="R117" s="68">
        <v>15</v>
      </c>
      <c r="S117" s="68">
        <v>16</v>
      </c>
      <c r="T117" s="68">
        <v>17</v>
      </c>
      <c r="U117" s="68">
        <v>18</v>
      </c>
      <c r="V117" s="68">
        <v>19</v>
      </c>
      <c r="W117" s="68">
        <v>20</v>
      </c>
      <c r="X117" s="68">
        <v>21</v>
      </c>
      <c r="Y117" s="68">
        <v>22</v>
      </c>
      <c r="Z117" s="68">
        <v>23</v>
      </c>
      <c r="AA117" s="68">
        <v>24</v>
      </c>
      <c r="AB117" s="68">
        <v>25</v>
      </c>
      <c r="AC117" s="68">
        <v>26</v>
      </c>
      <c r="AD117" s="68">
        <v>27</v>
      </c>
      <c r="AE117" s="68">
        <v>28</v>
      </c>
      <c r="AF117" s="68">
        <v>29</v>
      </c>
      <c r="AG117" s="68">
        <v>30</v>
      </c>
      <c r="AH117" s="68">
        <v>31</v>
      </c>
      <c r="AI117" s="68">
        <v>32</v>
      </c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</row>
    <row r="118" spans="1:57" x14ac:dyDescent="0.25">
      <c r="A118" s="64" t="s">
        <v>549</v>
      </c>
      <c r="B118" s="64"/>
      <c r="C118" s="62"/>
      <c r="D118" s="68">
        <f>C76</f>
        <v>1</v>
      </c>
      <c r="E118" s="68">
        <f t="shared" ref="E118" si="169">D76</f>
        <v>0</v>
      </c>
      <c r="F118" s="68">
        <f t="shared" ref="F118" si="170">E76</f>
        <v>0</v>
      </c>
      <c r="G118" s="68">
        <f t="shared" ref="G118" si="171">F76</f>
        <v>0</v>
      </c>
      <c r="H118" s="68">
        <f t="shared" ref="H118" si="172">G76</f>
        <v>0</v>
      </c>
      <c r="I118" s="68">
        <f t="shared" ref="I118" si="173">H76</f>
        <v>0</v>
      </c>
      <c r="J118" s="68">
        <f t="shared" ref="J118" si="174">I76</f>
        <v>0</v>
      </c>
      <c r="K118" s="68">
        <f t="shared" ref="K118" si="175">J76</f>
        <v>1</v>
      </c>
      <c r="L118" s="68">
        <f t="shared" ref="L118" si="176">K76</f>
        <v>0</v>
      </c>
      <c r="M118" s="68">
        <f t="shared" ref="M118" si="177">L76</f>
        <v>0</v>
      </c>
      <c r="N118" s="68">
        <f t="shared" ref="N118" si="178">M76</f>
        <v>1</v>
      </c>
      <c r="O118" s="68">
        <f t="shared" ref="O118" si="179">N76</f>
        <v>0</v>
      </c>
      <c r="P118" s="68">
        <f t="shared" ref="P118" si="180">O76</f>
        <v>0</v>
      </c>
      <c r="Q118" s="68">
        <f t="shared" ref="Q118" si="181">P76</f>
        <v>0</v>
      </c>
      <c r="R118" s="68">
        <f t="shared" ref="R118" si="182">Q76</f>
        <v>1</v>
      </c>
      <c r="S118" s="68">
        <f t="shared" ref="S118" si="183">R76</f>
        <v>0</v>
      </c>
      <c r="T118" s="68">
        <f t="shared" ref="T118" si="184">S76</f>
        <v>0</v>
      </c>
      <c r="U118" s="68">
        <f t="shared" ref="U118" si="185">T76</f>
        <v>1</v>
      </c>
      <c r="V118" s="68">
        <f t="shared" ref="V118" si="186">U76</f>
        <v>1</v>
      </c>
      <c r="W118" s="68">
        <f t="shared" ref="W118" si="187">V76</f>
        <v>1</v>
      </c>
      <c r="X118" s="68">
        <f t="shared" ref="X118" si="188">W76</f>
        <v>0</v>
      </c>
      <c r="Y118" s="68">
        <f t="shared" ref="Y118" si="189">X76</f>
        <v>0</v>
      </c>
      <c r="Z118" s="68">
        <f t="shared" ref="Z118" si="190">Y76</f>
        <v>0</v>
      </c>
      <c r="AA118" s="68">
        <f t="shared" ref="AA118" si="191">Z76</f>
        <v>1</v>
      </c>
      <c r="AB118" s="68">
        <f t="shared" ref="AB118" si="192">AA76</f>
        <v>1</v>
      </c>
      <c r="AC118" s="68">
        <f t="shared" ref="AC118" si="193">AB76</f>
        <v>0</v>
      </c>
      <c r="AD118" s="68">
        <f t="shared" ref="AD118" si="194">AC76</f>
        <v>1</v>
      </c>
      <c r="AE118" s="68">
        <f t="shared" ref="AE118" si="195">AD76</f>
        <v>1</v>
      </c>
      <c r="AF118" s="68">
        <f t="shared" ref="AF118" si="196">AE76</f>
        <v>1</v>
      </c>
      <c r="AG118" s="68">
        <f t="shared" ref="AG118" si="197">AF76</f>
        <v>1</v>
      </c>
      <c r="AH118" s="68">
        <f t="shared" ref="AH118" si="198">AG76</f>
        <v>0</v>
      </c>
      <c r="AI118" s="68">
        <f t="shared" ref="AI118" si="199">AH76</f>
        <v>0</v>
      </c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</row>
    <row r="119" spans="1:57" x14ac:dyDescent="0.25">
      <c r="A119" s="21"/>
      <c r="B119" s="64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</row>
    <row r="120" spans="1:57" x14ac:dyDescent="0.25">
      <c r="A120" s="114" t="s">
        <v>591</v>
      </c>
      <c r="B120" s="114"/>
      <c r="C120" s="114"/>
      <c r="D120" s="70">
        <v>1</v>
      </c>
      <c r="E120" s="70">
        <v>2</v>
      </c>
      <c r="F120" s="70">
        <v>3</v>
      </c>
      <c r="G120" s="70">
        <v>4</v>
      </c>
      <c r="H120" s="70">
        <v>5</v>
      </c>
      <c r="I120" s="70">
        <v>6</v>
      </c>
      <c r="J120" s="70">
        <v>7</v>
      </c>
      <c r="K120" s="70">
        <v>8</v>
      </c>
      <c r="L120" s="70">
        <v>9</v>
      </c>
      <c r="M120" s="70">
        <v>10</v>
      </c>
      <c r="N120" s="70">
        <v>11</v>
      </c>
      <c r="O120" s="70">
        <v>12</v>
      </c>
      <c r="P120" s="70">
        <v>13</v>
      </c>
      <c r="Q120" s="70">
        <v>14</v>
      </c>
      <c r="R120" s="70">
        <v>15</v>
      </c>
      <c r="S120" s="70">
        <v>16</v>
      </c>
      <c r="T120" s="70">
        <v>17</v>
      </c>
      <c r="U120" s="70">
        <v>18</v>
      </c>
      <c r="V120" s="70">
        <v>19</v>
      </c>
      <c r="W120" s="70">
        <v>20</v>
      </c>
      <c r="X120" s="70">
        <v>21</v>
      </c>
      <c r="Y120" s="70">
        <v>22</v>
      </c>
      <c r="Z120" s="70">
        <v>23</v>
      </c>
      <c r="AA120" s="70">
        <v>24</v>
      </c>
      <c r="AB120" s="70">
        <v>25</v>
      </c>
      <c r="AC120" s="70">
        <v>26</v>
      </c>
      <c r="AD120" s="70">
        <v>27</v>
      </c>
      <c r="AE120" s="70">
        <v>28</v>
      </c>
      <c r="AF120" s="70">
        <v>29</v>
      </c>
      <c r="AG120" s="70">
        <v>30</v>
      </c>
      <c r="AH120" s="70">
        <v>31</v>
      </c>
      <c r="AI120" s="70">
        <v>32</v>
      </c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</row>
    <row r="121" spans="1:57" x14ac:dyDescent="0.25">
      <c r="A121" s="64" t="s">
        <v>551</v>
      </c>
      <c r="B121" s="64"/>
      <c r="C121" s="62"/>
      <c r="D121" s="70">
        <f>--_xlfn.XOR(C112,D69)</f>
        <v>1</v>
      </c>
      <c r="E121" s="70">
        <f t="shared" ref="E121:AI121" si="200">--_xlfn.XOR(D112,E69)</f>
        <v>1</v>
      </c>
      <c r="F121" s="70">
        <f t="shared" si="200"/>
        <v>0</v>
      </c>
      <c r="G121" s="70">
        <f t="shared" si="200"/>
        <v>0</v>
      </c>
      <c r="H121" s="70">
        <f t="shared" si="200"/>
        <v>1</v>
      </c>
      <c r="I121" s="70">
        <f t="shared" si="200"/>
        <v>1</v>
      </c>
      <c r="J121" s="70">
        <f t="shared" si="200"/>
        <v>1</v>
      </c>
      <c r="K121" s="70">
        <f t="shared" si="200"/>
        <v>0</v>
      </c>
      <c r="L121" s="70">
        <f t="shared" si="200"/>
        <v>0</v>
      </c>
      <c r="M121" s="70">
        <f t="shared" si="200"/>
        <v>0</v>
      </c>
      <c r="N121" s="70">
        <f t="shared" si="200"/>
        <v>0</v>
      </c>
      <c r="O121" s="70">
        <f t="shared" si="200"/>
        <v>1</v>
      </c>
      <c r="P121" s="70">
        <f t="shared" si="200"/>
        <v>1</v>
      </c>
      <c r="Q121" s="70">
        <f t="shared" si="200"/>
        <v>0</v>
      </c>
      <c r="R121" s="70">
        <f t="shared" si="200"/>
        <v>0</v>
      </c>
      <c r="S121" s="70">
        <f t="shared" si="200"/>
        <v>0</v>
      </c>
      <c r="T121" s="70">
        <f t="shared" si="200"/>
        <v>0</v>
      </c>
      <c r="U121" s="70">
        <f t="shared" si="200"/>
        <v>1</v>
      </c>
      <c r="V121" s="70">
        <f t="shared" si="200"/>
        <v>1</v>
      </c>
      <c r="W121" s="70">
        <f t="shared" si="200"/>
        <v>0</v>
      </c>
      <c r="X121" s="70">
        <f t="shared" si="200"/>
        <v>0</v>
      </c>
      <c r="Y121" s="70">
        <f t="shared" si="200"/>
        <v>0</v>
      </c>
      <c r="Z121" s="70">
        <f t="shared" si="200"/>
        <v>0</v>
      </c>
      <c r="AA121" s="70">
        <f t="shared" si="200"/>
        <v>0</v>
      </c>
      <c r="AB121" s="70">
        <f t="shared" si="200"/>
        <v>1</v>
      </c>
      <c r="AC121" s="70">
        <f t="shared" si="200"/>
        <v>0</v>
      </c>
      <c r="AD121" s="70">
        <f t="shared" si="200"/>
        <v>1</v>
      </c>
      <c r="AE121" s="70">
        <f t="shared" si="200"/>
        <v>0</v>
      </c>
      <c r="AF121" s="70">
        <f t="shared" si="200"/>
        <v>0</v>
      </c>
      <c r="AG121" s="70">
        <f t="shared" si="200"/>
        <v>1</v>
      </c>
      <c r="AH121" s="70">
        <f t="shared" si="200"/>
        <v>0</v>
      </c>
      <c r="AI121" s="70">
        <f t="shared" si="200"/>
        <v>0</v>
      </c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</row>
    <row r="122" spans="1:57" x14ac:dyDescent="0.25">
      <c r="A122" s="132" t="s">
        <v>632</v>
      </c>
      <c r="B122" s="64"/>
      <c r="C122" s="62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</row>
    <row r="123" spans="1:57" x14ac:dyDescent="0.25">
      <c r="A123" s="132"/>
      <c r="B123" s="133"/>
      <c r="C123" s="134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132"/>
      <c r="BE123" s="132"/>
    </row>
    <row r="124" spans="1:57" x14ac:dyDescent="0.25">
      <c r="A124" s="21"/>
      <c r="B124" s="21"/>
      <c r="C124" s="70">
        <v>1</v>
      </c>
      <c r="D124" s="70">
        <v>2</v>
      </c>
      <c r="E124" s="70">
        <v>3</v>
      </c>
      <c r="F124" s="70">
        <v>4</v>
      </c>
      <c r="G124" s="70">
        <v>5</v>
      </c>
      <c r="H124" s="70">
        <v>6</v>
      </c>
      <c r="I124" s="70">
        <v>7</v>
      </c>
      <c r="J124" s="70">
        <v>8</v>
      </c>
      <c r="K124" s="70">
        <v>9</v>
      </c>
      <c r="L124" s="70">
        <v>10</v>
      </c>
      <c r="M124" s="70">
        <v>11</v>
      </c>
      <c r="N124" s="70">
        <v>12</v>
      </c>
      <c r="O124" s="70">
        <v>13</v>
      </c>
      <c r="P124" s="70">
        <v>14</v>
      </c>
      <c r="Q124" s="70">
        <v>15</v>
      </c>
      <c r="R124" s="70">
        <v>16</v>
      </c>
      <c r="S124" s="70">
        <v>17</v>
      </c>
      <c r="T124" s="70">
        <v>18</v>
      </c>
      <c r="U124" s="70">
        <v>19</v>
      </c>
      <c r="V124" s="70">
        <v>20</v>
      </c>
      <c r="W124" s="70">
        <v>21</v>
      </c>
      <c r="X124" s="70">
        <v>22</v>
      </c>
      <c r="Y124" s="70">
        <v>23</v>
      </c>
      <c r="Z124" s="70">
        <v>24</v>
      </c>
      <c r="AA124" s="70">
        <v>25</v>
      </c>
      <c r="AB124" s="70">
        <v>26</v>
      </c>
      <c r="AC124" s="70">
        <v>27</v>
      </c>
      <c r="AD124" s="70">
        <v>28</v>
      </c>
      <c r="AE124" s="70">
        <v>29</v>
      </c>
      <c r="AF124" s="70">
        <v>30</v>
      </c>
      <c r="AG124" s="70">
        <v>31</v>
      </c>
      <c r="AH124" s="70">
        <v>32</v>
      </c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</row>
    <row r="125" spans="1:57" x14ac:dyDescent="0.25">
      <c r="A125" s="114" t="s">
        <v>591</v>
      </c>
      <c r="B125" s="114"/>
      <c r="C125" s="70">
        <f>D121</f>
        <v>1</v>
      </c>
      <c r="D125" s="70">
        <f t="shared" ref="D125" si="201">E121</f>
        <v>1</v>
      </c>
      <c r="E125" s="70">
        <f t="shared" ref="E125" si="202">F121</f>
        <v>0</v>
      </c>
      <c r="F125" s="70">
        <f t="shared" ref="F125" si="203">G121</f>
        <v>0</v>
      </c>
      <c r="G125" s="70">
        <f t="shared" ref="G125" si="204">H121</f>
        <v>1</v>
      </c>
      <c r="H125" s="70">
        <f t="shared" ref="H125" si="205">I121</f>
        <v>1</v>
      </c>
      <c r="I125" s="70">
        <f t="shared" ref="I125" si="206">J121</f>
        <v>1</v>
      </c>
      <c r="J125" s="70">
        <f t="shared" ref="J125" si="207">K121</f>
        <v>0</v>
      </c>
      <c r="K125" s="70">
        <f t="shared" ref="K125" si="208">L121</f>
        <v>0</v>
      </c>
      <c r="L125" s="70">
        <f t="shared" ref="L125" si="209">M121</f>
        <v>0</v>
      </c>
      <c r="M125" s="70">
        <f t="shared" ref="M125" si="210">N121</f>
        <v>0</v>
      </c>
      <c r="N125" s="70">
        <f t="shared" ref="N125" si="211">O121</f>
        <v>1</v>
      </c>
      <c r="O125" s="70">
        <f t="shared" ref="O125" si="212">P121</f>
        <v>1</v>
      </c>
      <c r="P125" s="70">
        <f t="shared" ref="P125" si="213">Q121</f>
        <v>0</v>
      </c>
      <c r="Q125" s="70">
        <f t="shared" ref="Q125" si="214">R121</f>
        <v>0</v>
      </c>
      <c r="R125" s="70">
        <f t="shared" ref="R125" si="215">S121</f>
        <v>0</v>
      </c>
      <c r="S125" s="70">
        <f t="shared" ref="S125" si="216">T121</f>
        <v>0</v>
      </c>
      <c r="T125" s="70">
        <f t="shared" ref="T125" si="217">U121</f>
        <v>1</v>
      </c>
      <c r="U125" s="70">
        <f t="shared" ref="U125" si="218">V121</f>
        <v>1</v>
      </c>
      <c r="V125" s="70">
        <f t="shared" ref="V125" si="219">W121</f>
        <v>0</v>
      </c>
      <c r="W125" s="70">
        <f t="shared" ref="W125" si="220">X121</f>
        <v>0</v>
      </c>
      <c r="X125" s="70">
        <f t="shared" ref="X125" si="221">Y121</f>
        <v>0</v>
      </c>
      <c r="Y125" s="70">
        <f t="shared" ref="Y125" si="222">Z121</f>
        <v>0</v>
      </c>
      <c r="Z125" s="70">
        <f t="shared" ref="Z125" si="223">AA121</f>
        <v>0</v>
      </c>
      <c r="AA125" s="70">
        <f t="shared" ref="AA125" si="224">AB121</f>
        <v>1</v>
      </c>
      <c r="AB125" s="70">
        <f t="shared" ref="AB125" si="225">AC121</f>
        <v>0</v>
      </c>
      <c r="AC125" s="70">
        <f t="shared" ref="AC125" si="226">AD121</f>
        <v>1</v>
      </c>
      <c r="AD125" s="70">
        <f t="shared" ref="AD125" si="227">AE121</f>
        <v>0</v>
      </c>
      <c r="AE125" s="70">
        <f t="shared" ref="AE125" si="228">AF121</f>
        <v>0</v>
      </c>
      <c r="AF125" s="70">
        <f t="shared" ref="AF125" si="229">AG121</f>
        <v>1</v>
      </c>
      <c r="AG125" s="70">
        <f t="shared" ref="AG125" si="230">AH121</f>
        <v>0</v>
      </c>
      <c r="AH125" s="70">
        <f t="shared" ref="AH125" si="231">AI121</f>
        <v>0</v>
      </c>
      <c r="AI125" s="135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</row>
    <row r="126" spans="1:57" x14ac:dyDescent="0.25">
      <c r="A126" s="21"/>
      <c r="B126" s="64"/>
      <c r="C126" s="62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</row>
    <row r="127" spans="1:57" x14ac:dyDescent="0.25">
      <c r="A127" s="132"/>
      <c r="B127" s="133"/>
      <c r="C127" s="134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21"/>
      <c r="BA127" s="21"/>
      <c r="BB127" s="21"/>
      <c r="BC127" s="21"/>
      <c r="BD127" s="21"/>
      <c r="BE127" s="21"/>
    </row>
    <row r="128" spans="1:57" x14ac:dyDescent="0.25">
      <c r="A128" s="21"/>
      <c r="B128" s="64"/>
      <c r="C128" s="62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</row>
    <row r="129" spans="1:57" x14ac:dyDescent="0.25">
      <c r="A129" s="118" t="s">
        <v>532</v>
      </c>
      <c r="B129" s="118"/>
      <c r="C129" s="75">
        <v>32</v>
      </c>
      <c r="D129" s="74">
        <v>1</v>
      </c>
      <c r="E129" s="74">
        <v>2</v>
      </c>
      <c r="F129" s="74">
        <v>3</v>
      </c>
      <c r="G129" s="74">
        <v>4</v>
      </c>
      <c r="H129" s="73">
        <v>5</v>
      </c>
      <c r="I129" s="122"/>
      <c r="J129" s="118">
        <f>AH125</f>
        <v>0</v>
      </c>
      <c r="K129" s="118">
        <f>C125</f>
        <v>1</v>
      </c>
      <c r="L129" s="118">
        <f>D125</f>
        <v>1</v>
      </c>
      <c r="M129" s="118">
        <f>E125</f>
        <v>0</v>
      </c>
      <c r="N129" s="69">
        <f>F125</f>
        <v>0</v>
      </c>
      <c r="O129" s="119">
        <f>G125</f>
        <v>1</v>
      </c>
      <c r="P129" s="122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</row>
    <row r="130" spans="1:57" x14ac:dyDescent="0.25">
      <c r="A130" s="21"/>
      <c r="B130" s="64"/>
      <c r="C130" s="75">
        <v>4</v>
      </c>
      <c r="D130" s="74">
        <v>5</v>
      </c>
      <c r="E130" s="74">
        <v>6</v>
      </c>
      <c r="F130" s="74">
        <v>7</v>
      </c>
      <c r="G130" s="74">
        <v>8</v>
      </c>
      <c r="H130" s="73">
        <v>9</v>
      </c>
      <c r="I130" s="122"/>
      <c r="J130" s="118">
        <f t="shared" ref="J130" si="232">F125</f>
        <v>0</v>
      </c>
      <c r="K130" s="69">
        <f t="shared" ref="K130" si="233">G125</f>
        <v>1</v>
      </c>
      <c r="L130" s="69">
        <f t="shared" ref="L130" si="234">H125</f>
        <v>1</v>
      </c>
      <c r="M130" s="69">
        <f t="shared" ref="M130" si="235">I125</f>
        <v>1</v>
      </c>
      <c r="N130" s="69">
        <f t="shared" ref="N130" si="236">J125</f>
        <v>0</v>
      </c>
      <c r="O130" s="119">
        <f t="shared" ref="O130" si="237">K125</f>
        <v>0</v>
      </c>
      <c r="P130" s="122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</row>
    <row r="131" spans="1:57" x14ac:dyDescent="0.25">
      <c r="A131" s="21"/>
      <c r="B131" s="64"/>
      <c r="C131" s="75">
        <v>8</v>
      </c>
      <c r="D131" s="74">
        <v>9</v>
      </c>
      <c r="E131" s="74">
        <v>10</v>
      </c>
      <c r="F131" s="74">
        <v>11</v>
      </c>
      <c r="G131" s="74">
        <v>12</v>
      </c>
      <c r="H131" s="73">
        <v>13</v>
      </c>
      <c r="I131" s="123"/>
      <c r="J131" s="120">
        <f t="shared" ref="J131:O131" si="238">J125</f>
        <v>0</v>
      </c>
      <c r="K131" s="69">
        <f t="shared" si="238"/>
        <v>0</v>
      </c>
      <c r="L131" s="69">
        <f t="shared" si="238"/>
        <v>0</v>
      </c>
      <c r="M131" s="69">
        <f t="shared" si="238"/>
        <v>0</v>
      </c>
      <c r="N131" s="69">
        <f t="shared" si="238"/>
        <v>1</v>
      </c>
      <c r="O131" s="119">
        <f t="shared" si="238"/>
        <v>1</v>
      </c>
      <c r="P131" s="123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</row>
    <row r="132" spans="1:57" x14ac:dyDescent="0.25">
      <c r="A132" s="21"/>
      <c r="B132" s="64"/>
      <c r="C132" s="75">
        <v>12</v>
      </c>
      <c r="D132" s="74">
        <v>13</v>
      </c>
      <c r="E132" s="74">
        <v>14</v>
      </c>
      <c r="F132" s="74">
        <v>15</v>
      </c>
      <c r="G132" s="74">
        <v>16</v>
      </c>
      <c r="H132" s="73">
        <v>17</v>
      </c>
      <c r="I132" s="122"/>
      <c r="J132" s="118">
        <f t="shared" ref="J132" si="239">N125</f>
        <v>1</v>
      </c>
      <c r="K132" s="69">
        <f t="shared" ref="K132" si="240">O125</f>
        <v>1</v>
      </c>
      <c r="L132" s="69">
        <f t="shared" ref="L132" si="241">P125</f>
        <v>0</v>
      </c>
      <c r="M132" s="69">
        <f t="shared" ref="M132" si="242">Q125</f>
        <v>0</v>
      </c>
      <c r="N132" s="69">
        <f t="shared" ref="N132" si="243">R125</f>
        <v>0</v>
      </c>
      <c r="O132" s="119">
        <f t="shared" ref="O132" si="244">S125</f>
        <v>0</v>
      </c>
      <c r="P132" s="122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</row>
    <row r="133" spans="1:57" x14ac:dyDescent="0.25">
      <c r="A133" s="21"/>
      <c r="B133" s="64"/>
      <c r="C133" s="75">
        <v>16</v>
      </c>
      <c r="D133" s="74">
        <v>17</v>
      </c>
      <c r="E133" s="74">
        <v>18</v>
      </c>
      <c r="F133" s="74">
        <v>19</v>
      </c>
      <c r="G133" s="74">
        <v>20</v>
      </c>
      <c r="H133" s="73">
        <v>21</v>
      </c>
      <c r="I133" s="122"/>
      <c r="J133" s="118">
        <f t="shared" ref="J133" si="245">R125</f>
        <v>0</v>
      </c>
      <c r="K133" s="69">
        <f t="shared" ref="K133" si="246">S125</f>
        <v>0</v>
      </c>
      <c r="L133" s="69">
        <f t="shared" ref="L133" si="247">T125</f>
        <v>1</v>
      </c>
      <c r="M133" s="69">
        <f t="shared" ref="M133" si="248">U125</f>
        <v>1</v>
      </c>
      <c r="N133" s="69">
        <f t="shared" ref="N133" si="249">V125</f>
        <v>0</v>
      </c>
      <c r="O133" s="119">
        <f t="shared" ref="O133" si="250">W125</f>
        <v>0</v>
      </c>
      <c r="P133" s="122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</row>
    <row r="134" spans="1:57" x14ac:dyDescent="0.25">
      <c r="A134" s="21"/>
      <c r="B134" s="64"/>
      <c r="C134" s="75">
        <v>20</v>
      </c>
      <c r="D134" s="74">
        <v>21</v>
      </c>
      <c r="E134" s="74">
        <v>22</v>
      </c>
      <c r="F134" s="74">
        <v>23</v>
      </c>
      <c r="G134" s="74">
        <v>24</v>
      </c>
      <c r="H134" s="73">
        <v>25</v>
      </c>
      <c r="I134" s="122"/>
      <c r="J134" s="118">
        <f t="shared" ref="J134" si="251">V125</f>
        <v>0</v>
      </c>
      <c r="K134" s="69">
        <f t="shared" ref="K134" si="252">W125</f>
        <v>0</v>
      </c>
      <c r="L134" s="69">
        <f t="shared" ref="L134" si="253">X125</f>
        <v>0</v>
      </c>
      <c r="M134" s="69">
        <f t="shared" ref="M134" si="254">Y125</f>
        <v>0</v>
      </c>
      <c r="N134" s="69">
        <f t="shared" ref="N134" si="255">Z125</f>
        <v>0</v>
      </c>
      <c r="O134" s="119">
        <f t="shared" ref="O134" si="256">AA125</f>
        <v>1</v>
      </c>
      <c r="P134" s="122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</row>
    <row r="135" spans="1:57" x14ac:dyDescent="0.25">
      <c r="A135" s="21"/>
      <c r="B135" s="64"/>
      <c r="C135" s="75">
        <v>24</v>
      </c>
      <c r="D135" s="74">
        <v>25</v>
      </c>
      <c r="E135" s="74">
        <v>26</v>
      </c>
      <c r="F135" s="74">
        <v>27</v>
      </c>
      <c r="G135" s="74">
        <v>28</v>
      </c>
      <c r="H135" s="73">
        <v>29</v>
      </c>
      <c r="I135" s="122"/>
      <c r="J135" s="118">
        <f t="shared" ref="J135" si="257">Z125</f>
        <v>0</v>
      </c>
      <c r="K135" s="69">
        <f t="shared" ref="K135" si="258">AA125</f>
        <v>1</v>
      </c>
      <c r="L135" s="69">
        <f t="shared" ref="L135" si="259">AB125</f>
        <v>0</v>
      </c>
      <c r="M135" s="69">
        <f t="shared" ref="M135" si="260">AC125</f>
        <v>1</v>
      </c>
      <c r="N135" s="69">
        <f t="shared" ref="N135" si="261">AD125</f>
        <v>0</v>
      </c>
      <c r="O135" s="119">
        <f t="shared" ref="O135" si="262">AE125</f>
        <v>0</v>
      </c>
      <c r="P135" s="122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</row>
    <row r="136" spans="1:57" x14ac:dyDescent="0.25">
      <c r="A136" s="21"/>
      <c r="B136" s="64"/>
      <c r="C136" s="75">
        <v>28</v>
      </c>
      <c r="D136" s="74">
        <v>29</v>
      </c>
      <c r="E136" s="74">
        <v>30</v>
      </c>
      <c r="F136" s="74">
        <v>31</v>
      </c>
      <c r="G136" s="74">
        <v>32</v>
      </c>
      <c r="H136" s="73">
        <v>1</v>
      </c>
      <c r="I136" s="122"/>
      <c r="J136" s="70">
        <f>AD125</f>
        <v>0</v>
      </c>
      <c r="K136" s="71">
        <f>AE125</f>
        <v>0</v>
      </c>
      <c r="L136" s="71">
        <f>AF125</f>
        <v>1</v>
      </c>
      <c r="M136" s="71">
        <f>AG125</f>
        <v>0</v>
      </c>
      <c r="N136" s="71">
        <f>AH125</f>
        <v>0</v>
      </c>
      <c r="O136" s="121">
        <f>C125</f>
        <v>1</v>
      </c>
      <c r="P136" s="122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</row>
    <row r="137" spans="1:57" x14ac:dyDescent="0.25">
      <c r="A137" s="21"/>
      <c r="B137" s="64"/>
      <c r="C137" s="62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</row>
    <row r="138" spans="1:57" x14ac:dyDescent="0.25">
      <c r="A138" s="21"/>
      <c r="B138" s="64"/>
      <c r="C138" s="62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</row>
    <row r="139" spans="1:57" x14ac:dyDescent="0.25">
      <c r="A139" s="124" t="s">
        <v>533</v>
      </c>
      <c r="B139" s="124"/>
      <c r="C139" s="125">
        <v>1</v>
      </c>
      <c r="D139" s="126">
        <v>2</v>
      </c>
      <c r="E139" s="125">
        <v>3</v>
      </c>
      <c r="F139" s="126">
        <v>4</v>
      </c>
      <c r="G139" s="125">
        <v>5</v>
      </c>
      <c r="H139" s="126">
        <v>6</v>
      </c>
      <c r="I139" s="125">
        <v>7</v>
      </c>
      <c r="J139" s="126">
        <v>8</v>
      </c>
      <c r="K139" s="125">
        <v>9</v>
      </c>
      <c r="L139" s="126">
        <v>10</v>
      </c>
      <c r="M139" s="125">
        <v>11</v>
      </c>
      <c r="N139" s="126">
        <v>12</v>
      </c>
      <c r="O139" s="125">
        <v>13</v>
      </c>
      <c r="P139" s="126">
        <v>14</v>
      </c>
      <c r="Q139" s="125">
        <v>15</v>
      </c>
      <c r="R139" s="126">
        <v>16</v>
      </c>
      <c r="S139" s="125">
        <v>17</v>
      </c>
      <c r="T139" s="126">
        <v>18</v>
      </c>
      <c r="U139" s="125">
        <v>19</v>
      </c>
      <c r="V139" s="126">
        <v>20</v>
      </c>
      <c r="W139" s="125">
        <v>21</v>
      </c>
      <c r="X139" s="126">
        <v>22</v>
      </c>
      <c r="Y139" s="125">
        <v>23</v>
      </c>
      <c r="Z139" s="126">
        <v>24</v>
      </c>
      <c r="AA139" s="125">
        <v>25</v>
      </c>
      <c r="AB139" s="126">
        <v>26</v>
      </c>
      <c r="AC139" s="125">
        <v>27</v>
      </c>
      <c r="AD139" s="126">
        <v>28</v>
      </c>
      <c r="AE139" s="125">
        <v>29</v>
      </c>
      <c r="AF139" s="126">
        <v>30</v>
      </c>
      <c r="AG139" s="125">
        <v>31</v>
      </c>
      <c r="AH139" s="126">
        <v>32</v>
      </c>
      <c r="AI139" s="125">
        <v>33</v>
      </c>
      <c r="AJ139" s="126">
        <v>34</v>
      </c>
      <c r="AK139" s="125">
        <v>35</v>
      </c>
      <c r="AL139" s="126">
        <v>36</v>
      </c>
      <c r="AM139" s="125">
        <v>37</v>
      </c>
      <c r="AN139" s="126">
        <v>38</v>
      </c>
      <c r="AO139" s="125">
        <v>39</v>
      </c>
      <c r="AP139" s="126">
        <v>40</v>
      </c>
      <c r="AQ139" s="125">
        <v>41</v>
      </c>
      <c r="AR139" s="126">
        <v>42</v>
      </c>
      <c r="AS139" s="125">
        <v>43</v>
      </c>
      <c r="AT139" s="126">
        <v>44</v>
      </c>
      <c r="AU139" s="125">
        <v>45</v>
      </c>
      <c r="AV139" s="126">
        <v>46</v>
      </c>
      <c r="AW139" s="125">
        <v>47</v>
      </c>
      <c r="AX139" s="126">
        <v>48</v>
      </c>
      <c r="AY139" s="21"/>
      <c r="AZ139" s="21"/>
      <c r="BA139" s="21"/>
      <c r="BB139" s="21"/>
      <c r="BC139" s="21"/>
      <c r="BD139" s="21"/>
      <c r="BE139" s="21"/>
    </row>
    <row r="140" spans="1:57" x14ac:dyDescent="0.25">
      <c r="A140" s="21"/>
      <c r="B140" s="64"/>
      <c r="C140" s="125">
        <f t="shared" ref="C140" si="263">J129</f>
        <v>0</v>
      </c>
      <c r="D140" s="125">
        <f t="shared" ref="D140" si="264">K129</f>
        <v>1</v>
      </c>
      <c r="E140" s="125">
        <f t="shared" ref="E140" si="265">L129</f>
        <v>1</v>
      </c>
      <c r="F140" s="125">
        <f t="shared" ref="F140" si="266">M129</f>
        <v>0</v>
      </c>
      <c r="G140" s="126">
        <f t="shared" ref="G140" si="267">N129</f>
        <v>0</v>
      </c>
      <c r="H140" s="126">
        <f t="shared" ref="H140" si="268">O129</f>
        <v>1</v>
      </c>
      <c r="I140" s="125">
        <f t="shared" ref="I140" si="269">J130</f>
        <v>0</v>
      </c>
      <c r="J140" s="125">
        <f t="shared" ref="J140" si="270">K130</f>
        <v>1</v>
      </c>
      <c r="K140" s="125">
        <f t="shared" ref="K140" si="271">L130</f>
        <v>1</v>
      </c>
      <c r="L140" s="125">
        <f t="shared" ref="L140" si="272">M130</f>
        <v>1</v>
      </c>
      <c r="M140" s="125">
        <f t="shared" ref="M140" si="273">N130</f>
        <v>0</v>
      </c>
      <c r="N140" s="125">
        <f t="shared" ref="N140" si="274">O130</f>
        <v>0</v>
      </c>
      <c r="O140" s="126">
        <f t="shared" ref="O140" si="275">J131</f>
        <v>0</v>
      </c>
      <c r="P140" s="126">
        <f t="shared" ref="P140" si="276">K131</f>
        <v>0</v>
      </c>
      <c r="Q140" s="126">
        <f t="shared" ref="Q140" si="277">L131</f>
        <v>0</v>
      </c>
      <c r="R140" s="126">
        <f t="shared" ref="R140" si="278">M131</f>
        <v>0</v>
      </c>
      <c r="S140" s="126">
        <f t="shared" ref="S140" si="279">N131</f>
        <v>1</v>
      </c>
      <c r="T140" s="126">
        <f t="shared" ref="T140" si="280">O131</f>
        <v>1</v>
      </c>
      <c r="U140" s="125">
        <f t="shared" ref="U140" si="281">J132</f>
        <v>1</v>
      </c>
      <c r="V140" s="126">
        <f t="shared" ref="V140" si="282">K132</f>
        <v>1</v>
      </c>
      <c r="W140" s="125">
        <f t="shared" ref="W140" si="283">L132</f>
        <v>0</v>
      </c>
      <c r="X140" s="126">
        <f t="shared" ref="X140" si="284">M132</f>
        <v>0</v>
      </c>
      <c r="Y140" s="125">
        <f t="shared" ref="Y140" si="285">N132</f>
        <v>0</v>
      </c>
      <c r="Z140" s="126">
        <f t="shared" ref="Z140" si="286">O132</f>
        <v>0</v>
      </c>
      <c r="AA140" s="125">
        <f t="shared" ref="AA140" si="287">J133</f>
        <v>0</v>
      </c>
      <c r="AB140" s="126">
        <f t="shared" ref="AB140" si="288">K133</f>
        <v>0</v>
      </c>
      <c r="AC140" s="125">
        <f t="shared" ref="AC140" si="289">L133</f>
        <v>1</v>
      </c>
      <c r="AD140" s="126">
        <f t="shared" ref="AD140" si="290">M133</f>
        <v>1</v>
      </c>
      <c r="AE140" s="125">
        <f t="shared" ref="AE140" si="291">N133</f>
        <v>0</v>
      </c>
      <c r="AF140" s="126">
        <f t="shared" ref="AF140" si="292">O133</f>
        <v>0</v>
      </c>
      <c r="AG140" s="125">
        <f t="shared" ref="AG140" si="293">J134</f>
        <v>0</v>
      </c>
      <c r="AH140" s="126">
        <f t="shared" ref="AH140" si="294">K134</f>
        <v>0</v>
      </c>
      <c r="AI140" s="125">
        <f t="shared" ref="AI140" si="295">L134</f>
        <v>0</v>
      </c>
      <c r="AJ140" s="126">
        <f t="shared" ref="AJ140" si="296">M134</f>
        <v>0</v>
      </c>
      <c r="AK140" s="125">
        <f t="shared" ref="AK140" si="297">N134</f>
        <v>0</v>
      </c>
      <c r="AL140" s="126">
        <f t="shared" ref="AL140" si="298">O134</f>
        <v>1</v>
      </c>
      <c r="AM140" s="125">
        <f t="shared" ref="AM140" si="299">J135</f>
        <v>0</v>
      </c>
      <c r="AN140" s="126">
        <f t="shared" ref="AN140" si="300">K135</f>
        <v>1</v>
      </c>
      <c r="AO140" s="125">
        <f t="shared" ref="AO140" si="301">L135</f>
        <v>0</v>
      </c>
      <c r="AP140" s="126">
        <f t="shared" ref="AP140" si="302">M135</f>
        <v>1</v>
      </c>
      <c r="AQ140" s="125">
        <f t="shared" ref="AQ140" si="303">N135</f>
        <v>0</v>
      </c>
      <c r="AR140" s="126">
        <f t="shared" ref="AR140" si="304">O135</f>
        <v>0</v>
      </c>
      <c r="AS140" s="125">
        <f t="shared" ref="AS140" si="305">J136</f>
        <v>0</v>
      </c>
      <c r="AT140" s="126">
        <f t="shared" ref="AT140" si="306">K136</f>
        <v>0</v>
      </c>
      <c r="AU140" s="125">
        <f t="shared" ref="AU140" si="307">L136</f>
        <v>1</v>
      </c>
      <c r="AV140" s="126">
        <f t="shared" ref="AV140" si="308">M136</f>
        <v>0</v>
      </c>
      <c r="AW140" s="125">
        <f t="shared" ref="AW140" si="309">N136</f>
        <v>0</v>
      </c>
      <c r="AX140" s="126">
        <f t="shared" ref="AX140" si="310">O136</f>
        <v>1</v>
      </c>
      <c r="AY140" s="21"/>
      <c r="AZ140" s="21"/>
      <c r="BA140" s="21"/>
      <c r="BB140" s="21"/>
      <c r="BC140" s="21"/>
      <c r="BD140" s="21"/>
      <c r="BE140" s="21"/>
    </row>
    <row r="141" spans="1:57" x14ac:dyDescent="0.25">
      <c r="A141" s="21"/>
      <c r="B141" s="64"/>
      <c r="C141" s="62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</row>
    <row r="142" spans="1:57" x14ac:dyDescent="0.25">
      <c r="A142" s="21"/>
      <c r="B142" s="64"/>
      <c r="C142" s="62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</row>
    <row r="143" spans="1:57" x14ac:dyDescent="0.25">
      <c r="A143" s="127" t="s">
        <v>620</v>
      </c>
      <c r="B143" s="127"/>
      <c r="C143" s="77">
        <f>'Key Generator'!D514</f>
        <v>1</v>
      </c>
      <c r="D143" s="77">
        <f>'Key Generator'!E514</f>
        <v>2</v>
      </c>
      <c r="E143" s="77">
        <f>'Key Generator'!F514</f>
        <v>3</v>
      </c>
      <c r="F143" s="77">
        <f>'Key Generator'!G514</f>
        <v>4</v>
      </c>
      <c r="G143" s="77">
        <f>'Key Generator'!H514</f>
        <v>5</v>
      </c>
      <c r="H143" s="77">
        <f>'Key Generator'!I514</f>
        <v>6</v>
      </c>
      <c r="I143" s="77">
        <f>'Key Generator'!J514</f>
        <v>7</v>
      </c>
      <c r="J143" s="77">
        <f>'Key Generator'!K514</f>
        <v>8</v>
      </c>
      <c r="K143" s="77">
        <f>'Key Generator'!L514</f>
        <v>9</v>
      </c>
      <c r="L143" s="77">
        <f>'Key Generator'!M514</f>
        <v>10</v>
      </c>
      <c r="M143" s="77">
        <f>'Key Generator'!N514</f>
        <v>11</v>
      </c>
      <c r="N143" s="77">
        <f>'Key Generator'!O514</f>
        <v>12</v>
      </c>
      <c r="O143" s="77">
        <f>'Key Generator'!P514</f>
        <v>13</v>
      </c>
      <c r="P143" s="77">
        <f>'Key Generator'!Q514</f>
        <v>14</v>
      </c>
      <c r="Q143" s="77">
        <f>'Key Generator'!R514</f>
        <v>15</v>
      </c>
      <c r="R143" s="77">
        <f>'Key Generator'!S514</f>
        <v>16</v>
      </c>
      <c r="S143" s="77">
        <f>'Key Generator'!T514</f>
        <v>17</v>
      </c>
      <c r="T143" s="77">
        <f>'Key Generator'!U514</f>
        <v>18</v>
      </c>
      <c r="U143" s="77">
        <f>'Key Generator'!V514</f>
        <v>19</v>
      </c>
      <c r="V143" s="77">
        <f>'Key Generator'!W514</f>
        <v>20</v>
      </c>
      <c r="W143" s="77">
        <f>'Key Generator'!X514</f>
        <v>21</v>
      </c>
      <c r="X143" s="77">
        <f>'Key Generator'!Y514</f>
        <v>22</v>
      </c>
      <c r="Y143" s="77">
        <f>'Key Generator'!Z514</f>
        <v>23</v>
      </c>
      <c r="Z143" s="77">
        <f>'Key Generator'!AA514</f>
        <v>24</v>
      </c>
      <c r="AA143" s="77">
        <f>'Key Generator'!AB514</f>
        <v>25</v>
      </c>
      <c r="AB143" s="77">
        <f>'Key Generator'!AC514</f>
        <v>26</v>
      </c>
      <c r="AC143" s="77">
        <f>'Key Generator'!AD514</f>
        <v>27</v>
      </c>
      <c r="AD143" s="77">
        <f>'Key Generator'!AE514</f>
        <v>28</v>
      </c>
      <c r="AE143" s="77">
        <f>'Key Generator'!AF514</f>
        <v>29</v>
      </c>
      <c r="AF143" s="77">
        <f>'Key Generator'!AG514</f>
        <v>30</v>
      </c>
      <c r="AG143" s="77">
        <f>'Key Generator'!AH514</f>
        <v>31</v>
      </c>
      <c r="AH143" s="77">
        <f>'Key Generator'!AI514</f>
        <v>32</v>
      </c>
      <c r="AI143" s="77">
        <f>'Key Generator'!AJ514</f>
        <v>33</v>
      </c>
      <c r="AJ143" s="77">
        <f>'Key Generator'!AK514</f>
        <v>34</v>
      </c>
      <c r="AK143" s="77">
        <f>'Key Generator'!AL514</f>
        <v>35</v>
      </c>
      <c r="AL143" s="77">
        <f>'Key Generator'!AM514</f>
        <v>36</v>
      </c>
      <c r="AM143" s="77">
        <f>'Key Generator'!AN514</f>
        <v>37</v>
      </c>
      <c r="AN143" s="77">
        <f>'Key Generator'!AO514</f>
        <v>38</v>
      </c>
      <c r="AO143" s="77">
        <f>'Key Generator'!AP514</f>
        <v>39</v>
      </c>
      <c r="AP143" s="77">
        <f>'Key Generator'!AQ514</f>
        <v>40</v>
      </c>
      <c r="AQ143" s="77">
        <f>'Key Generator'!AR514</f>
        <v>41</v>
      </c>
      <c r="AR143" s="77">
        <f>'Key Generator'!AS514</f>
        <v>42</v>
      </c>
      <c r="AS143" s="77">
        <f>'Key Generator'!AT514</f>
        <v>43</v>
      </c>
      <c r="AT143" s="77">
        <f>'Key Generator'!AU514</f>
        <v>44</v>
      </c>
      <c r="AU143" s="77">
        <f>'Key Generator'!AV514</f>
        <v>45</v>
      </c>
      <c r="AV143" s="77">
        <f>'Key Generator'!AW514</f>
        <v>46</v>
      </c>
      <c r="AW143" s="77">
        <f>'Key Generator'!AX514</f>
        <v>47</v>
      </c>
      <c r="AX143" s="77">
        <f>'Key Generator'!AY514</f>
        <v>48</v>
      </c>
      <c r="AY143" s="21"/>
      <c r="AZ143" s="21"/>
      <c r="BA143" s="21"/>
      <c r="BB143" s="21"/>
      <c r="BC143" s="21"/>
      <c r="BD143" s="21"/>
      <c r="BE143" s="21"/>
    </row>
    <row r="144" spans="1:57" x14ac:dyDescent="0.25">
      <c r="A144" s="21"/>
      <c r="B144" s="64"/>
      <c r="C144" s="77">
        <f>'Key Generator'!D515</f>
        <v>0</v>
      </c>
      <c r="D144" s="77">
        <f>'Key Generator'!E515</f>
        <v>1</v>
      </c>
      <c r="E144" s="77">
        <f>'Key Generator'!F515</f>
        <v>0</v>
      </c>
      <c r="F144" s="77">
        <f>'Key Generator'!G515</f>
        <v>1</v>
      </c>
      <c r="G144" s="77">
        <f>'Key Generator'!H515</f>
        <v>0</v>
      </c>
      <c r="H144" s="77">
        <f>'Key Generator'!I515</f>
        <v>0</v>
      </c>
      <c r="I144" s="77">
        <f>'Key Generator'!J515</f>
        <v>0</v>
      </c>
      <c r="J144" s="77">
        <f>'Key Generator'!K515</f>
        <v>0</v>
      </c>
      <c r="K144" s="77">
        <f>'Key Generator'!L515</f>
        <v>1</v>
      </c>
      <c r="L144" s="77">
        <f>'Key Generator'!M515</f>
        <v>0</v>
      </c>
      <c r="M144" s="77">
        <f>'Key Generator'!N515</f>
        <v>1</v>
      </c>
      <c r="N144" s="77">
        <f>'Key Generator'!O515</f>
        <v>0</v>
      </c>
      <c r="O144" s="77">
        <f>'Key Generator'!P515</f>
        <v>1</v>
      </c>
      <c r="P144" s="77">
        <f>'Key Generator'!Q515</f>
        <v>0</v>
      </c>
      <c r="Q144" s="77">
        <f>'Key Generator'!R515</f>
        <v>0</v>
      </c>
      <c r="R144" s="77">
        <f>'Key Generator'!S515</f>
        <v>0</v>
      </c>
      <c r="S144" s="77">
        <f>'Key Generator'!T515</f>
        <v>0</v>
      </c>
      <c r="T144" s="77">
        <f>'Key Generator'!U515</f>
        <v>0</v>
      </c>
      <c r="U144" s="77">
        <f>'Key Generator'!V515</f>
        <v>0</v>
      </c>
      <c r="V144" s="77">
        <f>'Key Generator'!W515</f>
        <v>1</v>
      </c>
      <c r="W144" s="77">
        <f>'Key Generator'!X515</f>
        <v>1</v>
      </c>
      <c r="X144" s="77">
        <f>'Key Generator'!Y515</f>
        <v>1</v>
      </c>
      <c r="Y144" s="77">
        <f>'Key Generator'!Z515</f>
        <v>0</v>
      </c>
      <c r="Z144" s="77">
        <f>'Key Generator'!AA515</f>
        <v>0</v>
      </c>
      <c r="AA144" s="77">
        <f>'Key Generator'!AB515</f>
        <v>1</v>
      </c>
      <c r="AB144" s="77">
        <f>'Key Generator'!AC515</f>
        <v>1</v>
      </c>
      <c r="AC144" s="77">
        <f>'Key Generator'!AD515</f>
        <v>1</v>
      </c>
      <c r="AD144" s="77">
        <f>'Key Generator'!AE515</f>
        <v>1</v>
      </c>
      <c r="AE144" s="77">
        <f>'Key Generator'!AF515</f>
        <v>1</v>
      </c>
      <c r="AF144" s="77">
        <f>'Key Generator'!AG515</f>
        <v>1</v>
      </c>
      <c r="AG144" s="77">
        <f>'Key Generator'!AH515</f>
        <v>1</v>
      </c>
      <c r="AH144" s="77">
        <f>'Key Generator'!AI515</f>
        <v>0</v>
      </c>
      <c r="AI144" s="77">
        <f>'Key Generator'!AJ515</f>
        <v>0</v>
      </c>
      <c r="AJ144" s="77">
        <f>'Key Generator'!AK515</f>
        <v>1</v>
      </c>
      <c r="AK144" s="77">
        <f>'Key Generator'!AL515</f>
        <v>1</v>
      </c>
      <c r="AL144" s="77">
        <f>'Key Generator'!AM515</f>
        <v>0</v>
      </c>
      <c r="AM144" s="77">
        <f>'Key Generator'!AN515</f>
        <v>1</v>
      </c>
      <c r="AN144" s="77">
        <f>'Key Generator'!AO515</f>
        <v>1</v>
      </c>
      <c r="AO144" s="77">
        <f>'Key Generator'!AP515</f>
        <v>1</v>
      </c>
      <c r="AP144" s="77">
        <f>'Key Generator'!AQ515</f>
        <v>0</v>
      </c>
      <c r="AQ144" s="77">
        <f>'Key Generator'!AR515</f>
        <v>0</v>
      </c>
      <c r="AR144" s="77">
        <f>'Key Generator'!AS515</f>
        <v>0</v>
      </c>
      <c r="AS144" s="77">
        <f>'Key Generator'!AT515</f>
        <v>0</v>
      </c>
      <c r="AT144" s="77">
        <f>'Key Generator'!AU515</f>
        <v>1</v>
      </c>
      <c r="AU144" s="77">
        <f>'Key Generator'!AV515</f>
        <v>0</v>
      </c>
      <c r="AV144" s="77">
        <f>'Key Generator'!AW515</f>
        <v>0</v>
      </c>
      <c r="AW144" s="77">
        <f>'Key Generator'!AX515</f>
        <v>0</v>
      </c>
      <c r="AX144" s="77">
        <f>'Key Generator'!AY515</f>
        <v>1</v>
      </c>
      <c r="AY144" s="21"/>
      <c r="AZ144" s="21"/>
      <c r="BA144" s="21"/>
      <c r="BB144" s="21"/>
      <c r="BC144" s="21"/>
      <c r="BD144" s="21"/>
      <c r="BE144" s="21"/>
    </row>
    <row r="145" spans="1:57" x14ac:dyDescent="0.25">
      <c r="A145" s="21"/>
      <c r="B145" s="64"/>
      <c r="C145" s="62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</row>
    <row r="146" spans="1:57" x14ac:dyDescent="0.25">
      <c r="A146" s="21"/>
      <c r="B146" s="64"/>
      <c r="C146" s="62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</row>
    <row r="147" spans="1:57" x14ac:dyDescent="0.25">
      <c r="A147" s="128" t="s">
        <v>535</v>
      </c>
      <c r="B147" s="129"/>
      <c r="C147" s="79">
        <v>1</v>
      </c>
      <c r="D147" s="80">
        <v>2</v>
      </c>
      <c r="E147" s="79">
        <v>3</v>
      </c>
      <c r="F147" s="80">
        <v>4</v>
      </c>
      <c r="G147" s="79">
        <v>5</v>
      </c>
      <c r="H147" s="80">
        <v>6</v>
      </c>
      <c r="I147" s="79">
        <v>7</v>
      </c>
      <c r="J147" s="80">
        <v>8</v>
      </c>
      <c r="K147" s="79">
        <v>9</v>
      </c>
      <c r="L147" s="80">
        <v>10</v>
      </c>
      <c r="M147" s="79">
        <v>11</v>
      </c>
      <c r="N147" s="80">
        <v>12</v>
      </c>
      <c r="O147" s="79">
        <v>13</v>
      </c>
      <c r="P147" s="80">
        <v>14</v>
      </c>
      <c r="Q147" s="79">
        <v>15</v>
      </c>
      <c r="R147" s="80">
        <v>16</v>
      </c>
      <c r="S147" s="79">
        <v>17</v>
      </c>
      <c r="T147" s="80">
        <v>18</v>
      </c>
      <c r="U147" s="79">
        <v>19</v>
      </c>
      <c r="V147" s="80">
        <v>20</v>
      </c>
      <c r="W147" s="79">
        <v>21</v>
      </c>
      <c r="X147" s="80">
        <v>22</v>
      </c>
      <c r="Y147" s="79">
        <v>23</v>
      </c>
      <c r="Z147" s="80">
        <v>24</v>
      </c>
      <c r="AA147" s="79">
        <v>25</v>
      </c>
      <c r="AB147" s="80">
        <v>26</v>
      </c>
      <c r="AC147" s="79">
        <v>27</v>
      </c>
      <c r="AD147" s="80">
        <v>28</v>
      </c>
      <c r="AE147" s="79">
        <v>29</v>
      </c>
      <c r="AF147" s="80">
        <v>30</v>
      </c>
      <c r="AG147" s="79">
        <v>31</v>
      </c>
      <c r="AH147" s="80">
        <v>32</v>
      </c>
      <c r="AI147" s="79">
        <v>33</v>
      </c>
      <c r="AJ147" s="80">
        <v>34</v>
      </c>
      <c r="AK147" s="79">
        <v>35</v>
      </c>
      <c r="AL147" s="80">
        <v>36</v>
      </c>
      <c r="AM147" s="79">
        <v>37</v>
      </c>
      <c r="AN147" s="80">
        <v>38</v>
      </c>
      <c r="AO147" s="79">
        <v>39</v>
      </c>
      <c r="AP147" s="80">
        <v>40</v>
      </c>
      <c r="AQ147" s="79">
        <v>41</v>
      </c>
      <c r="AR147" s="80">
        <v>42</v>
      </c>
      <c r="AS147" s="79">
        <v>43</v>
      </c>
      <c r="AT147" s="80">
        <v>44</v>
      </c>
      <c r="AU147" s="79">
        <v>45</v>
      </c>
      <c r="AV147" s="80">
        <v>46</v>
      </c>
      <c r="AW147" s="79">
        <v>47</v>
      </c>
      <c r="AX147" s="80">
        <v>48</v>
      </c>
      <c r="AY147" s="21"/>
      <c r="AZ147" s="21"/>
      <c r="BA147" s="21"/>
      <c r="BB147" s="21"/>
      <c r="BC147" s="21"/>
      <c r="BD147" s="21"/>
      <c r="BE147" s="21"/>
    </row>
    <row r="148" spans="1:57" x14ac:dyDescent="0.25">
      <c r="A148" s="21"/>
      <c r="B148" s="64"/>
      <c r="C148" s="88">
        <f>--_xlfn.XOR(C140,'Key Generator'!D515)</f>
        <v>0</v>
      </c>
      <c r="D148" s="88">
        <f>--_xlfn.XOR(D140,'Key Generator'!E515)</f>
        <v>0</v>
      </c>
      <c r="E148" s="88">
        <f>--_xlfn.XOR(E140,'Key Generator'!F515)</f>
        <v>1</v>
      </c>
      <c r="F148" s="88">
        <f>--_xlfn.XOR(F140,'Key Generator'!G515)</f>
        <v>1</v>
      </c>
      <c r="G148" s="88">
        <f>--_xlfn.XOR(G140,'Key Generator'!H515)</f>
        <v>0</v>
      </c>
      <c r="H148" s="88">
        <f>--_xlfn.XOR(H140,'Key Generator'!I515)</f>
        <v>1</v>
      </c>
      <c r="I148" s="87">
        <f>--_xlfn.XOR(I140,'Key Generator'!J515)</f>
        <v>0</v>
      </c>
      <c r="J148" s="87">
        <f>--_xlfn.XOR(J140,'Key Generator'!K515)</f>
        <v>1</v>
      </c>
      <c r="K148" s="87">
        <f>--_xlfn.XOR(K140,'Key Generator'!L515)</f>
        <v>0</v>
      </c>
      <c r="L148" s="87">
        <f>--_xlfn.XOR(L140,'Key Generator'!M515)</f>
        <v>1</v>
      </c>
      <c r="M148" s="87">
        <f>--_xlfn.XOR(M140,'Key Generator'!N515)</f>
        <v>1</v>
      </c>
      <c r="N148" s="87">
        <f>--_xlfn.XOR(N140,'Key Generator'!O515)</f>
        <v>0</v>
      </c>
      <c r="O148" s="89">
        <f>--_xlfn.XOR(O140,'Key Generator'!P515)</f>
        <v>1</v>
      </c>
      <c r="P148" s="89">
        <f>--_xlfn.XOR(P140,'Key Generator'!Q515)</f>
        <v>0</v>
      </c>
      <c r="Q148" s="89">
        <f>--_xlfn.XOR(Q140,'Key Generator'!R515)</f>
        <v>0</v>
      </c>
      <c r="R148" s="89">
        <f>--_xlfn.XOR(R140,'Key Generator'!S515)</f>
        <v>0</v>
      </c>
      <c r="S148" s="89">
        <f>--_xlfn.XOR(S140,'Key Generator'!T515)</f>
        <v>1</v>
      </c>
      <c r="T148" s="89">
        <f>--_xlfn.XOR(T140,'Key Generator'!U515)</f>
        <v>1</v>
      </c>
      <c r="U148" s="149">
        <f>--_xlfn.XOR(U140,'Key Generator'!V515)</f>
        <v>1</v>
      </c>
      <c r="V148" s="149">
        <f>--_xlfn.XOR(V140,'Key Generator'!W515)</f>
        <v>0</v>
      </c>
      <c r="W148" s="149">
        <f>--_xlfn.XOR(W140,'Key Generator'!X515)</f>
        <v>1</v>
      </c>
      <c r="X148" s="149">
        <f>--_xlfn.XOR(X140,'Key Generator'!Y515)</f>
        <v>1</v>
      </c>
      <c r="Y148" s="149">
        <f>--_xlfn.XOR(Y140,'Key Generator'!Z515)</f>
        <v>0</v>
      </c>
      <c r="Z148" s="149">
        <f>--_xlfn.XOR(Z140,'Key Generator'!AA515)</f>
        <v>0</v>
      </c>
      <c r="AA148" s="91">
        <f>--_xlfn.XOR(AA140,'Key Generator'!AB515)</f>
        <v>1</v>
      </c>
      <c r="AB148" s="91">
        <f>--_xlfn.XOR(AB140,'Key Generator'!AC515)</f>
        <v>1</v>
      </c>
      <c r="AC148" s="91">
        <f>--_xlfn.XOR(AC140,'Key Generator'!AD515)</f>
        <v>0</v>
      </c>
      <c r="AD148" s="91">
        <f>--_xlfn.XOR(AD140,'Key Generator'!AE515)</f>
        <v>0</v>
      </c>
      <c r="AE148" s="91">
        <f>--_xlfn.XOR(AE140,'Key Generator'!AF515)</f>
        <v>1</v>
      </c>
      <c r="AF148" s="91">
        <f>--_xlfn.XOR(AF140,'Key Generator'!AG515)</f>
        <v>1</v>
      </c>
      <c r="AG148" s="92">
        <f>--_xlfn.XOR(AG140,'Key Generator'!AH515)</f>
        <v>1</v>
      </c>
      <c r="AH148" s="92">
        <f>--_xlfn.XOR(AH140,'Key Generator'!AI515)</f>
        <v>0</v>
      </c>
      <c r="AI148" s="92">
        <f>--_xlfn.XOR(AI140,'Key Generator'!AJ515)</f>
        <v>0</v>
      </c>
      <c r="AJ148" s="92">
        <f>--_xlfn.XOR(AJ140,'Key Generator'!AK515)</f>
        <v>1</v>
      </c>
      <c r="AK148" s="92">
        <f>--_xlfn.XOR(AK140,'Key Generator'!AL515)</f>
        <v>1</v>
      </c>
      <c r="AL148" s="92">
        <f>--_xlfn.XOR(AL140,'Key Generator'!AM515)</f>
        <v>1</v>
      </c>
      <c r="AM148" s="86">
        <f>--_xlfn.XOR(AM140,'Key Generator'!AN515)</f>
        <v>1</v>
      </c>
      <c r="AN148" s="86">
        <f>--_xlfn.XOR(AN140,'Key Generator'!AO515)</f>
        <v>0</v>
      </c>
      <c r="AO148" s="86">
        <f>--_xlfn.XOR(AO140,'Key Generator'!AP515)</f>
        <v>1</v>
      </c>
      <c r="AP148" s="86">
        <f>--_xlfn.XOR(AP140,'Key Generator'!AQ515)</f>
        <v>1</v>
      </c>
      <c r="AQ148" s="86">
        <f>--_xlfn.XOR(AQ140,'Key Generator'!AR515)</f>
        <v>0</v>
      </c>
      <c r="AR148" s="86">
        <f>--_xlfn.XOR(AR140,'Key Generator'!AS515)</f>
        <v>0</v>
      </c>
      <c r="AS148" s="81">
        <f>--_xlfn.XOR(AS140,'Key Generator'!AT515)</f>
        <v>0</v>
      </c>
      <c r="AT148" s="81">
        <f>--_xlfn.XOR(AT140,'Key Generator'!AU515)</f>
        <v>1</v>
      </c>
      <c r="AU148" s="81">
        <f>--_xlfn.XOR(AU140,'Key Generator'!AV515)</f>
        <v>1</v>
      </c>
      <c r="AV148" s="81">
        <f>--_xlfn.XOR(AV140,'Key Generator'!AW515)</f>
        <v>0</v>
      </c>
      <c r="AW148" s="81">
        <f>--_xlfn.XOR(AW140,'Key Generator'!AX515)</f>
        <v>0</v>
      </c>
      <c r="AX148" s="81">
        <f>--_xlfn.XOR(AX140,'Key Generator'!AY515)</f>
        <v>0</v>
      </c>
      <c r="AY148" s="21"/>
      <c r="AZ148" s="21"/>
      <c r="BA148" s="21"/>
      <c r="BB148" s="21"/>
      <c r="BC148" s="21"/>
      <c r="BD148" s="21"/>
      <c r="BE148" s="21"/>
    </row>
    <row r="149" spans="1:57" x14ac:dyDescent="0.25">
      <c r="A149" s="21"/>
      <c r="B149" s="64"/>
      <c r="C149" s="93"/>
      <c r="D149" s="94"/>
      <c r="E149" s="94"/>
      <c r="F149" s="94"/>
      <c r="G149" s="94"/>
      <c r="H149" s="94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</row>
    <row r="150" spans="1:57" x14ac:dyDescent="0.25">
      <c r="A150" s="96" t="s">
        <v>545</v>
      </c>
      <c r="B150" s="97"/>
      <c r="C150" s="161">
        <f>D148*8+E148*4+F148*2+G148</f>
        <v>6</v>
      </c>
      <c r="D150" s="97" t="s">
        <v>536</v>
      </c>
      <c r="E150" s="97"/>
      <c r="F150" s="97"/>
      <c r="G150" s="97"/>
      <c r="H150" s="97"/>
      <c r="I150" s="161">
        <f>J148*8+K148*4+L148*2+M148</f>
        <v>11</v>
      </c>
      <c r="J150" s="97" t="s">
        <v>537</v>
      </c>
      <c r="K150" s="97"/>
      <c r="L150" s="97"/>
      <c r="M150" s="97"/>
      <c r="N150" s="97"/>
      <c r="O150" s="161">
        <f>P148*8+Q148*4+R148*2+S148</f>
        <v>1</v>
      </c>
      <c r="P150" s="97" t="s">
        <v>538</v>
      </c>
      <c r="Q150" s="97"/>
      <c r="R150" s="97"/>
      <c r="S150" s="97"/>
      <c r="T150" s="97"/>
      <c r="U150" s="161">
        <f>V148*8+W148*4+X148*2+Y148</f>
        <v>6</v>
      </c>
      <c r="V150" s="97" t="s">
        <v>539</v>
      </c>
      <c r="W150" s="97"/>
      <c r="X150" s="97"/>
      <c r="Y150" s="97"/>
      <c r="Z150" s="97"/>
      <c r="AA150" s="161">
        <f>AB148*8+AC148*4+AD148*2+AE148</f>
        <v>9</v>
      </c>
      <c r="AB150" s="97" t="s">
        <v>540</v>
      </c>
      <c r="AC150" s="97"/>
      <c r="AD150" s="97"/>
      <c r="AE150" s="97"/>
      <c r="AF150" s="97"/>
      <c r="AG150" s="161">
        <f>AH148*8+AI148*4+AJ148*2+AK148</f>
        <v>3</v>
      </c>
      <c r="AH150" s="97" t="s">
        <v>541</v>
      </c>
      <c r="AI150" s="97"/>
      <c r="AJ150" s="97"/>
      <c r="AK150" s="97"/>
      <c r="AL150" s="97"/>
      <c r="AM150" s="161">
        <f>AN148*8+AO148*4+AP148*2+AQ148</f>
        <v>6</v>
      </c>
      <c r="AN150" s="97" t="s">
        <v>542</v>
      </c>
      <c r="AO150" s="97"/>
      <c r="AP150" s="97"/>
      <c r="AQ150" s="97"/>
      <c r="AR150" s="97"/>
      <c r="AS150" s="161">
        <f>AT148*8+AU148*4+AV148*2+AW148</f>
        <v>12</v>
      </c>
      <c r="AT150" s="97" t="s">
        <v>543</v>
      </c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</row>
    <row r="151" spans="1:57" x14ac:dyDescent="0.25">
      <c r="A151" s="100" t="s">
        <v>546</v>
      </c>
      <c r="B151" s="99"/>
      <c r="C151" s="87">
        <f>C148*2+H148</f>
        <v>1</v>
      </c>
      <c r="D151" s="98"/>
      <c r="E151" s="98"/>
      <c r="F151" s="99"/>
      <c r="G151" s="99"/>
      <c r="H151" s="99"/>
      <c r="I151" s="87">
        <f>I148*2+N148</f>
        <v>0</v>
      </c>
      <c r="J151" s="99"/>
      <c r="K151" s="99"/>
      <c r="L151" s="99"/>
      <c r="M151" s="99"/>
      <c r="N151" s="99"/>
      <c r="O151" s="87">
        <f>O148*2+T148</f>
        <v>3</v>
      </c>
      <c r="P151" s="99"/>
      <c r="Q151" s="99"/>
      <c r="R151" s="99"/>
      <c r="S151" s="99"/>
      <c r="T151" s="99"/>
      <c r="U151" s="87">
        <f>U148*2+Z148</f>
        <v>2</v>
      </c>
      <c r="V151" s="99"/>
      <c r="W151" s="99"/>
      <c r="X151" s="99"/>
      <c r="Y151" s="99"/>
      <c r="Z151" s="99"/>
      <c r="AA151" s="87">
        <f>AA148*2+AF148</f>
        <v>3</v>
      </c>
      <c r="AB151" s="99"/>
      <c r="AC151" s="99"/>
      <c r="AD151" s="99"/>
      <c r="AE151" s="99"/>
      <c r="AF151" s="99"/>
      <c r="AG151" s="87">
        <f>AG148*2+AL148</f>
        <v>3</v>
      </c>
      <c r="AH151" s="99"/>
      <c r="AI151" s="99"/>
      <c r="AJ151" s="99"/>
      <c r="AK151" s="99"/>
      <c r="AL151" s="99"/>
      <c r="AM151" s="87">
        <f>AM148*2+AR148</f>
        <v>2</v>
      </c>
      <c r="AN151" s="99"/>
      <c r="AO151" s="99"/>
      <c r="AP151" s="99"/>
      <c r="AQ151" s="99"/>
      <c r="AR151" s="99"/>
      <c r="AS151" s="87">
        <f>AS148*2+AX148</f>
        <v>0</v>
      </c>
      <c r="AT151" s="99"/>
      <c r="AU151" s="99"/>
      <c r="AV151" s="99"/>
      <c r="AW151" s="99"/>
      <c r="AX151" s="99"/>
      <c r="AY151" s="99"/>
      <c r="AZ151" s="99"/>
      <c r="BA151" s="99"/>
      <c r="BB151" s="99"/>
      <c r="BC151" s="99"/>
      <c r="BD151" s="99"/>
      <c r="BE151" s="99"/>
    </row>
    <row r="152" spans="1:57" x14ac:dyDescent="0.25">
      <c r="A152" s="21"/>
      <c r="B152" s="64"/>
      <c r="C152" s="62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</row>
    <row r="153" spans="1:57" x14ac:dyDescent="0.25">
      <c r="A153" s="117" t="s">
        <v>547</v>
      </c>
      <c r="B153" s="64"/>
      <c r="C153" s="72">
        <f>INDEX('S-Box'!D3:S6,'DES-Dec'!C151+1,'DES-Dec'!C150+1)</f>
        <v>13</v>
      </c>
      <c r="D153" s="21"/>
      <c r="E153" s="21"/>
      <c r="F153" s="21"/>
      <c r="G153" s="21"/>
      <c r="H153" s="21"/>
      <c r="I153" s="168">
        <f>INDEX('S-Box'!D9:S12,'DES-Dec'!I151+1,'DES-Dec'!I150+1)</f>
        <v>13</v>
      </c>
      <c r="J153" s="21"/>
      <c r="K153" s="21"/>
      <c r="L153" s="21"/>
      <c r="M153" s="21"/>
      <c r="N153" s="21"/>
      <c r="O153" s="168">
        <f>INDEX('S-Box'!D15:S18,'DES-Dec'!O151+1,'DES-Dec'!O150+1)</f>
        <v>10</v>
      </c>
      <c r="P153" s="21"/>
      <c r="Q153" s="21"/>
      <c r="R153" s="21"/>
      <c r="S153" s="21"/>
      <c r="T153" s="21"/>
      <c r="U153" s="168">
        <f>INDEX('S-Box'!D21:S24,'DES-Dec'!U151+1,'DES-Dec'!U150+1)</f>
        <v>7</v>
      </c>
      <c r="V153" s="21"/>
      <c r="W153" s="21"/>
      <c r="X153" s="21"/>
      <c r="Y153" s="21"/>
      <c r="Z153" s="21"/>
      <c r="AA153" s="168">
        <f>INDEX('S-Box'!D27:S30,'DES-Dec'!AA151+1,'DES-Dec'!AA150+1)</f>
        <v>15</v>
      </c>
      <c r="AB153" s="21"/>
      <c r="AC153" s="21"/>
      <c r="AD153" s="21"/>
      <c r="AE153" s="21"/>
      <c r="AF153" s="21"/>
      <c r="AG153" s="168">
        <f>INDEX('S-Box'!D33:S36,'DES-Dec'!AG151+1,'DES-Dec'!AG150+1)</f>
        <v>12</v>
      </c>
      <c r="AH153" s="21"/>
      <c r="AI153" s="21"/>
      <c r="AJ153" s="21"/>
      <c r="AK153" s="21"/>
      <c r="AL153" s="21"/>
      <c r="AM153" s="168">
        <f>INDEX('S-Box'!D39:S42,'DES-Dec'!AM151+1,'DES-Dec'!AM150+1)</f>
        <v>7</v>
      </c>
      <c r="AN153" s="21"/>
      <c r="AO153" s="21"/>
      <c r="AP153" s="21"/>
      <c r="AQ153" s="21"/>
      <c r="AR153" s="21"/>
      <c r="AS153" s="168">
        <f>INDEX('S-Box'!D45:S48,'DES-Dec'!AS151+1,'DES-Dec'!AS150+1)</f>
        <v>5</v>
      </c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</row>
    <row r="154" spans="1:57" x14ac:dyDescent="0.25">
      <c r="A154" s="21"/>
      <c r="B154" s="64"/>
      <c r="C154" s="104"/>
      <c r="D154" s="21"/>
      <c r="E154" s="21"/>
      <c r="F154" s="21"/>
      <c r="G154" s="21"/>
      <c r="H154" s="21"/>
      <c r="I154" s="95"/>
      <c r="J154" s="21"/>
      <c r="K154" s="21"/>
      <c r="L154" s="21"/>
      <c r="M154" s="21"/>
      <c r="N154" s="21"/>
      <c r="O154" s="95"/>
      <c r="P154" s="21"/>
      <c r="Q154" s="21"/>
      <c r="R154" s="21"/>
      <c r="S154" s="21"/>
      <c r="T154" s="21"/>
      <c r="U154" s="95"/>
      <c r="V154" s="21"/>
      <c r="W154" s="21"/>
      <c r="X154" s="21"/>
      <c r="Y154" s="21"/>
      <c r="Z154" s="21"/>
      <c r="AA154" s="95"/>
      <c r="AB154" s="21"/>
      <c r="AC154" s="21"/>
      <c r="AD154" s="21"/>
      <c r="AE154" s="21"/>
      <c r="AF154" s="21"/>
      <c r="AG154" s="95"/>
      <c r="AH154" s="21"/>
      <c r="AI154" s="21"/>
      <c r="AJ154" s="21"/>
      <c r="AK154" s="21"/>
      <c r="AL154" s="21"/>
      <c r="AM154" s="95"/>
      <c r="AN154" s="21"/>
      <c r="AO154" s="21"/>
      <c r="AP154" s="21"/>
      <c r="AQ154" s="21"/>
      <c r="AR154" s="21"/>
      <c r="AS154" s="95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</row>
    <row r="155" spans="1:57" x14ac:dyDescent="0.25">
      <c r="A155" s="21"/>
      <c r="B155" s="64"/>
      <c r="C155" s="105" t="str">
        <f>MID(DEC2BIN(C153,4),1,1)</f>
        <v>1</v>
      </c>
      <c r="D155" s="106" t="str">
        <f>MID(DEC2BIN(C153,4),2,1)</f>
        <v>1</v>
      </c>
      <c r="E155" s="106" t="str">
        <f>MID(DEC2BIN(C153,4),3,1)</f>
        <v>0</v>
      </c>
      <c r="F155" s="107" t="str">
        <f>MID(DEC2BIN(C153,4),4,1)</f>
        <v>1</v>
      </c>
      <c r="G155" s="21"/>
      <c r="H155" s="21"/>
      <c r="I155" s="105" t="str">
        <f>MID(DEC2BIN(I153,4),1,1)</f>
        <v>1</v>
      </c>
      <c r="J155" s="106" t="str">
        <f>MID(DEC2BIN(I153,4),2,1)</f>
        <v>1</v>
      </c>
      <c r="K155" s="106" t="str">
        <f>MID(DEC2BIN(I153,4),3,1)</f>
        <v>0</v>
      </c>
      <c r="L155" s="107" t="str">
        <f>MID(DEC2BIN(I153,4),4,1)</f>
        <v>1</v>
      </c>
      <c r="M155" s="21"/>
      <c r="N155" s="21"/>
      <c r="O155" s="105" t="str">
        <f>MID(DEC2BIN(O153,4),1,1)</f>
        <v>1</v>
      </c>
      <c r="P155" s="106" t="str">
        <f>MID(DEC2BIN(O153,4),2,1)</f>
        <v>0</v>
      </c>
      <c r="Q155" s="106" t="str">
        <f>MID(DEC2BIN(O153,4),3,1)</f>
        <v>1</v>
      </c>
      <c r="R155" s="107" t="str">
        <f>MID(DEC2BIN(O153,4),4,1)</f>
        <v>0</v>
      </c>
      <c r="S155" s="21"/>
      <c r="T155" s="21"/>
      <c r="U155" s="105" t="str">
        <f>MID(DEC2BIN(U153,4),1,1)</f>
        <v>0</v>
      </c>
      <c r="V155" s="106" t="str">
        <f>MID(DEC2BIN(U153,4),2,1)</f>
        <v>1</v>
      </c>
      <c r="W155" s="106" t="str">
        <f>MID(DEC2BIN(U153,4),3,1)</f>
        <v>1</v>
      </c>
      <c r="X155" s="107" t="str">
        <f>MID(DEC2BIN(U153,4),4,1)</f>
        <v>1</v>
      </c>
      <c r="Y155" s="21"/>
      <c r="Z155" s="21"/>
      <c r="AA155" s="105" t="str">
        <f>MID(DEC2BIN(AA153,4),1,1)</f>
        <v>1</v>
      </c>
      <c r="AB155" s="106" t="str">
        <f>MID(DEC2BIN(AA153,4),2,1)</f>
        <v>1</v>
      </c>
      <c r="AC155" s="106" t="str">
        <f>MID(DEC2BIN(AA153,4),3,1)</f>
        <v>1</v>
      </c>
      <c r="AD155" s="107" t="str">
        <f>MID(DEC2BIN(AA153,4),4,1)</f>
        <v>1</v>
      </c>
      <c r="AE155" s="21"/>
      <c r="AF155" s="21"/>
      <c r="AG155" s="105" t="str">
        <f>MID(DEC2BIN(AG153,4),1,1)</f>
        <v>1</v>
      </c>
      <c r="AH155" s="106" t="str">
        <f>MID(DEC2BIN(AG153,4),2,1)</f>
        <v>1</v>
      </c>
      <c r="AI155" s="106" t="str">
        <f>MID(DEC2BIN(AG153,4),3,1)</f>
        <v>0</v>
      </c>
      <c r="AJ155" s="107" t="str">
        <f>MID(DEC2BIN(AG153,4),4,1)</f>
        <v>0</v>
      </c>
      <c r="AK155" s="21"/>
      <c r="AL155" s="21"/>
      <c r="AM155" s="105" t="str">
        <f>MID(DEC2BIN(AM153,4),1,1)</f>
        <v>0</v>
      </c>
      <c r="AN155" s="106" t="str">
        <f>MID(DEC2BIN(AM153,4),2,1)</f>
        <v>1</v>
      </c>
      <c r="AO155" s="106" t="str">
        <f>MID(DEC2BIN(AM153,4),3,1)</f>
        <v>1</v>
      </c>
      <c r="AP155" s="107" t="str">
        <f>MID(DEC2BIN(AM153,4),4,1)</f>
        <v>1</v>
      </c>
      <c r="AQ155" s="21"/>
      <c r="AR155" s="21"/>
      <c r="AS155" s="105" t="str">
        <f>MID(DEC2BIN(AS153,4),1,1)</f>
        <v>0</v>
      </c>
      <c r="AT155" s="106" t="str">
        <f>MID(DEC2BIN(AS153,4),2,1)</f>
        <v>1</v>
      </c>
      <c r="AU155" s="106" t="str">
        <f>MID(DEC2BIN(AS153,4),3,1)</f>
        <v>0</v>
      </c>
      <c r="AV155" s="107" t="str">
        <f>MID(DEC2BIN(AS153,4),4,1)</f>
        <v>1</v>
      </c>
      <c r="AW155" s="21"/>
      <c r="AX155" s="21"/>
      <c r="AY155" s="21"/>
      <c r="AZ155" s="21"/>
      <c r="BA155" s="21"/>
      <c r="BB155" s="21"/>
      <c r="BC155" s="21"/>
      <c r="BD155" s="21"/>
      <c r="BE155" s="21"/>
    </row>
    <row r="156" spans="1:57" s="21" customFormat="1" ht="24.95" customHeight="1" x14ac:dyDescent="0.25">
      <c r="B156" s="64"/>
      <c r="C156" s="21">
        <f>VALUE(C155)</f>
        <v>1</v>
      </c>
      <c r="D156" s="21">
        <f t="shared" ref="D156" si="311">VALUE(D155)</f>
        <v>1</v>
      </c>
      <c r="E156" s="21">
        <f t="shared" ref="E156" si="312">VALUE(E155)</f>
        <v>0</v>
      </c>
      <c r="F156" s="21">
        <f t="shared" ref="F156" si="313">VALUE(F155)</f>
        <v>1</v>
      </c>
      <c r="I156" s="21">
        <f t="shared" ref="I156" si="314">VALUE(I155)</f>
        <v>1</v>
      </c>
      <c r="J156" s="21">
        <f t="shared" ref="J156" si="315">VALUE(J155)</f>
        <v>1</v>
      </c>
      <c r="K156" s="21">
        <f t="shared" ref="K156" si="316">VALUE(K155)</f>
        <v>0</v>
      </c>
      <c r="L156" s="21">
        <f t="shared" ref="L156" si="317">VALUE(L155)</f>
        <v>1</v>
      </c>
      <c r="O156" s="21">
        <f>VALUE(O155)</f>
        <v>1</v>
      </c>
      <c r="P156" s="21">
        <f t="shared" ref="P156" si="318">VALUE(P155)</f>
        <v>0</v>
      </c>
      <c r="Q156" s="21">
        <f t="shared" ref="Q156" si="319">VALUE(Q155)</f>
        <v>1</v>
      </c>
      <c r="R156" s="21">
        <f t="shared" ref="R156" si="320">VALUE(R155)</f>
        <v>0</v>
      </c>
      <c r="U156" s="21">
        <f>VALUE(U155)</f>
        <v>0</v>
      </c>
      <c r="V156" s="21">
        <f t="shared" ref="V156" si="321">VALUE(V155)</f>
        <v>1</v>
      </c>
      <c r="W156" s="21">
        <f t="shared" ref="W156" si="322">VALUE(W155)</f>
        <v>1</v>
      </c>
      <c r="X156" s="21">
        <f t="shared" ref="X156" si="323">VALUE(X155)</f>
        <v>1</v>
      </c>
      <c r="AA156" s="21">
        <f>VALUE(AA155)</f>
        <v>1</v>
      </c>
      <c r="AB156" s="21">
        <f t="shared" ref="AB156" si="324">VALUE(AB155)</f>
        <v>1</v>
      </c>
      <c r="AC156" s="21">
        <f t="shared" ref="AC156" si="325">VALUE(AC155)</f>
        <v>1</v>
      </c>
      <c r="AD156" s="21">
        <f t="shared" ref="AD156" si="326">VALUE(AD155)</f>
        <v>1</v>
      </c>
      <c r="AG156" s="21">
        <f>VALUE(AG155)</f>
        <v>1</v>
      </c>
      <c r="AH156" s="21">
        <f t="shared" ref="AH156" si="327">VALUE(AH155)</f>
        <v>1</v>
      </c>
      <c r="AI156" s="21">
        <f t="shared" ref="AI156" si="328">VALUE(AI155)</f>
        <v>0</v>
      </c>
      <c r="AJ156" s="21">
        <f t="shared" ref="AJ156" si="329">VALUE(AJ155)</f>
        <v>0</v>
      </c>
      <c r="AM156" s="21">
        <f>VALUE(AM155)</f>
        <v>0</v>
      </c>
      <c r="AN156" s="21">
        <f t="shared" ref="AN156" si="330">VALUE(AN155)</f>
        <v>1</v>
      </c>
      <c r="AO156" s="21">
        <f t="shared" ref="AO156" si="331">VALUE(AO155)</f>
        <v>1</v>
      </c>
      <c r="AP156" s="21">
        <f t="shared" ref="AP156" si="332">VALUE(AP155)</f>
        <v>1</v>
      </c>
      <c r="AS156" s="21">
        <f>VALUE(AS155)</f>
        <v>0</v>
      </c>
      <c r="AT156" s="21">
        <f t="shared" ref="AT156" si="333">VALUE(AT155)</f>
        <v>1</v>
      </c>
      <c r="AU156" s="21">
        <f t="shared" ref="AU156" si="334">VALUE(AU155)</f>
        <v>0</v>
      </c>
      <c r="AV156" s="21">
        <f t="shared" ref="AV156" si="335">VALUE(AV155)</f>
        <v>1</v>
      </c>
    </row>
    <row r="157" spans="1:57" s="21" customFormat="1" ht="24.95" customHeight="1" x14ac:dyDescent="0.25">
      <c r="A157" s="111" t="s">
        <v>588</v>
      </c>
      <c r="B157" s="111"/>
      <c r="C157" s="111">
        <v>1</v>
      </c>
      <c r="D157" s="76">
        <v>2</v>
      </c>
      <c r="E157" s="111">
        <v>3</v>
      </c>
      <c r="F157" s="76">
        <v>4</v>
      </c>
      <c r="G157" s="111">
        <v>5</v>
      </c>
      <c r="H157" s="76">
        <v>6</v>
      </c>
      <c r="I157" s="111">
        <v>7</v>
      </c>
      <c r="J157" s="76">
        <v>8</v>
      </c>
      <c r="K157" s="111">
        <v>9</v>
      </c>
      <c r="L157" s="76">
        <v>10</v>
      </c>
      <c r="M157" s="111">
        <v>11</v>
      </c>
      <c r="N157" s="76">
        <v>12</v>
      </c>
      <c r="O157" s="111">
        <v>13</v>
      </c>
      <c r="P157" s="76">
        <v>14</v>
      </c>
      <c r="Q157" s="111">
        <v>15</v>
      </c>
      <c r="R157" s="76">
        <v>16</v>
      </c>
      <c r="S157" s="111">
        <v>17</v>
      </c>
      <c r="T157" s="76">
        <v>18</v>
      </c>
      <c r="U157" s="111">
        <v>19</v>
      </c>
      <c r="V157" s="76">
        <v>20</v>
      </c>
      <c r="W157" s="111">
        <v>21</v>
      </c>
      <c r="X157" s="76">
        <v>22</v>
      </c>
      <c r="Y157" s="111">
        <v>23</v>
      </c>
      <c r="Z157" s="76">
        <v>24</v>
      </c>
      <c r="AA157" s="111">
        <v>25</v>
      </c>
      <c r="AB157" s="76">
        <v>26</v>
      </c>
      <c r="AC157" s="111">
        <v>27</v>
      </c>
      <c r="AD157" s="76">
        <v>28</v>
      </c>
      <c r="AE157" s="111">
        <v>29</v>
      </c>
      <c r="AF157" s="76">
        <v>30</v>
      </c>
      <c r="AG157" s="111">
        <v>31</v>
      </c>
      <c r="AH157" s="76">
        <v>32</v>
      </c>
    </row>
    <row r="158" spans="1:57" s="21" customFormat="1" ht="24.95" customHeight="1" x14ac:dyDescent="0.25">
      <c r="B158" s="64"/>
      <c r="C158" s="108">
        <f>C156</f>
        <v>1</v>
      </c>
      <c r="D158" s="108">
        <f t="shared" ref="D158:F158" si="336">D156</f>
        <v>1</v>
      </c>
      <c r="E158" s="108">
        <f t="shared" si="336"/>
        <v>0</v>
      </c>
      <c r="F158" s="108">
        <f t="shared" si="336"/>
        <v>1</v>
      </c>
      <c r="G158" s="23">
        <f>I156</f>
        <v>1</v>
      </c>
      <c r="H158" s="23">
        <f t="shared" ref="H158" si="337">J156</f>
        <v>1</v>
      </c>
      <c r="I158" s="23">
        <f t="shared" ref="I158" si="338">K156</f>
        <v>0</v>
      </c>
      <c r="J158" s="23">
        <f t="shared" ref="J158" si="339">L156</f>
        <v>1</v>
      </c>
      <c r="K158" s="23">
        <f>O156</f>
        <v>1</v>
      </c>
      <c r="L158" s="23">
        <f t="shared" ref="L158" si="340">P156</f>
        <v>0</v>
      </c>
      <c r="M158" s="23">
        <f t="shared" ref="M158" si="341">Q156</f>
        <v>1</v>
      </c>
      <c r="N158" s="23">
        <f t="shared" ref="N158" si="342">R156</f>
        <v>0</v>
      </c>
      <c r="O158" s="23">
        <f>U156</f>
        <v>0</v>
      </c>
      <c r="P158" s="23">
        <f t="shared" ref="P158" si="343">V156</f>
        <v>1</v>
      </c>
      <c r="Q158" s="23">
        <f t="shared" ref="Q158" si="344">W156</f>
        <v>1</v>
      </c>
      <c r="R158" s="23">
        <f t="shared" ref="R158" si="345">X156</f>
        <v>1</v>
      </c>
      <c r="S158" s="23">
        <f>AA156</f>
        <v>1</v>
      </c>
      <c r="T158" s="23">
        <f t="shared" ref="T158" si="346">AB156</f>
        <v>1</v>
      </c>
      <c r="U158" s="23">
        <f t="shared" ref="U158" si="347">AC156</f>
        <v>1</v>
      </c>
      <c r="V158" s="23">
        <f t="shared" ref="V158" si="348">AD156</f>
        <v>1</v>
      </c>
      <c r="W158" s="23">
        <f>AG156</f>
        <v>1</v>
      </c>
      <c r="X158" s="23">
        <f t="shared" ref="X158" si="349">AH156</f>
        <v>1</v>
      </c>
      <c r="Y158" s="23">
        <f t="shared" ref="Y158" si="350">AI156</f>
        <v>0</v>
      </c>
      <c r="Z158" s="23">
        <f t="shared" ref="Z158" si="351">AJ156</f>
        <v>0</v>
      </c>
      <c r="AA158" s="23">
        <f>AM156</f>
        <v>0</v>
      </c>
      <c r="AB158" s="23">
        <f t="shared" ref="AB158" si="352">AN156</f>
        <v>1</v>
      </c>
      <c r="AC158" s="23">
        <f t="shared" ref="AC158" si="353">AO156</f>
        <v>1</v>
      </c>
      <c r="AD158" s="23">
        <f t="shared" ref="AD158" si="354">AP156</f>
        <v>1</v>
      </c>
      <c r="AE158" s="23">
        <f>AS156</f>
        <v>0</v>
      </c>
      <c r="AF158" s="23">
        <f t="shared" ref="AF158" si="355">AT156</f>
        <v>1</v>
      </c>
      <c r="AG158" s="23">
        <f t="shared" ref="AG158" si="356">AU156</f>
        <v>0</v>
      </c>
      <c r="AH158" s="23">
        <f t="shared" ref="AH158" si="357">AV156</f>
        <v>1</v>
      </c>
    </row>
    <row r="159" spans="1:57" x14ac:dyDescent="0.25">
      <c r="A159" s="21"/>
      <c r="B159" s="64"/>
      <c r="C159" s="62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</row>
    <row r="160" spans="1:57" x14ac:dyDescent="0.25">
      <c r="A160" s="110" t="s">
        <v>548</v>
      </c>
      <c r="B160" s="110"/>
      <c r="C160" s="109">
        <v>16</v>
      </c>
      <c r="D160" s="110">
        <v>7</v>
      </c>
      <c r="E160" s="110">
        <v>20</v>
      </c>
      <c r="F160" s="110">
        <v>21</v>
      </c>
      <c r="G160" s="110">
        <v>29</v>
      </c>
      <c r="H160" s="110">
        <v>12</v>
      </c>
      <c r="I160" s="110">
        <v>28</v>
      </c>
      <c r="J160" s="110">
        <v>17</v>
      </c>
      <c r="K160" s="110">
        <v>1</v>
      </c>
      <c r="L160" s="110">
        <v>15</v>
      </c>
      <c r="M160" s="110">
        <v>23</v>
      </c>
      <c r="N160" s="110">
        <v>26</v>
      </c>
      <c r="O160" s="110">
        <v>5</v>
      </c>
      <c r="P160" s="110">
        <v>18</v>
      </c>
      <c r="Q160" s="110">
        <v>31</v>
      </c>
      <c r="R160" s="110">
        <v>10</v>
      </c>
      <c r="S160" s="110">
        <v>2</v>
      </c>
      <c r="T160" s="110">
        <v>8</v>
      </c>
      <c r="U160" s="110">
        <v>24</v>
      </c>
      <c r="V160" s="110">
        <v>14</v>
      </c>
      <c r="W160" s="110">
        <v>32</v>
      </c>
      <c r="X160" s="110">
        <v>27</v>
      </c>
      <c r="Y160" s="110">
        <v>3</v>
      </c>
      <c r="Z160" s="110">
        <v>9</v>
      </c>
      <c r="AA160" s="110">
        <v>19</v>
      </c>
      <c r="AB160" s="110">
        <v>13</v>
      </c>
      <c r="AC160" s="110">
        <v>30</v>
      </c>
      <c r="AD160" s="110">
        <v>6</v>
      </c>
      <c r="AE160" s="110">
        <v>22</v>
      </c>
      <c r="AF160" s="110">
        <v>11</v>
      </c>
      <c r="AG160" s="110">
        <v>4</v>
      </c>
      <c r="AH160" s="110">
        <v>25</v>
      </c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</row>
    <row r="161" spans="1:57" x14ac:dyDescent="0.25">
      <c r="A161" s="21"/>
      <c r="B161" s="64"/>
      <c r="C161" s="103">
        <f>K158</f>
        <v>1</v>
      </c>
      <c r="D161" s="103">
        <f>S158</f>
        <v>1</v>
      </c>
      <c r="E161" s="103">
        <f>Y158</f>
        <v>0</v>
      </c>
      <c r="F161" s="112">
        <f>AG158</f>
        <v>0</v>
      </c>
      <c r="G161" s="103">
        <f>O158</f>
        <v>0</v>
      </c>
      <c r="H161" s="103">
        <f>AD158</f>
        <v>1</v>
      </c>
      <c r="I161" s="103">
        <f>D158</f>
        <v>1</v>
      </c>
      <c r="J161" s="103">
        <f>T158</f>
        <v>1</v>
      </c>
      <c r="K161" s="103">
        <f>Z158</f>
        <v>0</v>
      </c>
      <c r="L161" s="103">
        <f>R158</f>
        <v>1</v>
      </c>
      <c r="M161" s="103">
        <f>AF158</f>
        <v>1</v>
      </c>
      <c r="N161" s="103">
        <f>H158</f>
        <v>1</v>
      </c>
      <c r="O161" s="103">
        <f>AB158</f>
        <v>1</v>
      </c>
      <c r="P161" s="103">
        <f>V158</f>
        <v>1</v>
      </c>
      <c r="Q161" s="103">
        <f>L158</f>
        <v>0</v>
      </c>
      <c r="R161" s="103">
        <f>C158</f>
        <v>1</v>
      </c>
      <c r="S161" s="103">
        <f>J158</f>
        <v>1</v>
      </c>
      <c r="T161" s="103">
        <f>P158</f>
        <v>1</v>
      </c>
      <c r="U161" s="103">
        <f>AA158</f>
        <v>0</v>
      </c>
      <c r="V161" s="103">
        <f>E158</f>
        <v>0</v>
      </c>
      <c r="W161" s="103">
        <f>F158</f>
        <v>1</v>
      </c>
      <c r="X161" s="103">
        <f>AE158</f>
        <v>0</v>
      </c>
      <c r="Y161" s="103">
        <f>M158</f>
        <v>1</v>
      </c>
      <c r="Z161" s="103">
        <f>U158</f>
        <v>1</v>
      </c>
      <c r="AA161" s="103">
        <f>AH158</f>
        <v>1</v>
      </c>
      <c r="AB161" s="103">
        <f>N158</f>
        <v>0</v>
      </c>
      <c r="AC161" s="103">
        <f>X158</f>
        <v>1</v>
      </c>
      <c r="AD161" s="103">
        <f>I158</f>
        <v>0</v>
      </c>
      <c r="AE161" s="103">
        <f>G158</f>
        <v>1</v>
      </c>
      <c r="AF161" s="103">
        <f>AC158</f>
        <v>1</v>
      </c>
      <c r="AG161" s="103">
        <f>Q158</f>
        <v>1</v>
      </c>
      <c r="AH161" s="103">
        <f>W158</f>
        <v>1</v>
      </c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</row>
    <row r="162" spans="1:57" x14ac:dyDescent="0.25">
      <c r="A162" s="21"/>
      <c r="B162" s="64"/>
      <c r="C162" s="130">
        <v>1</v>
      </c>
      <c r="D162" s="131">
        <v>2</v>
      </c>
      <c r="E162" s="130">
        <v>3</v>
      </c>
      <c r="F162" s="131">
        <v>4</v>
      </c>
      <c r="G162" s="130">
        <v>5</v>
      </c>
      <c r="H162" s="131">
        <v>6</v>
      </c>
      <c r="I162" s="130">
        <v>7</v>
      </c>
      <c r="J162" s="131">
        <v>8</v>
      </c>
      <c r="K162" s="130">
        <v>9</v>
      </c>
      <c r="L162" s="131">
        <v>10</v>
      </c>
      <c r="M162" s="130">
        <v>11</v>
      </c>
      <c r="N162" s="131">
        <v>12</v>
      </c>
      <c r="O162" s="130">
        <v>13</v>
      </c>
      <c r="P162" s="131">
        <v>14</v>
      </c>
      <c r="Q162" s="130">
        <v>15</v>
      </c>
      <c r="R162" s="131">
        <v>16</v>
      </c>
      <c r="S162" s="130">
        <v>17</v>
      </c>
      <c r="T162" s="131">
        <v>18</v>
      </c>
      <c r="U162" s="130">
        <v>19</v>
      </c>
      <c r="V162" s="131">
        <v>20</v>
      </c>
      <c r="W162" s="130">
        <v>21</v>
      </c>
      <c r="X162" s="131">
        <v>22</v>
      </c>
      <c r="Y162" s="130">
        <v>23</v>
      </c>
      <c r="Z162" s="131">
        <v>24</v>
      </c>
      <c r="AA162" s="130">
        <v>25</v>
      </c>
      <c r="AB162" s="131">
        <v>26</v>
      </c>
      <c r="AC162" s="130">
        <v>27</v>
      </c>
      <c r="AD162" s="131">
        <v>28</v>
      </c>
      <c r="AE162" s="130">
        <v>29</v>
      </c>
      <c r="AF162" s="131">
        <v>30</v>
      </c>
      <c r="AG162" s="130">
        <v>31</v>
      </c>
      <c r="AH162" s="131">
        <v>32</v>
      </c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</row>
    <row r="163" spans="1:57" x14ac:dyDescent="0.25">
      <c r="A163" s="21"/>
      <c r="B163" s="64"/>
      <c r="C163" s="62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</row>
    <row r="164" spans="1:57" x14ac:dyDescent="0.25">
      <c r="A164" s="21"/>
      <c r="B164" s="64"/>
      <c r="C164" s="62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</row>
    <row r="165" spans="1:57" x14ac:dyDescent="0.25">
      <c r="A165" s="21"/>
      <c r="B165" s="64"/>
      <c r="C165" s="62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</row>
    <row r="166" spans="1:57" x14ac:dyDescent="0.25">
      <c r="A166" s="114" t="s">
        <v>520</v>
      </c>
      <c r="B166" s="114"/>
      <c r="C166" s="114"/>
      <c r="D166" s="68">
        <v>1</v>
      </c>
      <c r="E166" s="68">
        <v>2</v>
      </c>
      <c r="F166" s="68">
        <v>3</v>
      </c>
      <c r="G166" s="68">
        <v>4</v>
      </c>
      <c r="H166" s="68">
        <v>5</v>
      </c>
      <c r="I166" s="68">
        <v>6</v>
      </c>
      <c r="J166" s="68">
        <v>7</v>
      </c>
      <c r="K166" s="68">
        <v>8</v>
      </c>
      <c r="L166" s="68">
        <v>9</v>
      </c>
      <c r="M166" s="68">
        <v>10</v>
      </c>
      <c r="N166" s="68">
        <v>11</v>
      </c>
      <c r="O166" s="68">
        <v>12</v>
      </c>
      <c r="P166" s="68">
        <v>13</v>
      </c>
      <c r="Q166" s="68">
        <v>14</v>
      </c>
      <c r="R166" s="68">
        <v>15</v>
      </c>
      <c r="S166" s="68">
        <v>16</v>
      </c>
      <c r="T166" s="68">
        <v>17</v>
      </c>
      <c r="U166" s="68">
        <v>18</v>
      </c>
      <c r="V166" s="68">
        <v>19</v>
      </c>
      <c r="W166" s="68">
        <v>20</v>
      </c>
      <c r="X166" s="68">
        <v>21</v>
      </c>
      <c r="Y166" s="68">
        <v>22</v>
      </c>
      <c r="Z166" s="68">
        <v>23</v>
      </c>
      <c r="AA166" s="68">
        <v>24</v>
      </c>
      <c r="AB166" s="68">
        <v>25</v>
      </c>
      <c r="AC166" s="68">
        <v>26</v>
      </c>
      <c r="AD166" s="68">
        <v>27</v>
      </c>
      <c r="AE166" s="68">
        <v>28</v>
      </c>
      <c r="AF166" s="68">
        <v>29</v>
      </c>
      <c r="AG166" s="68">
        <v>30</v>
      </c>
      <c r="AH166" s="68">
        <v>31</v>
      </c>
      <c r="AI166" s="68">
        <v>32</v>
      </c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</row>
    <row r="167" spans="1:57" x14ac:dyDescent="0.25">
      <c r="A167" s="64" t="s">
        <v>549</v>
      </c>
      <c r="B167" s="64"/>
      <c r="C167" s="62"/>
      <c r="D167" s="68">
        <f>C125</f>
        <v>1</v>
      </c>
      <c r="E167" s="68">
        <f t="shared" ref="E167" si="358">D125</f>
        <v>1</v>
      </c>
      <c r="F167" s="68">
        <f t="shared" ref="F167" si="359">E125</f>
        <v>0</v>
      </c>
      <c r="G167" s="68">
        <f t="shared" ref="G167" si="360">F125</f>
        <v>0</v>
      </c>
      <c r="H167" s="68">
        <f t="shared" ref="H167" si="361">G125</f>
        <v>1</v>
      </c>
      <c r="I167" s="68">
        <f t="shared" ref="I167" si="362">H125</f>
        <v>1</v>
      </c>
      <c r="J167" s="68">
        <f t="shared" ref="J167" si="363">I125</f>
        <v>1</v>
      </c>
      <c r="K167" s="68">
        <f t="shared" ref="K167" si="364">J125</f>
        <v>0</v>
      </c>
      <c r="L167" s="68">
        <f t="shared" ref="L167" si="365">K125</f>
        <v>0</v>
      </c>
      <c r="M167" s="68">
        <f t="shared" ref="M167" si="366">L125</f>
        <v>0</v>
      </c>
      <c r="N167" s="68">
        <f t="shared" ref="N167" si="367">M125</f>
        <v>0</v>
      </c>
      <c r="O167" s="68">
        <f t="shared" ref="O167" si="368">N125</f>
        <v>1</v>
      </c>
      <c r="P167" s="68">
        <f t="shared" ref="P167" si="369">O125</f>
        <v>1</v>
      </c>
      <c r="Q167" s="68">
        <f t="shared" ref="Q167" si="370">P125</f>
        <v>0</v>
      </c>
      <c r="R167" s="68">
        <f t="shared" ref="R167" si="371">Q125</f>
        <v>0</v>
      </c>
      <c r="S167" s="68">
        <f t="shared" ref="S167" si="372">R125</f>
        <v>0</v>
      </c>
      <c r="T167" s="68">
        <f t="shared" ref="T167" si="373">S125</f>
        <v>0</v>
      </c>
      <c r="U167" s="68">
        <f t="shared" ref="U167" si="374">T125</f>
        <v>1</v>
      </c>
      <c r="V167" s="68">
        <f t="shared" ref="V167" si="375">U125</f>
        <v>1</v>
      </c>
      <c r="W167" s="68">
        <f t="shared" ref="W167" si="376">V125</f>
        <v>0</v>
      </c>
      <c r="X167" s="68">
        <f t="shared" ref="X167" si="377">W125</f>
        <v>0</v>
      </c>
      <c r="Y167" s="68">
        <f t="shared" ref="Y167" si="378">X125</f>
        <v>0</v>
      </c>
      <c r="Z167" s="68">
        <f t="shared" ref="Z167" si="379">Y125</f>
        <v>0</v>
      </c>
      <c r="AA167" s="68">
        <f t="shared" ref="AA167" si="380">Z125</f>
        <v>0</v>
      </c>
      <c r="AB167" s="68">
        <f t="shared" ref="AB167" si="381">AA125</f>
        <v>1</v>
      </c>
      <c r="AC167" s="68">
        <f t="shared" ref="AC167" si="382">AB125</f>
        <v>0</v>
      </c>
      <c r="AD167" s="68">
        <f t="shared" ref="AD167" si="383">AC125</f>
        <v>1</v>
      </c>
      <c r="AE167" s="68">
        <f t="shared" ref="AE167" si="384">AD125</f>
        <v>0</v>
      </c>
      <c r="AF167" s="68">
        <f t="shared" ref="AF167" si="385">AE125</f>
        <v>0</v>
      </c>
      <c r="AG167" s="68">
        <f t="shared" ref="AG167" si="386">AF125</f>
        <v>1</v>
      </c>
      <c r="AH167" s="68">
        <f t="shared" ref="AH167" si="387">AG125</f>
        <v>0</v>
      </c>
      <c r="AI167" s="68">
        <f t="shared" ref="AI167" si="388">AH125</f>
        <v>0</v>
      </c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</row>
    <row r="168" spans="1:57" x14ac:dyDescent="0.25">
      <c r="A168" s="21"/>
      <c r="B168" s="64"/>
      <c r="C168" s="62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</row>
    <row r="169" spans="1:57" x14ac:dyDescent="0.25">
      <c r="A169" s="114" t="s">
        <v>521</v>
      </c>
      <c r="B169" s="114"/>
      <c r="C169" s="114"/>
      <c r="D169" s="70">
        <v>1</v>
      </c>
      <c r="E169" s="70">
        <v>2</v>
      </c>
      <c r="F169" s="70">
        <v>3</v>
      </c>
      <c r="G169" s="70">
        <v>4</v>
      </c>
      <c r="H169" s="70">
        <v>5</v>
      </c>
      <c r="I169" s="70">
        <v>6</v>
      </c>
      <c r="J169" s="70">
        <v>7</v>
      </c>
      <c r="K169" s="70">
        <v>8</v>
      </c>
      <c r="L169" s="70">
        <v>9</v>
      </c>
      <c r="M169" s="70">
        <v>10</v>
      </c>
      <c r="N169" s="70">
        <v>11</v>
      </c>
      <c r="O169" s="70">
        <v>12</v>
      </c>
      <c r="P169" s="70">
        <v>13</v>
      </c>
      <c r="Q169" s="70">
        <v>14</v>
      </c>
      <c r="R169" s="70">
        <v>15</v>
      </c>
      <c r="S169" s="70">
        <v>16</v>
      </c>
      <c r="T169" s="70">
        <v>17</v>
      </c>
      <c r="U169" s="70">
        <v>18</v>
      </c>
      <c r="V169" s="70">
        <v>19</v>
      </c>
      <c r="W169" s="70">
        <v>20</v>
      </c>
      <c r="X169" s="70">
        <v>21</v>
      </c>
      <c r="Y169" s="70">
        <v>22</v>
      </c>
      <c r="Z169" s="70">
        <v>23</v>
      </c>
      <c r="AA169" s="70">
        <v>24</v>
      </c>
      <c r="AB169" s="70">
        <v>25</v>
      </c>
      <c r="AC169" s="70">
        <v>26</v>
      </c>
      <c r="AD169" s="70">
        <v>27</v>
      </c>
      <c r="AE169" s="70">
        <v>28</v>
      </c>
      <c r="AF169" s="70">
        <v>29</v>
      </c>
      <c r="AG169" s="70">
        <v>30</v>
      </c>
      <c r="AH169" s="70">
        <v>31</v>
      </c>
      <c r="AI169" s="70">
        <v>32</v>
      </c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</row>
    <row r="170" spans="1:57" x14ac:dyDescent="0.25">
      <c r="A170" s="64" t="s">
        <v>551</v>
      </c>
      <c r="B170" s="64"/>
      <c r="C170" s="62"/>
      <c r="D170" s="70">
        <f>--_xlfn.XOR(C161,D118)</f>
        <v>0</v>
      </c>
      <c r="E170" s="70">
        <f t="shared" ref="E170:AI170" si="389">--_xlfn.XOR(D161,E118)</f>
        <v>1</v>
      </c>
      <c r="F170" s="70">
        <f t="shared" si="389"/>
        <v>0</v>
      </c>
      <c r="G170" s="70">
        <f t="shared" si="389"/>
        <v>0</v>
      </c>
      <c r="H170" s="70">
        <f t="shared" si="389"/>
        <v>0</v>
      </c>
      <c r="I170" s="70">
        <f t="shared" si="389"/>
        <v>1</v>
      </c>
      <c r="J170" s="70">
        <f t="shared" si="389"/>
        <v>1</v>
      </c>
      <c r="K170" s="70">
        <f t="shared" si="389"/>
        <v>0</v>
      </c>
      <c r="L170" s="70">
        <f t="shared" si="389"/>
        <v>0</v>
      </c>
      <c r="M170" s="70">
        <f t="shared" si="389"/>
        <v>1</v>
      </c>
      <c r="N170" s="70">
        <f t="shared" si="389"/>
        <v>0</v>
      </c>
      <c r="O170" s="70">
        <f t="shared" si="389"/>
        <v>1</v>
      </c>
      <c r="P170" s="70">
        <f t="shared" si="389"/>
        <v>1</v>
      </c>
      <c r="Q170" s="70">
        <f t="shared" si="389"/>
        <v>1</v>
      </c>
      <c r="R170" s="70">
        <f t="shared" si="389"/>
        <v>1</v>
      </c>
      <c r="S170" s="70">
        <f t="shared" si="389"/>
        <v>1</v>
      </c>
      <c r="T170" s="70">
        <f t="shared" si="389"/>
        <v>1</v>
      </c>
      <c r="U170" s="70">
        <f t="shared" si="389"/>
        <v>0</v>
      </c>
      <c r="V170" s="70">
        <f t="shared" si="389"/>
        <v>1</v>
      </c>
      <c r="W170" s="70">
        <f t="shared" si="389"/>
        <v>1</v>
      </c>
      <c r="X170" s="70">
        <f t="shared" si="389"/>
        <v>1</v>
      </c>
      <c r="Y170" s="70">
        <f t="shared" si="389"/>
        <v>0</v>
      </c>
      <c r="Z170" s="70">
        <f t="shared" si="389"/>
        <v>1</v>
      </c>
      <c r="AA170" s="70">
        <f t="shared" si="389"/>
        <v>0</v>
      </c>
      <c r="AB170" s="70">
        <f t="shared" si="389"/>
        <v>0</v>
      </c>
      <c r="AC170" s="70">
        <f t="shared" si="389"/>
        <v>0</v>
      </c>
      <c r="AD170" s="70">
        <f t="shared" si="389"/>
        <v>0</v>
      </c>
      <c r="AE170" s="70">
        <f t="shared" si="389"/>
        <v>1</v>
      </c>
      <c r="AF170" s="70">
        <f t="shared" si="389"/>
        <v>0</v>
      </c>
      <c r="AG170" s="70">
        <f t="shared" si="389"/>
        <v>0</v>
      </c>
      <c r="AH170" s="70">
        <f t="shared" si="389"/>
        <v>1</v>
      </c>
      <c r="AI170" s="70">
        <f t="shared" si="389"/>
        <v>1</v>
      </c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</row>
    <row r="171" spans="1:57" x14ac:dyDescent="0.25">
      <c r="A171" s="132" t="s">
        <v>633</v>
      </c>
      <c r="B171" s="64"/>
      <c r="C171" s="62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</row>
    <row r="172" spans="1:57" x14ac:dyDescent="0.25">
      <c r="A172" s="132"/>
      <c r="B172" s="133"/>
      <c r="C172" s="134"/>
      <c r="D172" s="132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2"/>
      <c r="AE172" s="132"/>
      <c r="AF172" s="132"/>
      <c r="AG172" s="132"/>
      <c r="AH172" s="132"/>
      <c r="AI172" s="132"/>
      <c r="AJ172" s="132"/>
      <c r="AK172" s="132"/>
      <c r="AL172" s="132"/>
      <c r="AM172" s="132"/>
      <c r="AN172" s="132"/>
      <c r="AO172" s="132"/>
      <c r="AP172" s="132"/>
      <c r="AQ172" s="132"/>
      <c r="AR172" s="132"/>
      <c r="AS172" s="132"/>
      <c r="AT172" s="132"/>
      <c r="AU172" s="132"/>
      <c r="AV172" s="132"/>
      <c r="AW172" s="132"/>
      <c r="AX172" s="132"/>
      <c r="AY172" s="132"/>
      <c r="AZ172" s="132"/>
      <c r="BA172" s="132"/>
      <c r="BB172" s="132"/>
      <c r="BC172" s="132"/>
      <c r="BD172" s="132"/>
      <c r="BE172" s="132"/>
    </row>
    <row r="173" spans="1:57" x14ac:dyDescent="0.25">
      <c r="A173" s="21"/>
      <c r="B173" s="21"/>
      <c r="C173" s="70">
        <v>1</v>
      </c>
      <c r="D173" s="70">
        <v>2</v>
      </c>
      <c r="E173" s="70">
        <v>3</v>
      </c>
      <c r="F173" s="70">
        <v>4</v>
      </c>
      <c r="G173" s="70">
        <v>5</v>
      </c>
      <c r="H173" s="70">
        <v>6</v>
      </c>
      <c r="I173" s="70">
        <v>7</v>
      </c>
      <c r="J173" s="70">
        <v>8</v>
      </c>
      <c r="K173" s="70">
        <v>9</v>
      </c>
      <c r="L173" s="70">
        <v>10</v>
      </c>
      <c r="M173" s="70">
        <v>11</v>
      </c>
      <c r="N173" s="70">
        <v>12</v>
      </c>
      <c r="O173" s="70">
        <v>13</v>
      </c>
      <c r="P173" s="70">
        <v>14</v>
      </c>
      <c r="Q173" s="70">
        <v>15</v>
      </c>
      <c r="R173" s="70">
        <v>16</v>
      </c>
      <c r="S173" s="70">
        <v>17</v>
      </c>
      <c r="T173" s="70">
        <v>18</v>
      </c>
      <c r="U173" s="70">
        <v>19</v>
      </c>
      <c r="V173" s="70">
        <v>20</v>
      </c>
      <c r="W173" s="70">
        <v>21</v>
      </c>
      <c r="X173" s="70">
        <v>22</v>
      </c>
      <c r="Y173" s="70">
        <v>23</v>
      </c>
      <c r="Z173" s="70">
        <v>24</v>
      </c>
      <c r="AA173" s="70">
        <v>25</v>
      </c>
      <c r="AB173" s="70">
        <v>26</v>
      </c>
      <c r="AC173" s="70">
        <v>27</v>
      </c>
      <c r="AD173" s="70">
        <v>28</v>
      </c>
      <c r="AE173" s="70">
        <v>29</v>
      </c>
      <c r="AF173" s="70">
        <v>30</v>
      </c>
      <c r="AG173" s="70">
        <v>31</v>
      </c>
      <c r="AH173" s="70">
        <v>32</v>
      </c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</row>
    <row r="174" spans="1:57" x14ac:dyDescent="0.25">
      <c r="A174" s="114" t="s">
        <v>521</v>
      </c>
      <c r="B174" s="114"/>
      <c r="C174" s="70">
        <f>D170</f>
        <v>0</v>
      </c>
      <c r="D174" s="70">
        <f t="shared" ref="D174" si="390">E170</f>
        <v>1</v>
      </c>
      <c r="E174" s="70">
        <f t="shared" ref="E174" si="391">F170</f>
        <v>0</v>
      </c>
      <c r="F174" s="70">
        <f t="shared" ref="F174" si="392">G170</f>
        <v>0</v>
      </c>
      <c r="G174" s="70">
        <f t="shared" ref="G174" si="393">H170</f>
        <v>0</v>
      </c>
      <c r="H174" s="70">
        <f t="shared" ref="H174" si="394">I170</f>
        <v>1</v>
      </c>
      <c r="I174" s="70">
        <f t="shared" ref="I174" si="395">J170</f>
        <v>1</v>
      </c>
      <c r="J174" s="70">
        <f t="shared" ref="J174" si="396">K170</f>
        <v>0</v>
      </c>
      <c r="K174" s="70">
        <f t="shared" ref="K174" si="397">L170</f>
        <v>0</v>
      </c>
      <c r="L174" s="70">
        <f t="shared" ref="L174" si="398">M170</f>
        <v>1</v>
      </c>
      <c r="M174" s="70">
        <f t="shared" ref="M174" si="399">N170</f>
        <v>0</v>
      </c>
      <c r="N174" s="70">
        <f t="shared" ref="N174" si="400">O170</f>
        <v>1</v>
      </c>
      <c r="O174" s="70">
        <f t="shared" ref="O174" si="401">P170</f>
        <v>1</v>
      </c>
      <c r="P174" s="70">
        <f t="shared" ref="P174" si="402">Q170</f>
        <v>1</v>
      </c>
      <c r="Q174" s="70">
        <f t="shared" ref="Q174" si="403">R170</f>
        <v>1</v>
      </c>
      <c r="R174" s="70">
        <f t="shared" ref="R174" si="404">S170</f>
        <v>1</v>
      </c>
      <c r="S174" s="70">
        <f t="shared" ref="S174" si="405">T170</f>
        <v>1</v>
      </c>
      <c r="T174" s="70">
        <f t="shared" ref="T174" si="406">U170</f>
        <v>0</v>
      </c>
      <c r="U174" s="70">
        <f t="shared" ref="U174" si="407">V170</f>
        <v>1</v>
      </c>
      <c r="V174" s="70">
        <f t="shared" ref="V174" si="408">W170</f>
        <v>1</v>
      </c>
      <c r="W174" s="70">
        <f t="shared" ref="W174" si="409">X170</f>
        <v>1</v>
      </c>
      <c r="X174" s="70">
        <f t="shared" ref="X174" si="410">Y170</f>
        <v>0</v>
      </c>
      <c r="Y174" s="70">
        <f t="shared" ref="Y174" si="411">Z170</f>
        <v>1</v>
      </c>
      <c r="Z174" s="70">
        <f t="shared" ref="Z174" si="412">AA170</f>
        <v>0</v>
      </c>
      <c r="AA174" s="70">
        <f t="shared" ref="AA174" si="413">AB170</f>
        <v>0</v>
      </c>
      <c r="AB174" s="70">
        <f t="shared" ref="AB174" si="414">AC170</f>
        <v>0</v>
      </c>
      <c r="AC174" s="70">
        <f t="shared" ref="AC174" si="415">AD170</f>
        <v>0</v>
      </c>
      <c r="AD174" s="70">
        <f t="shared" ref="AD174" si="416">AE170</f>
        <v>1</v>
      </c>
      <c r="AE174" s="70">
        <f t="shared" ref="AE174" si="417">AF170</f>
        <v>0</v>
      </c>
      <c r="AF174" s="70">
        <f t="shared" ref="AF174" si="418">AG170</f>
        <v>0</v>
      </c>
      <c r="AG174" s="70">
        <f t="shared" ref="AG174" si="419">AH170</f>
        <v>1</v>
      </c>
      <c r="AH174" s="70">
        <f t="shared" ref="AH174" si="420">AI170</f>
        <v>1</v>
      </c>
      <c r="AI174" s="135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</row>
    <row r="175" spans="1:57" x14ac:dyDescent="0.25">
      <c r="A175" s="21"/>
      <c r="B175" s="64"/>
      <c r="C175" s="62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</row>
    <row r="176" spans="1:57" x14ac:dyDescent="0.25">
      <c r="A176" s="132"/>
      <c r="B176" s="133"/>
      <c r="C176" s="134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2"/>
      <c r="AE176" s="132"/>
      <c r="AF176" s="132"/>
      <c r="AG176" s="132"/>
      <c r="AH176" s="132"/>
      <c r="AI176" s="132"/>
      <c r="AJ176" s="132"/>
      <c r="AK176" s="132"/>
      <c r="AL176" s="132"/>
      <c r="AM176" s="132"/>
      <c r="AN176" s="132"/>
      <c r="AO176" s="132"/>
      <c r="AP176" s="132"/>
      <c r="AQ176" s="132"/>
      <c r="AR176" s="132"/>
      <c r="AS176" s="132"/>
      <c r="AT176" s="132"/>
      <c r="AU176" s="132"/>
      <c r="AV176" s="132"/>
      <c r="AW176" s="132"/>
      <c r="AX176" s="132"/>
      <c r="AY176" s="132"/>
      <c r="AZ176" s="21"/>
      <c r="BA176" s="21"/>
      <c r="BB176" s="21"/>
      <c r="BC176" s="21"/>
      <c r="BD176" s="21"/>
      <c r="BE176" s="21"/>
    </row>
    <row r="177" spans="1:57" x14ac:dyDescent="0.25">
      <c r="A177" s="21"/>
      <c r="B177" s="64"/>
      <c r="C177" s="62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</row>
    <row r="178" spans="1:57" x14ac:dyDescent="0.25">
      <c r="A178" s="118" t="s">
        <v>532</v>
      </c>
      <c r="B178" s="118"/>
      <c r="C178" s="75">
        <v>32</v>
      </c>
      <c r="D178" s="74">
        <v>1</v>
      </c>
      <c r="E178" s="74">
        <v>2</v>
      </c>
      <c r="F178" s="74">
        <v>3</v>
      </c>
      <c r="G178" s="74">
        <v>4</v>
      </c>
      <c r="H178" s="73">
        <v>5</v>
      </c>
      <c r="I178" s="122"/>
      <c r="J178" s="118">
        <f>AH174</f>
        <v>1</v>
      </c>
      <c r="K178" s="118">
        <f>C174</f>
        <v>0</v>
      </c>
      <c r="L178" s="118">
        <f>D174</f>
        <v>1</v>
      </c>
      <c r="M178" s="118">
        <f>E174</f>
        <v>0</v>
      </c>
      <c r="N178" s="69">
        <f>F174</f>
        <v>0</v>
      </c>
      <c r="O178" s="119">
        <f>G174</f>
        <v>0</v>
      </c>
      <c r="P178" s="122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</row>
    <row r="179" spans="1:57" x14ac:dyDescent="0.25">
      <c r="A179" s="21"/>
      <c r="B179" s="64"/>
      <c r="C179" s="75">
        <v>4</v>
      </c>
      <c r="D179" s="74">
        <v>5</v>
      </c>
      <c r="E179" s="74">
        <v>6</v>
      </c>
      <c r="F179" s="74">
        <v>7</v>
      </c>
      <c r="G179" s="74">
        <v>8</v>
      </c>
      <c r="H179" s="73">
        <v>9</v>
      </c>
      <c r="I179" s="122"/>
      <c r="J179" s="118">
        <f t="shared" ref="J179" si="421">F174</f>
        <v>0</v>
      </c>
      <c r="K179" s="69">
        <f t="shared" ref="K179" si="422">G174</f>
        <v>0</v>
      </c>
      <c r="L179" s="69">
        <f t="shared" ref="L179" si="423">H174</f>
        <v>1</v>
      </c>
      <c r="M179" s="69">
        <f t="shared" ref="M179" si="424">I174</f>
        <v>1</v>
      </c>
      <c r="N179" s="69">
        <f t="shared" ref="N179" si="425">J174</f>
        <v>0</v>
      </c>
      <c r="O179" s="119">
        <f t="shared" ref="O179" si="426">K174</f>
        <v>0</v>
      </c>
      <c r="P179" s="122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</row>
    <row r="180" spans="1:57" x14ac:dyDescent="0.25">
      <c r="A180" s="21"/>
      <c r="B180" s="64"/>
      <c r="C180" s="75">
        <v>8</v>
      </c>
      <c r="D180" s="74">
        <v>9</v>
      </c>
      <c r="E180" s="74">
        <v>10</v>
      </c>
      <c r="F180" s="74">
        <v>11</v>
      </c>
      <c r="G180" s="74">
        <v>12</v>
      </c>
      <c r="H180" s="73">
        <v>13</v>
      </c>
      <c r="I180" s="123"/>
      <c r="J180" s="120">
        <f t="shared" ref="J180:O180" si="427">J174</f>
        <v>0</v>
      </c>
      <c r="K180" s="69">
        <f t="shared" si="427"/>
        <v>0</v>
      </c>
      <c r="L180" s="69">
        <f t="shared" si="427"/>
        <v>1</v>
      </c>
      <c r="M180" s="69">
        <f t="shared" si="427"/>
        <v>0</v>
      </c>
      <c r="N180" s="69">
        <f t="shared" si="427"/>
        <v>1</v>
      </c>
      <c r="O180" s="119">
        <f t="shared" si="427"/>
        <v>1</v>
      </c>
      <c r="P180" s="123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</row>
    <row r="181" spans="1:57" x14ac:dyDescent="0.25">
      <c r="A181" s="21"/>
      <c r="B181" s="64"/>
      <c r="C181" s="75">
        <v>12</v>
      </c>
      <c r="D181" s="74">
        <v>13</v>
      </c>
      <c r="E181" s="74">
        <v>14</v>
      </c>
      <c r="F181" s="74">
        <v>15</v>
      </c>
      <c r="G181" s="74">
        <v>16</v>
      </c>
      <c r="H181" s="73">
        <v>17</v>
      </c>
      <c r="I181" s="122"/>
      <c r="J181" s="118">
        <f t="shared" ref="J181" si="428">N174</f>
        <v>1</v>
      </c>
      <c r="K181" s="69">
        <f t="shared" ref="K181" si="429">O174</f>
        <v>1</v>
      </c>
      <c r="L181" s="69">
        <f t="shared" ref="L181" si="430">P174</f>
        <v>1</v>
      </c>
      <c r="M181" s="69">
        <f t="shared" ref="M181" si="431">Q174</f>
        <v>1</v>
      </c>
      <c r="N181" s="69">
        <f t="shared" ref="N181" si="432">R174</f>
        <v>1</v>
      </c>
      <c r="O181" s="119">
        <f t="shared" ref="O181" si="433">S174</f>
        <v>1</v>
      </c>
      <c r="P181" s="122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</row>
    <row r="182" spans="1:57" x14ac:dyDescent="0.25">
      <c r="A182" s="21"/>
      <c r="B182" s="64"/>
      <c r="C182" s="75">
        <v>16</v>
      </c>
      <c r="D182" s="74">
        <v>17</v>
      </c>
      <c r="E182" s="74">
        <v>18</v>
      </c>
      <c r="F182" s="74">
        <v>19</v>
      </c>
      <c r="G182" s="74">
        <v>20</v>
      </c>
      <c r="H182" s="73">
        <v>21</v>
      </c>
      <c r="I182" s="122"/>
      <c r="J182" s="118">
        <f t="shared" ref="J182" si="434">R174</f>
        <v>1</v>
      </c>
      <c r="K182" s="69">
        <f t="shared" ref="K182" si="435">S174</f>
        <v>1</v>
      </c>
      <c r="L182" s="69">
        <f t="shared" ref="L182" si="436">T174</f>
        <v>0</v>
      </c>
      <c r="M182" s="69">
        <f t="shared" ref="M182" si="437">U174</f>
        <v>1</v>
      </c>
      <c r="N182" s="69">
        <f t="shared" ref="N182" si="438">V174</f>
        <v>1</v>
      </c>
      <c r="O182" s="119">
        <f t="shared" ref="O182" si="439">W174</f>
        <v>1</v>
      </c>
      <c r="P182" s="122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</row>
    <row r="183" spans="1:57" x14ac:dyDescent="0.25">
      <c r="A183" s="21"/>
      <c r="B183" s="64"/>
      <c r="C183" s="75">
        <v>20</v>
      </c>
      <c r="D183" s="74">
        <v>21</v>
      </c>
      <c r="E183" s="74">
        <v>22</v>
      </c>
      <c r="F183" s="74">
        <v>23</v>
      </c>
      <c r="G183" s="74">
        <v>24</v>
      </c>
      <c r="H183" s="73">
        <v>25</v>
      </c>
      <c r="I183" s="122"/>
      <c r="J183" s="118">
        <f t="shared" ref="J183" si="440">V174</f>
        <v>1</v>
      </c>
      <c r="K183" s="69">
        <f t="shared" ref="K183" si="441">W174</f>
        <v>1</v>
      </c>
      <c r="L183" s="69">
        <f t="shared" ref="L183" si="442">X174</f>
        <v>0</v>
      </c>
      <c r="M183" s="69">
        <f t="shared" ref="M183" si="443">Y174</f>
        <v>1</v>
      </c>
      <c r="N183" s="69">
        <f t="shared" ref="N183" si="444">Z174</f>
        <v>0</v>
      </c>
      <c r="O183" s="119">
        <f t="shared" ref="O183" si="445">AA174</f>
        <v>0</v>
      </c>
      <c r="P183" s="122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</row>
    <row r="184" spans="1:57" x14ac:dyDescent="0.25">
      <c r="A184" s="21"/>
      <c r="B184" s="64"/>
      <c r="C184" s="75">
        <v>24</v>
      </c>
      <c r="D184" s="74">
        <v>25</v>
      </c>
      <c r="E184" s="74">
        <v>26</v>
      </c>
      <c r="F184" s="74">
        <v>27</v>
      </c>
      <c r="G184" s="74">
        <v>28</v>
      </c>
      <c r="H184" s="73">
        <v>29</v>
      </c>
      <c r="I184" s="122"/>
      <c r="J184" s="118">
        <f t="shared" ref="J184" si="446">Z174</f>
        <v>0</v>
      </c>
      <c r="K184" s="69">
        <f t="shared" ref="K184" si="447">AA174</f>
        <v>0</v>
      </c>
      <c r="L184" s="69">
        <f t="shared" ref="L184" si="448">AB174</f>
        <v>0</v>
      </c>
      <c r="M184" s="69">
        <f t="shared" ref="M184" si="449">AC174</f>
        <v>0</v>
      </c>
      <c r="N184" s="69">
        <f t="shared" ref="N184" si="450">AD174</f>
        <v>1</v>
      </c>
      <c r="O184" s="119">
        <f t="shared" ref="O184" si="451">AE174</f>
        <v>0</v>
      </c>
      <c r="P184" s="122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</row>
    <row r="185" spans="1:57" x14ac:dyDescent="0.25">
      <c r="A185" s="21"/>
      <c r="B185" s="64"/>
      <c r="C185" s="75">
        <v>28</v>
      </c>
      <c r="D185" s="74">
        <v>29</v>
      </c>
      <c r="E185" s="74">
        <v>30</v>
      </c>
      <c r="F185" s="74">
        <v>31</v>
      </c>
      <c r="G185" s="74">
        <v>32</v>
      </c>
      <c r="H185" s="73">
        <v>1</v>
      </c>
      <c r="I185" s="122"/>
      <c r="J185" s="70">
        <f>AD174</f>
        <v>1</v>
      </c>
      <c r="K185" s="71">
        <f>AE174</f>
        <v>0</v>
      </c>
      <c r="L185" s="71">
        <f>AF174</f>
        <v>0</v>
      </c>
      <c r="M185" s="71">
        <f>AG174</f>
        <v>1</v>
      </c>
      <c r="N185" s="71">
        <f>AH174</f>
        <v>1</v>
      </c>
      <c r="O185" s="121">
        <f>C174</f>
        <v>0</v>
      </c>
      <c r="P185" s="122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</row>
    <row r="186" spans="1:57" x14ac:dyDescent="0.25">
      <c r="A186" s="21"/>
      <c r="B186" s="64"/>
      <c r="C186" s="62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</row>
    <row r="187" spans="1:57" x14ac:dyDescent="0.25">
      <c r="A187" s="21"/>
      <c r="B187" s="64"/>
      <c r="C187" s="62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</row>
    <row r="188" spans="1:57" x14ac:dyDescent="0.25">
      <c r="A188" s="124" t="s">
        <v>533</v>
      </c>
      <c r="B188" s="124"/>
      <c r="C188" s="125">
        <v>1</v>
      </c>
      <c r="D188" s="126">
        <v>2</v>
      </c>
      <c r="E188" s="125">
        <v>3</v>
      </c>
      <c r="F188" s="126">
        <v>4</v>
      </c>
      <c r="G188" s="125">
        <v>5</v>
      </c>
      <c r="H188" s="126">
        <v>6</v>
      </c>
      <c r="I188" s="125">
        <v>7</v>
      </c>
      <c r="J188" s="126">
        <v>8</v>
      </c>
      <c r="K188" s="125">
        <v>9</v>
      </c>
      <c r="L188" s="126">
        <v>10</v>
      </c>
      <c r="M188" s="125">
        <v>11</v>
      </c>
      <c r="N188" s="126">
        <v>12</v>
      </c>
      <c r="O188" s="125">
        <v>13</v>
      </c>
      <c r="P188" s="126">
        <v>14</v>
      </c>
      <c r="Q188" s="125">
        <v>15</v>
      </c>
      <c r="R188" s="126">
        <v>16</v>
      </c>
      <c r="S188" s="125">
        <v>17</v>
      </c>
      <c r="T188" s="126">
        <v>18</v>
      </c>
      <c r="U188" s="125">
        <v>19</v>
      </c>
      <c r="V188" s="126">
        <v>20</v>
      </c>
      <c r="W188" s="125">
        <v>21</v>
      </c>
      <c r="X188" s="126">
        <v>22</v>
      </c>
      <c r="Y188" s="125">
        <v>23</v>
      </c>
      <c r="Z188" s="126">
        <v>24</v>
      </c>
      <c r="AA188" s="125">
        <v>25</v>
      </c>
      <c r="AB188" s="126">
        <v>26</v>
      </c>
      <c r="AC188" s="125">
        <v>27</v>
      </c>
      <c r="AD188" s="126">
        <v>28</v>
      </c>
      <c r="AE188" s="125">
        <v>29</v>
      </c>
      <c r="AF188" s="126">
        <v>30</v>
      </c>
      <c r="AG188" s="125">
        <v>31</v>
      </c>
      <c r="AH188" s="126">
        <v>32</v>
      </c>
      <c r="AI188" s="125">
        <v>33</v>
      </c>
      <c r="AJ188" s="126">
        <v>34</v>
      </c>
      <c r="AK188" s="125">
        <v>35</v>
      </c>
      <c r="AL188" s="126">
        <v>36</v>
      </c>
      <c r="AM188" s="125">
        <v>37</v>
      </c>
      <c r="AN188" s="126">
        <v>38</v>
      </c>
      <c r="AO188" s="125">
        <v>39</v>
      </c>
      <c r="AP188" s="126">
        <v>40</v>
      </c>
      <c r="AQ188" s="125">
        <v>41</v>
      </c>
      <c r="AR188" s="126">
        <v>42</v>
      </c>
      <c r="AS188" s="125">
        <v>43</v>
      </c>
      <c r="AT188" s="126">
        <v>44</v>
      </c>
      <c r="AU188" s="125">
        <v>45</v>
      </c>
      <c r="AV188" s="126">
        <v>46</v>
      </c>
      <c r="AW188" s="125">
        <v>47</v>
      </c>
      <c r="AX188" s="126">
        <v>48</v>
      </c>
      <c r="AY188" s="21"/>
      <c r="AZ188" s="21"/>
      <c r="BA188" s="21"/>
      <c r="BB188" s="21"/>
      <c r="BC188" s="21"/>
      <c r="BD188" s="21"/>
      <c r="BE188" s="21"/>
    </row>
    <row r="189" spans="1:57" x14ac:dyDescent="0.25">
      <c r="A189" s="21"/>
      <c r="B189" s="64"/>
      <c r="C189" s="125">
        <f t="shared" ref="C189" si="452">J178</f>
        <v>1</v>
      </c>
      <c r="D189" s="125">
        <f t="shared" ref="D189" si="453">K178</f>
        <v>0</v>
      </c>
      <c r="E189" s="125">
        <f t="shared" ref="E189" si="454">L178</f>
        <v>1</v>
      </c>
      <c r="F189" s="125">
        <f t="shared" ref="F189" si="455">M178</f>
        <v>0</v>
      </c>
      <c r="G189" s="126">
        <f t="shared" ref="G189" si="456">N178</f>
        <v>0</v>
      </c>
      <c r="H189" s="126">
        <f t="shared" ref="H189" si="457">O178</f>
        <v>0</v>
      </c>
      <c r="I189" s="125">
        <f t="shared" ref="I189" si="458">J179</f>
        <v>0</v>
      </c>
      <c r="J189" s="125">
        <f t="shared" ref="J189" si="459">K179</f>
        <v>0</v>
      </c>
      <c r="K189" s="125">
        <f t="shared" ref="K189" si="460">L179</f>
        <v>1</v>
      </c>
      <c r="L189" s="125">
        <f t="shared" ref="L189" si="461">M179</f>
        <v>1</v>
      </c>
      <c r="M189" s="125">
        <f t="shared" ref="M189" si="462">N179</f>
        <v>0</v>
      </c>
      <c r="N189" s="125">
        <f t="shared" ref="N189" si="463">O179</f>
        <v>0</v>
      </c>
      <c r="O189" s="126">
        <f t="shared" ref="O189" si="464">J180</f>
        <v>0</v>
      </c>
      <c r="P189" s="126">
        <f t="shared" ref="P189" si="465">K180</f>
        <v>0</v>
      </c>
      <c r="Q189" s="126">
        <f t="shared" ref="Q189" si="466">L180</f>
        <v>1</v>
      </c>
      <c r="R189" s="126">
        <f t="shared" ref="R189" si="467">M180</f>
        <v>0</v>
      </c>
      <c r="S189" s="126">
        <f t="shared" ref="S189" si="468">N180</f>
        <v>1</v>
      </c>
      <c r="T189" s="126">
        <f t="shared" ref="T189" si="469">O180</f>
        <v>1</v>
      </c>
      <c r="U189" s="125">
        <f t="shared" ref="U189" si="470">J181</f>
        <v>1</v>
      </c>
      <c r="V189" s="126">
        <f t="shared" ref="V189" si="471">K181</f>
        <v>1</v>
      </c>
      <c r="W189" s="125">
        <f t="shared" ref="W189" si="472">L181</f>
        <v>1</v>
      </c>
      <c r="X189" s="126">
        <f t="shared" ref="X189" si="473">M181</f>
        <v>1</v>
      </c>
      <c r="Y189" s="125">
        <f t="shared" ref="Y189" si="474">N181</f>
        <v>1</v>
      </c>
      <c r="Z189" s="126">
        <f t="shared" ref="Z189" si="475">O181</f>
        <v>1</v>
      </c>
      <c r="AA189" s="125">
        <f t="shared" ref="AA189" si="476">J182</f>
        <v>1</v>
      </c>
      <c r="AB189" s="126">
        <f t="shared" ref="AB189" si="477">K182</f>
        <v>1</v>
      </c>
      <c r="AC189" s="125">
        <f t="shared" ref="AC189" si="478">L182</f>
        <v>0</v>
      </c>
      <c r="AD189" s="126">
        <f t="shared" ref="AD189" si="479">M182</f>
        <v>1</v>
      </c>
      <c r="AE189" s="125">
        <f t="shared" ref="AE189" si="480">N182</f>
        <v>1</v>
      </c>
      <c r="AF189" s="126">
        <f t="shared" ref="AF189" si="481">O182</f>
        <v>1</v>
      </c>
      <c r="AG189" s="125">
        <f t="shared" ref="AG189" si="482">J183</f>
        <v>1</v>
      </c>
      <c r="AH189" s="126">
        <f t="shared" ref="AH189" si="483">K183</f>
        <v>1</v>
      </c>
      <c r="AI189" s="125">
        <f t="shared" ref="AI189" si="484">L183</f>
        <v>0</v>
      </c>
      <c r="AJ189" s="126">
        <f t="shared" ref="AJ189" si="485">M183</f>
        <v>1</v>
      </c>
      <c r="AK189" s="125">
        <f t="shared" ref="AK189" si="486">N183</f>
        <v>0</v>
      </c>
      <c r="AL189" s="126">
        <f t="shared" ref="AL189" si="487">O183</f>
        <v>0</v>
      </c>
      <c r="AM189" s="125">
        <f t="shared" ref="AM189" si="488">J184</f>
        <v>0</v>
      </c>
      <c r="AN189" s="126">
        <f t="shared" ref="AN189" si="489">K184</f>
        <v>0</v>
      </c>
      <c r="AO189" s="125">
        <f t="shared" ref="AO189" si="490">L184</f>
        <v>0</v>
      </c>
      <c r="AP189" s="126">
        <f t="shared" ref="AP189" si="491">M184</f>
        <v>0</v>
      </c>
      <c r="AQ189" s="125">
        <f t="shared" ref="AQ189" si="492">N184</f>
        <v>1</v>
      </c>
      <c r="AR189" s="126">
        <f t="shared" ref="AR189" si="493">O184</f>
        <v>0</v>
      </c>
      <c r="AS189" s="125">
        <f t="shared" ref="AS189" si="494">J185</f>
        <v>1</v>
      </c>
      <c r="AT189" s="126">
        <f t="shared" ref="AT189" si="495">K185</f>
        <v>0</v>
      </c>
      <c r="AU189" s="125">
        <f t="shared" ref="AU189" si="496">L185</f>
        <v>0</v>
      </c>
      <c r="AV189" s="126">
        <f t="shared" ref="AV189" si="497">M185</f>
        <v>1</v>
      </c>
      <c r="AW189" s="125">
        <f t="shared" ref="AW189" si="498">N185</f>
        <v>1</v>
      </c>
      <c r="AX189" s="126">
        <f t="shared" ref="AX189" si="499">O185</f>
        <v>0</v>
      </c>
      <c r="AY189" s="21"/>
      <c r="AZ189" s="21"/>
      <c r="BA189" s="21"/>
      <c r="BB189" s="21"/>
      <c r="BC189" s="21"/>
      <c r="BD189" s="21"/>
      <c r="BE189" s="21"/>
    </row>
    <row r="190" spans="1:57" x14ac:dyDescent="0.25">
      <c r="A190" s="21"/>
      <c r="B190" s="64"/>
      <c r="C190" s="62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</row>
    <row r="191" spans="1:57" x14ac:dyDescent="0.25">
      <c r="A191" s="21"/>
      <c r="B191" s="64"/>
      <c r="C191" s="62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</row>
    <row r="192" spans="1:57" x14ac:dyDescent="0.25">
      <c r="A192" s="127" t="s">
        <v>618</v>
      </c>
      <c r="B192" s="127"/>
      <c r="C192" s="77">
        <f>'Key Generator'!D479</f>
        <v>1</v>
      </c>
      <c r="D192" s="77">
        <f>'Key Generator'!E479</f>
        <v>2</v>
      </c>
      <c r="E192" s="77">
        <f>'Key Generator'!F479</f>
        <v>3</v>
      </c>
      <c r="F192" s="77">
        <f>'Key Generator'!G479</f>
        <v>4</v>
      </c>
      <c r="G192" s="77">
        <f>'Key Generator'!H479</f>
        <v>5</v>
      </c>
      <c r="H192" s="77">
        <f>'Key Generator'!I479</f>
        <v>6</v>
      </c>
      <c r="I192" s="77">
        <f>'Key Generator'!J479</f>
        <v>7</v>
      </c>
      <c r="J192" s="77">
        <f>'Key Generator'!K479</f>
        <v>8</v>
      </c>
      <c r="K192" s="77">
        <f>'Key Generator'!L479</f>
        <v>9</v>
      </c>
      <c r="L192" s="77">
        <f>'Key Generator'!M479</f>
        <v>10</v>
      </c>
      <c r="M192" s="77">
        <f>'Key Generator'!N479</f>
        <v>11</v>
      </c>
      <c r="N192" s="77">
        <f>'Key Generator'!O479</f>
        <v>12</v>
      </c>
      <c r="O192" s="77">
        <f>'Key Generator'!P479</f>
        <v>13</v>
      </c>
      <c r="P192" s="77">
        <f>'Key Generator'!Q479</f>
        <v>14</v>
      </c>
      <c r="Q192" s="77">
        <f>'Key Generator'!R479</f>
        <v>15</v>
      </c>
      <c r="R192" s="77">
        <f>'Key Generator'!S479</f>
        <v>16</v>
      </c>
      <c r="S192" s="77">
        <f>'Key Generator'!T479</f>
        <v>17</v>
      </c>
      <c r="T192" s="77">
        <f>'Key Generator'!U479</f>
        <v>18</v>
      </c>
      <c r="U192" s="77">
        <f>'Key Generator'!V479</f>
        <v>19</v>
      </c>
      <c r="V192" s="77">
        <f>'Key Generator'!W479</f>
        <v>20</v>
      </c>
      <c r="W192" s="77">
        <f>'Key Generator'!X479</f>
        <v>21</v>
      </c>
      <c r="X192" s="77">
        <f>'Key Generator'!Y479</f>
        <v>22</v>
      </c>
      <c r="Y192" s="77">
        <f>'Key Generator'!Z479</f>
        <v>23</v>
      </c>
      <c r="Z192" s="77">
        <f>'Key Generator'!AA479</f>
        <v>24</v>
      </c>
      <c r="AA192" s="77">
        <f>'Key Generator'!AB479</f>
        <v>25</v>
      </c>
      <c r="AB192" s="77">
        <f>'Key Generator'!AC479</f>
        <v>26</v>
      </c>
      <c r="AC192" s="77">
        <f>'Key Generator'!AD479</f>
        <v>27</v>
      </c>
      <c r="AD192" s="77">
        <f>'Key Generator'!AE479</f>
        <v>28</v>
      </c>
      <c r="AE192" s="77">
        <f>'Key Generator'!AF479</f>
        <v>29</v>
      </c>
      <c r="AF192" s="77">
        <f>'Key Generator'!AG479</f>
        <v>30</v>
      </c>
      <c r="AG192" s="77">
        <f>'Key Generator'!AH479</f>
        <v>31</v>
      </c>
      <c r="AH192" s="77">
        <f>'Key Generator'!AI479</f>
        <v>32</v>
      </c>
      <c r="AI192" s="77">
        <f>'Key Generator'!AJ479</f>
        <v>33</v>
      </c>
      <c r="AJ192" s="77">
        <f>'Key Generator'!AK479</f>
        <v>34</v>
      </c>
      <c r="AK192" s="77">
        <f>'Key Generator'!AL479</f>
        <v>35</v>
      </c>
      <c r="AL192" s="77">
        <f>'Key Generator'!AM479</f>
        <v>36</v>
      </c>
      <c r="AM192" s="77">
        <f>'Key Generator'!AN479</f>
        <v>37</v>
      </c>
      <c r="AN192" s="77">
        <f>'Key Generator'!AO479</f>
        <v>38</v>
      </c>
      <c r="AO192" s="77">
        <f>'Key Generator'!AP479</f>
        <v>39</v>
      </c>
      <c r="AP192" s="77">
        <f>'Key Generator'!AQ479</f>
        <v>40</v>
      </c>
      <c r="AQ192" s="77">
        <f>'Key Generator'!AR479</f>
        <v>41</v>
      </c>
      <c r="AR192" s="77">
        <f>'Key Generator'!AS479</f>
        <v>42</v>
      </c>
      <c r="AS192" s="77">
        <f>'Key Generator'!AT479</f>
        <v>43</v>
      </c>
      <c r="AT192" s="77">
        <f>'Key Generator'!AU479</f>
        <v>44</v>
      </c>
      <c r="AU192" s="77">
        <f>'Key Generator'!AV479</f>
        <v>45</v>
      </c>
      <c r="AV192" s="77">
        <f>'Key Generator'!AW479</f>
        <v>46</v>
      </c>
      <c r="AW192" s="77">
        <f>'Key Generator'!AX479</f>
        <v>47</v>
      </c>
      <c r="AX192" s="77">
        <f>'Key Generator'!AY479</f>
        <v>48</v>
      </c>
      <c r="AY192" s="21"/>
      <c r="AZ192" s="21"/>
      <c r="BA192" s="21"/>
      <c r="BB192" s="21"/>
      <c r="BC192" s="21"/>
      <c r="BD192" s="21"/>
      <c r="BE192" s="21"/>
    </row>
    <row r="193" spans="1:57" x14ac:dyDescent="0.25">
      <c r="A193" s="21"/>
      <c r="B193" s="64"/>
      <c r="C193" s="77">
        <f>'Key Generator'!D480</f>
        <v>0</v>
      </c>
      <c r="D193" s="77">
        <f>'Key Generator'!E480</f>
        <v>0</v>
      </c>
      <c r="E193" s="77">
        <f>'Key Generator'!F480</f>
        <v>0</v>
      </c>
      <c r="F193" s="77">
        <f>'Key Generator'!G480</f>
        <v>1</v>
      </c>
      <c r="G193" s="77">
        <f>'Key Generator'!H480</f>
        <v>0</v>
      </c>
      <c r="H193" s="77">
        <f>'Key Generator'!I480</f>
        <v>1</v>
      </c>
      <c r="I193" s="77">
        <f>'Key Generator'!J480</f>
        <v>0</v>
      </c>
      <c r="J193" s="77">
        <f>'Key Generator'!K480</f>
        <v>0</v>
      </c>
      <c r="K193" s="77">
        <f>'Key Generator'!L480</f>
        <v>0</v>
      </c>
      <c r="L193" s="77">
        <f>'Key Generator'!M480</f>
        <v>0</v>
      </c>
      <c r="M193" s="77">
        <f>'Key Generator'!N480</f>
        <v>1</v>
      </c>
      <c r="N193" s="77">
        <f>'Key Generator'!O480</f>
        <v>0</v>
      </c>
      <c r="O193" s="77">
        <f>'Key Generator'!P480</f>
        <v>1</v>
      </c>
      <c r="P193" s="77">
        <f>'Key Generator'!Q480</f>
        <v>1</v>
      </c>
      <c r="Q193" s="77">
        <f>'Key Generator'!R480</f>
        <v>0</v>
      </c>
      <c r="R193" s="77">
        <f>'Key Generator'!S480</f>
        <v>0</v>
      </c>
      <c r="S193" s="77">
        <f>'Key Generator'!T480</f>
        <v>0</v>
      </c>
      <c r="T193" s="77">
        <f>'Key Generator'!U480</f>
        <v>0</v>
      </c>
      <c r="U193" s="77">
        <f>'Key Generator'!V480</f>
        <v>0</v>
      </c>
      <c r="V193" s="77">
        <f>'Key Generator'!W480</f>
        <v>0</v>
      </c>
      <c r="W193" s="77">
        <f>'Key Generator'!X480</f>
        <v>0</v>
      </c>
      <c r="X193" s="77">
        <f>'Key Generator'!Y480</f>
        <v>1</v>
      </c>
      <c r="Y193" s="77">
        <f>'Key Generator'!Z480</f>
        <v>1</v>
      </c>
      <c r="Z193" s="77">
        <f>'Key Generator'!AA480</f>
        <v>0</v>
      </c>
      <c r="AA193" s="77">
        <f>'Key Generator'!AB480</f>
        <v>1</v>
      </c>
      <c r="AB193" s="77">
        <f>'Key Generator'!AC480</f>
        <v>0</v>
      </c>
      <c r="AC193" s="77">
        <f>'Key Generator'!AD480</f>
        <v>0</v>
      </c>
      <c r="AD193" s="77">
        <f>'Key Generator'!AE480</f>
        <v>1</v>
      </c>
      <c r="AE193" s="77">
        <f>'Key Generator'!AF480</f>
        <v>1</v>
      </c>
      <c r="AF193" s="77">
        <f>'Key Generator'!AG480</f>
        <v>0</v>
      </c>
      <c r="AG193" s="77">
        <f>'Key Generator'!AH480</f>
        <v>1</v>
      </c>
      <c r="AH193" s="77">
        <f>'Key Generator'!AI480</f>
        <v>0</v>
      </c>
      <c r="AI193" s="77">
        <f>'Key Generator'!AJ480</f>
        <v>1</v>
      </c>
      <c r="AJ193" s="77">
        <f>'Key Generator'!AK480</f>
        <v>1</v>
      </c>
      <c r="AK193" s="77">
        <f>'Key Generator'!AL480</f>
        <v>0</v>
      </c>
      <c r="AL193" s="77">
        <f>'Key Generator'!AM480</f>
        <v>0</v>
      </c>
      <c r="AM193" s="77">
        <f>'Key Generator'!AN480</f>
        <v>1</v>
      </c>
      <c r="AN193" s="77">
        <f>'Key Generator'!AO480</f>
        <v>0</v>
      </c>
      <c r="AO193" s="77">
        <f>'Key Generator'!AP480</f>
        <v>1</v>
      </c>
      <c r="AP193" s="77">
        <f>'Key Generator'!AQ480</f>
        <v>0</v>
      </c>
      <c r="AQ193" s="77">
        <f>'Key Generator'!AR480</f>
        <v>0</v>
      </c>
      <c r="AR193" s="77">
        <f>'Key Generator'!AS480</f>
        <v>1</v>
      </c>
      <c r="AS193" s="77">
        <f>'Key Generator'!AT480</f>
        <v>0</v>
      </c>
      <c r="AT193" s="77">
        <f>'Key Generator'!AU480</f>
        <v>1</v>
      </c>
      <c r="AU193" s="77">
        <f>'Key Generator'!AV480</f>
        <v>1</v>
      </c>
      <c r="AV193" s="77">
        <f>'Key Generator'!AW480</f>
        <v>0</v>
      </c>
      <c r="AW193" s="77">
        <f>'Key Generator'!AX480</f>
        <v>1</v>
      </c>
      <c r="AX193" s="77">
        <f>'Key Generator'!AY480</f>
        <v>1</v>
      </c>
      <c r="AY193" s="21"/>
      <c r="AZ193" s="21"/>
      <c r="BA193" s="21"/>
      <c r="BB193" s="21"/>
      <c r="BC193" s="21"/>
      <c r="BD193" s="21"/>
      <c r="BE193" s="21"/>
    </row>
    <row r="194" spans="1:57" x14ac:dyDescent="0.25">
      <c r="A194" s="21"/>
      <c r="B194" s="64"/>
      <c r="C194" s="62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</row>
    <row r="195" spans="1:57" x14ac:dyDescent="0.25">
      <c r="A195" s="21"/>
      <c r="B195" s="64"/>
      <c r="C195" s="62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</row>
    <row r="196" spans="1:57" x14ac:dyDescent="0.25">
      <c r="A196" s="128" t="s">
        <v>535</v>
      </c>
      <c r="B196" s="129"/>
      <c r="C196" s="79">
        <v>1</v>
      </c>
      <c r="D196" s="80">
        <v>2</v>
      </c>
      <c r="E196" s="79">
        <v>3</v>
      </c>
      <c r="F196" s="80">
        <v>4</v>
      </c>
      <c r="G196" s="79">
        <v>5</v>
      </c>
      <c r="H196" s="80">
        <v>6</v>
      </c>
      <c r="I196" s="79">
        <v>7</v>
      </c>
      <c r="J196" s="80">
        <v>8</v>
      </c>
      <c r="K196" s="79">
        <v>9</v>
      </c>
      <c r="L196" s="80">
        <v>10</v>
      </c>
      <c r="M196" s="79">
        <v>11</v>
      </c>
      <c r="N196" s="80">
        <v>12</v>
      </c>
      <c r="O196" s="79">
        <v>13</v>
      </c>
      <c r="P196" s="80">
        <v>14</v>
      </c>
      <c r="Q196" s="79">
        <v>15</v>
      </c>
      <c r="R196" s="80">
        <v>16</v>
      </c>
      <c r="S196" s="79">
        <v>17</v>
      </c>
      <c r="T196" s="80">
        <v>18</v>
      </c>
      <c r="U196" s="79">
        <v>19</v>
      </c>
      <c r="V196" s="80">
        <v>20</v>
      </c>
      <c r="W196" s="79">
        <v>21</v>
      </c>
      <c r="X196" s="80">
        <v>22</v>
      </c>
      <c r="Y196" s="79">
        <v>23</v>
      </c>
      <c r="Z196" s="80">
        <v>24</v>
      </c>
      <c r="AA196" s="79">
        <v>25</v>
      </c>
      <c r="AB196" s="80">
        <v>26</v>
      </c>
      <c r="AC196" s="79">
        <v>27</v>
      </c>
      <c r="AD196" s="80">
        <v>28</v>
      </c>
      <c r="AE196" s="79">
        <v>29</v>
      </c>
      <c r="AF196" s="80">
        <v>30</v>
      </c>
      <c r="AG196" s="79">
        <v>31</v>
      </c>
      <c r="AH196" s="80">
        <v>32</v>
      </c>
      <c r="AI196" s="79">
        <v>33</v>
      </c>
      <c r="AJ196" s="80">
        <v>34</v>
      </c>
      <c r="AK196" s="79">
        <v>35</v>
      </c>
      <c r="AL196" s="80">
        <v>36</v>
      </c>
      <c r="AM196" s="79">
        <v>37</v>
      </c>
      <c r="AN196" s="80">
        <v>38</v>
      </c>
      <c r="AO196" s="79">
        <v>39</v>
      </c>
      <c r="AP196" s="80">
        <v>40</v>
      </c>
      <c r="AQ196" s="79">
        <v>41</v>
      </c>
      <c r="AR196" s="80">
        <v>42</v>
      </c>
      <c r="AS196" s="79">
        <v>43</v>
      </c>
      <c r="AT196" s="80">
        <v>44</v>
      </c>
      <c r="AU196" s="79">
        <v>45</v>
      </c>
      <c r="AV196" s="80">
        <v>46</v>
      </c>
      <c r="AW196" s="79">
        <v>47</v>
      </c>
      <c r="AX196" s="80">
        <v>48</v>
      </c>
      <c r="AY196" s="21"/>
      <c r="AZ196" s="21"/>
      <c r="BA196" s="21"/>
      <c r="BB196" s="21"/>
      <c r="BC196" s="21"/>
      <c r="BD196" s="21"/>
      <c r="BE196" s="21"/>
    </row>
    <row r="197" spans="1:57" x14ac:dyDescent="0.25">
      <c r="A197" s="21"/>
      <c r="B197" s="64"/>
      <c r="C197" s="88">
        <f>--_xlfn.XOR(C189,'Key Generator'!D480)</f>
        <v>1</v>
      </c>
      <c r="D197" s="88">
        <f>--_xlfn.XOR(D189,'Key Generator'!E480)</f>
        <v>0</v>
      </c>
      <c r="E197" s="88">
        <f>--_xlfn.XOR(E189,'Key Generator'!F480)</f>
        <v>1</v>
      </c>
      <c r="F197" s="88">
        <f>--_xlfn.XOR(F189,'Key Generator'!G480)</f>
        <v>1</v>
      </c>
      <c r="G197" s="88">
        <f>--_xlfn.XOR(G189,'Key Generator'!H480)</f>
        <v>0</v>
      </c>
      <c r="H197" s="88">
        <f>--_xlfn.XOR(H189,'Key Generator'!I480)</f>
        <v>1</v>
      </c>
      <c r="I197" s="87">
        <f>--_xlfn.XOR(I189,'Key Generator'!J480)</f>
        <v>0</v>
      </c>
      <c r="J197" s="87">
        <f>--_xlfn.XOR(J189,'Key Generator'!K480)</f>
        <v>0</v>
      </c>
      <c r="K197" s="87">
        <f>--_xlfn.XOR(K189,'Key Generator'!L480)</f>
        <v>1</v>
      </c>
      <c r="L197" s="87">
        <f>--_xlfn.XOR(L189,'Key Generator'!M480)</f>
        <v>1</v>
      </c>
      <c r="M197" s="87">
        <f>--_xlfn.XOR(M189,'Key Generator'!N480)</f>
        <v>1</v>
      </c>
      <c r="N197" s="87">
        <f>--_xlfn.XOR(N189,'Key Generator'!O480)</f>
        <v>0</v>
      </c>
      <c r="O197" s="89">
        <f>--_xlfn.XOR(O189,'Key Generator'!P480)</f>
        <v>1</v>
      </c>
      <c r="P197" s="89">
        <f>--_xlfn.XOR(P189,'Key Generator'!Q480)</f>
        <v>1</v>
      </c>
      <c r="Q197" s="89">
        <f>--_xlfn.XOR(Q189,'Key Generator'!R480)</f>
        <v>1</v>
      </c>
      <c r="R197" s="89">
        <f>--_xlfn.XOR(R189,'Key Generator'!S480)</f>
        <v>0</v>
      </c>
      <c r="S197" s="89">
        <f>--_xlfn.XOR(S189,'Key Generator'!T480)</f>
        <v>1</v>
      </c>
      <c r="T197" s="89">
        <f>--_xlfn.XOR(T189,'Key Generator'!U480)</f>
        <v>1</v>
      </c>
      <c r="U197" s="149">
        <f>--_xlfn.XOR(U189,'Key Generator'!V480)</f>
        <v>1</v>
      </c>
      <c r="V197" s="149">
        <f>--_xlfn.XOR(V189,'Key Generator'!W480)</f>
        <v>1</v>
      </c>
      <c r="W197" s="149">
        <f>--_xlfn.XOR(W189,'Key Generator'!X480)</f>
        <v>1</v>
      </c>
      <c r="X197" s="149">
        <f>--_xlfn.XOR(X189,'Key Generator'!Y480)</f>
        <v>0</v>
      </c>
      <c r="Y197" s="149">
        <f>--_xlfn.XOR(Y189,'Key Generator'!Z480)</f>
        <v>0</v>
      </c>
      <c r="Z197" s="149">
        <f>--_xlfn.XOR(Z189,'Key Generator'!AA480)</f>
        <v>1</v>
      </c>
      <c r="AA197" s="91">
        <f>--_xlfn.XOR(AA189,'Key Generator'!AB480)</f>
        <v>0</v>
      </c>
      <c r="AB197" s="91">
        <f>--_xlfn.XOR(AB189,'Key Generator'!AC480)</f>
        <v>1</v>
      </c>
      <c r="AC197" s="91">
        <f>--_xlfn.XOR(AC189,'Key Generator'!AD480)</f>
        <v>0</v>
      </c>
      <c r="AD197" s="91">
        <f>--_xlfn.XOR(AD189,'Key Generator'!AE480)</f>
        <v>0</v>
      </c>
      <c r="AE197" s="91">
        <f>--_xlfn.XOR(AE189,'Key Generator'!AF480)</f>
        <v>0</v>
      </c>
      <c r="AF197" s="91">
        <f>--_xlfn.XOR(AF189,'Key Generator'!AG480)</f>
        <v>1</v>
      </c>
      <c r="AG197" s="92">
        <f>--_xlfn.XOR(AG189,'Key Generator'!AH480)</f>
        <v>0</v>
      </c>
      <c r="AH197" s="92">
        <f>--_xlfn.XOR(AH189,'Key Generator'!AI480)</f>
        <v>1</v>
      </c>
      <c r="AI197" s="92">
        <f>--_xlfn.XOR(AI189,'Key Generator'!AJ480)</f>
        <v>1</v>
      </c>
      <c r="AJ197" s="92">
        <f>--_xlfn.XOR(AJ189,'Key Generator'!AK480)</f>
        <v>0</v>
      </c>
      <c r="AK197" s="92">
        <f>--_xlfn.XOR(AK189,'Key Generator'!AL480)</f>
        <v>0</v>
      </c>
      <c r="AL197" s="92">
        <f>--_xlfn.XOR(AL189,'Key Generator'!AM480)</f>
        <v>0</v>
      </c>
      <c r="AM197" s="86">
        <f>--_xlfn.XOR(AM189,'Key Generator'!AN480)</f>
        <v>1</v>
      </c>
      <c r="AN197" s="86">
        <f>--_xlfn.XOR(AN189,'Key Generator'!AO480)</f>
        <v>0</v>
      </c>
      <c r="AO197" s="86">
        <f>--_xlfn.XOR(AO189,'Key Generator'!AP480)</f>
        <v>1</v>
      </c>
      <c r="AP197" s="86">
        <f>--_xlfn.XOR(AP189,'Key Generator'!AQ480)</f>
        <v>0</v>
      </c>
      <c r="AQ197" s="86">
        <f>--_xlfn.XOR(AQ189,'Key Generator'!AR480)</f>
        <v>1</v>
      </c>
      <c r="AR197" s="86">
        <f>--_xlfn.XOR(AR189,'Key Generator'!AS480)</f>
        <v>1</v>
      </c>
      <c r="AS197" s="81">
        <f>--_xlfn.XOR(AS189,'Key Generator'!AT480)</f>
        <v>1</v>
      </c>
      <c r="AT197" s="81">
        <f>--_xlfn.XOR(AT189,'Key Generator'!AU480)</f>
        <v>1</v>
      </c>
      <c r="AU197" s="81">
        <f>--_xlfn.XOR(AU189,'Key Generator'!AV480)</f>
        <v>1</v>
      </c>
      <c r="AV197" s="81">
        <f>--_xlfn.XOR(AV189,'Key Generator'!AW480)</f>
        <v>1</v>
      </c>
      <c r="AW197" s="81">
        <f>--_xlfn.XOR(AW189,'Key Generator'!AX480)</f>
        <v>0</v>
      </c>
      <c r="AX197" s="81">
        <f>--_xlfn.XOR(AX189,'Key Generator'!AY480)</f>
        <v>1</v>
      </c>
      <c r="AY197" s="21"/>
      <c r="AZ197" s="21"/>
      <c r="BA197" s="21"/>
      <c r="BB197" s="21"/>
      <c r="BC197" s="21"/>
      <c r="BD197" s="21"/>
      <c r="BE197" s="21"/>
    </row>
    <row r="198" spans="1:57" x14ac:dyDescent="0.25">
      <c r="A198" s="21"/>
      <c r="B198" s="64"/>
      <c r="C198" s="93"/>
      <c r="D198" s="94"/>
      <c r="E198" s="94"/>
      <c r="F198" s="94"/>
      <c r="G198" s="94"/>
      <c r="H198" s="94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</row>
    <row r="199" spans="1:57" x14ac:dyDescent="0.25">
      <c r="A199" s="96" t="s">
        <v>545</v>
      </c>
      <c r="B199" s="97"/>
      <c r="C199" s="161">
        <f>D197*8+E197*4+F197*2+G197</f>
        <v>6</v>
      </c>
      <c r="D199" s="97" t="s">
        <v>536</v>
      </c>
      <c r="E199" s="97"/>
      <c r="F199" s="97"/>
      <c r="G199" s="97"/>
      <c r="H199" s="97"/>
      <c r="I199" s="161">
        <f>J197*8+K197*4+L197*2+M197</f>
        <v>7</v>
      </c>
      <c r="J199" s="97" t="s">
        <v>537</v>
      </c>
      <c r="K199" s="97"/>
      <c r="L199" s="97"/>
      <c r="M199" s="97"/>
      <c r="N199" s="97"/>
      <c r="O199" s="161">
        <f>P197*8+Q197*4+R197*2+S197</f>
        <v>13</v>
      </c>
      <c r="P199" s="97" t="s">
        <v>538</v>
      </c>
      <c r="Q199" s="97"/>
      <c r="R199" s="97"/>
      <c r="S199" s="97"/>
      <c r="T199" s="97"/>
      <c r="U199" s="161">
        <f>V197*8+W197*4+X197*2+Y197</f>
        <v>12</v>
      </c>
      <c r="V199" s="97" t="s">
        <v>539</v>
      </c>
      <c r="W199" s="97"/>
      <c r="X199" s="97"/>
      <c r="Y199" s="97"/>
      <c r="Z199" s="97"/>
      <c r="AA199" s="161">
        <f>AB197*8+AC197*4+AD197*2+AE197</f>
        <v>8</v>
      </c>
      <c r="AB199" s="97" t="s">
        <v>540</v>
      </c>
      <c r="AC199" s="97"/>
      <c r="AD199" s="97"/>
      <c r="AE199" s="97"/>
      <c r="AF199" s="97"/>
      <c r="AG199" s="161">
        <f>AH197*8+AI197*4+AJ197*2+AK197</f>
        <v>12</v>
      </c>
      <c r="AH199" s="97" t="s">
        <v>541</v>
      </c>
      <c r="AI199" s="97"/>
      <c r="AJ199" s="97"/>
      <c r="AK199" s="97"/>
      <c r="AL199" s="97"/>
      <c r="AM199" s="161">
        <f>AN197*8+AO197*4+AP197*2+AQ197</f>
        <v>5</v>
      </c>
      <c r="AN199" s="97" t="s">
        <v>542</v>
      </c>
      <c r="AO199" s="97"/>
      <c r="AP199" s="97"/>
      <c r="AQ199" s="97"/>
      <c r="AR199" s="97"/>
      <c r="AS199" s="161">
        <f>AT197*8+AU197*4+AV197*2+AW197</f>
        <v>14</v>
      </c>
      <c r="AT199" s="97" t="s">
        <v>543</v>
      </c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</row>
    <row r="200" spans="1:57" x14ac:dyDescent="0.25">
      <c r="A200" s="100" t="s">
        <v>546</v>
      </c>
      <c r="B200" s="99"/>
      <c r="C200" s="87">
        <f>C197*2+H197</f>
        <v>3</v>
      </c>
      <c r="D200" s="98"/>
      <c r="E200" s="98"/>
      <c r="F200" s="99"/>
      <c r="G200" s="99"/>
      <c r="H200" s="99"/>
      <c r="I200" s="87">
        <f>I197*2+N197</f>
        <v>0</v>
      </c>
      <c r="J200" s="99"/>
      <c r="K200" s="99"/>
      <c r="L200" s="99"/>
      <c r="M200" s="99"/>
      <c r="N200" s="99"/>
      <c r="O200" s="87">
        <f>O197*2+T197</f>
        <v>3</v>
      </c>
      <c r="P200" s="99"/>
      <c r="Q200" s="99"/>
      <c r="R200" s="99"/>
      <c r="S200" s="99"/>
      <c r="T200" s="99"/>
      <c r="U200" s="87">
        <f>U197*2+Z197</f>
        <v>3</v>
      </c>
      <c r="V200" s="99"/>
      <c r="W200" s="99"/>
      <c r="X200" s="99"/>
      <c r="Y200" s="99"/>
      <c r="Z200" s="99"/>
      <c r="AA200" s="87">
        <f>AA197*2+AF197</f>
        <v>1</v>
      </c>
      <c r="AB200" s="99"/>
      <c r="AC200" s="99"/>
      <c r="AD200" s="99"/>
      <c r="AE200" s="99"/>
      <c r="AF200" s="99"/>
      <c r="AG200" s="87">
        <f>AG197*2+AL197</f>
        <v>0</v>
      </c>
      <c r="AH200" s="99"/>
      <c r="AI200" s="99"/>
      <c r="AJ200" s="99"/>
      <c r="AK200" s="99"/>
      <c r="AL200" s="99"/>
      <c r="AM200" s="87">
        <f>AM197*2+AR197</f>
        <v>3</v>
      </c>
      <c r="AN200" s="99"/>
      <c r="AO200" s="99"/>
      <c r="AP200" s="99"/>
      <c r="AQ200" s="99"/>
      <c r="AR200" s="99"/>
      <c r="AS200" s="87">
        <f>AS197*2+AX197</f>
        <v>3</v>
      </c>
      <c r="AT200" s="99"/>
      <c r="AU200" s="99"/>
      <c r="AV200" s="99"/>
      <c r="AW200" s="99"/>
      <c r="AX200" s="99"/>
      <c r="AY200" s="99"/>
      <c r="AZ200" s="99"/>
      <c r="BA200" s="99"/>
      <c r="BB200" s="99"/>
      <c r="BC200" s="99"/>
      <c r="BD200" s="99"/>
      <c r="BE200" s="99"/>
    </row>
    <row r="201" spans="1:57" x14ac:dyDescent="0.25">
      <c r="A201" s="21"/>
      <c r="B201" s="64"/>
      <c r="C201" s="62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</row>
    <row r="202" spans="1:57" x14ac:dyDescent="0.25">
      <c r="A202" s="117" t="s">
        <v>547</v>
      </c>
      <c r="B202" s="64"/>
      <c r="C202" s="72">
        <f>INDEX('S-Box'!D3:S6,'DES-Dec'!C200+1,'DES-Dec'!C199+1)</f>
        <v>1</v>
      </c>
      <c r="D202" s="21"/>
      <c r="E202" s="21"/>
      <c r="F202" s="21"/>
      <c r="G202" s="21"/>
      <c r="H202" s="21"/>
      <c r="I202" s="168">
        <f>INDEX('S-Box'!D9:S12,'DES-Dec'!I200+1,'DES-Dec'!I199+1)</f>
        <v>4</v>
      </c>
      <c r="J202" s="21"/>
      <c r="K202" s="21"/>
      <c r="L202" s="21"/>
      <c r="M202" s="21"/>
      <c r="N202" s="21"/>
      <c r="O202" s="168">
        <f>INDEX('S-Box'!D15:S18,'DES-Dec'!O200+1,'DES-Dec'!O199+1)</f>
        <v>5</v>
      </c>
      <c r="P202" s="21"/>
      <c r="Q202" s="21"/>
      <c r="R202" s="21"/>
      <c r="S202" s="21"/>
      <c r="T202" s="21"/>
      <c r="U202" s="168">
        <f>INDEX('S-Box'!D21:S24,'DES-Dec'!U200+1,'DES-Dec'!U199+1)</f>
        <v>12</v>
      </c>
      <c r="V202" s="21"/>
      <c r="W202" s="21"/>
      <c r="X202" s="21"/>
      <c r="Y202" s="21"/>
      <c r="Z202" s="21"/>
      <c r="AA202" s="168">
        <f>INDEX('S-Box'!D27:S30,'DES-Dec'!AA200+1,'DES-Dec'!AA199+1)</f>
        <v>5</v>
      </c>
      <c r="AB202" s="21"/>
      <c r="AC202" s="21"/>
      <c r="AD202" s="21"/>
      <c r="AE202" s="21"/>
      <c r="AF202" s="21"/>
      <c r="AG202" s="168">
        <f>INDEX('S-Box'!D33:S36,'DES-Dec'!AG200+1,'DES-Dec'!AG199+1)</f>
        <v>14</v>
      </c>
      <c r="AH202" s="21"/>
      <c r="AI202" s="21"/>
      <c r="AJ202" s="21"/>
      <c r="AK202" s="21"/>
      <c r="AL202" s="21"/>
      <c r="AM202" s="168">
        <f>INDEX('S-Box'!D39:S42,'DES-Dec'!AM200+1,'DES-Dec'!AM199+1)</f>
        <v>4</v>
      </c>
      <c r="AN202" s="21"/>
      <c r="AO202" s="21"/>
      <c r="AP202" s="21"/>
      <c r="AQ202" s="21"/>
      <c r="AR202" s="21"/>
      <c r="AS202" s="168">
        <f>INDEX('S-Box'!D45:S48,'DES-Dec'!AS200+1,'DES-Dec'!AS199+1)</f>
        <v>6</v>
      </c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</row>
    <row r="203" spans="1:57" x14ac:dyDescent="0.25">
      <c r="A203" s="21"/>
      <c r="B203" s="64"/>
      <c r="C203" s="104"/>
      <c r="D203" s="21"/>
      <c r="E203" s="21"/>
      <c r="F203" s="21"/>
      <c r="G203" s="21"/>
      <c r="H203" s="21"/>
      <c r="I203" s="95"/>
      <c r="J203" s="21"/>
      <c r="K203" s="21"/>
      <c r="L203" s="21"/>
      <c r="M203" s="21"/>
      <c r="N203" s="21"/>
      <c r="O203" s="95"/>
      <c r="P203" s="21"/>
      <c r="Q203" s="21"/>
      <c r="R203" s="21"/>
      <c r="S203" s="21"/>
      <c r="T203" s="21"/>
      <c r="U203" s="95"/>
      <c r="V203" s="21"/>
      <c r="W203" s="21"/>
      <c r="X203" s="21"/>
      <c r="Y203" s="21"/>
      <c r="Z203" s="21"/>
      <c r="AA203" s="95"/>
      <c r="AB203" s="21"/>
      <c r="AC203" s="21"/>
      <c r="AD203" s="21"/>
      <c r="AE203" s="21"/>
      <c r="AF203" s="21"/>
      <c r="AG203" s="95"/>
      <c r="AH203" s="21"/>
      <c r="AI203" s="21"/>
      <c r="AJ203" s="21"/>
      <c r="AK203" s="21"/>
      <c r="AL203" s="21"/>
      <c r="AM203" s="95"/>
      <c r="AN203" s="21"/>
      <c r="AO203" s="21"/>
      <c r="AP203" s="21"/>
      <c r="AQ203" s="21"/>
      <c r="AR203" s="21"/>
      <c r="AS203" s="95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</row>
    <row r="204" spans="1:57" x14ac:dyDescent="0.25">
      <c r="A204" s="21"/>
      <c r="B204" s="64"/>
      <c r="C204" s="105" t="str">
        <f>MID(DEC2BIN(C202,4),1,1)</f>
        <v>0</v>
      </c>
      <c r="D204" s="106" t="str">
        <f>MID(DEC2BIN(C202,4),2,1)</f>
        <v>0</v>
      </c>
      <c r="E204" s="106" t="str">
        <f>MID(DEC2BIN(C202,4),3,1)</f>
        <v>0</v>
      </c>
      <c r="F204" s="107" t="str">
        <f>MID(DEC2BIN(C202,4),4,1)</f>
        <v>1</v>
      </c>
      <c r="G204" s="21"/>
      <c r="H204" s="21"/>
      <c r="I204" s="105" t="str">
        <f>MID(DEC2BIN(I202,4),1,1)</f>
        <v>0</v>
      </c>
      <c r="J204" s="106" t="str">
        <f>MID(DEC2BIN(I202,4),2,1)</f>
        <v>1</v>
      </c>
      <c r="K204" s="106" t="str">
        <f>MID(DEC2BIN(I202,4),3,1)</f>
        <v>0</v>
      </c>
      <c r="L204" s="107" t="str">
        <f>MID(DEC2BIN(I202,4),4,1)</f>
        <v>0</v>
      </c>
      <c r="M204" s="21"/>
      <c r="N204" s="21"/>
      <c r="O204" s="105" t="str">
        <f>MID(DEC2BIN(O202,4),1,1)</f>
        <v>0</v>
      </c>
      <c r="P204" s="106" t="str">
        <f>MID(DEC2BIN(O202,4),2,1)</f>
        <v>1</v>
      </c>
      <c r="Q204" s="106" t="str">
        <f>MID(DEC2BIN(O202,4),3,1)</f>
        <v>0</v>
      </c>
      <c r="R204" s="107" t="str">
        <f>MID(DEC2BIN(O202,4),4,1)</f>
        <v>1</v>
      </c>
      <c r="S204" s="21"/>
      <c r="T204" s="21"/>
      <c r="U204" s="105" t="str">
        <f>MID(DEC2BIN(U202,4),1,1)</f>
        <v>1</v>
      </c>
      <c r="V204" s="106" t="str">
        <f>MID(DEC2BIN(U202,4),2,1)</f>
        <v>1</v>
      </c>
      <c r="W204" s="106" t="str">
        <f>MID(DEC2BIN(U202,4),3,1)</f>
        <v>0</v>
      </c>
      <c r="X204" s="107" t="str">
        <f>MID(DEC2BIN(U202,4),4,1)</f>
        <v>0</v>
      </c>
      <c r="Y204" s="21"/>
      <c r="Z204" s="21"/>
      <c r="AA204" s="105" t="str">
        <f>MID(DEC2BIN(AA202,4),1,1)</f>
        <v>0</v>
      </c>
      <c r="AB204" s="106" t="str">
        <f>MID(DEC2BIN(AA202,4),2,1)</f>
        <v>1</v>
      </c>
      <c r="AC204" s="106" t="str">
        <f>MID(DEC2BIN(AA202,4),3,1)</f>
        <v>0</v>
      </c>
      <c r="AD204" s="107" t="str">
        <f>MID(DEC2BIN(AA202,4),4,1)</f>
        <v>1</v>
      </c>
      <c r="AE204" s="21"/>
      <c r="AF204" s="21"/>
      <c r="AG204" s="105" t="str">
        <f>MID(DEC2BIN(AG202,4),1,1)</f>
        <v>1</v>
      </c>
      <c r="AH204" s="106" t="str">
        <f>MID(DEC2BIN(AG202,4),2,1)</f>
        <v>1</v>
      </c>
      <c r="AI204" s="106" t="str">
        <f>MID(DEC2BIN(AG202,4),3,1)</f>
        <v>1</v>
      </c>
      <c r="AJ204" s="107" t="str">
        <f>MID(DEC2BIN(AG202,4),4,1)</f>
        <v>0</v>
      </c>
      <c r="AK204" s="21"/>
      <c r="AL204" s="21"/>
      <c r="AM204" s="105" t="str">
        <f>MID(DEC2BIN(AM202,4),1,1)</f>
        <v>0</v>
      </c>
      <c r="AN204" s="106" t="str">
        <f>MID(DEC2BIN(AM202,4),2,1)</f>
        <v>1</v>
      </c>
      <c r="AO204" s="106" t="str">
        <f>MID(DEC2BIN(AM202,4),3,1)</f>
        <v>0</v>
      </c>
      <c r="AP204" s="107" t="str">
        <f>MID(DEC2BIN(AM202,4),4,1)</f>
        <v>0</v>
      </c>
      <c r="AQ204" s="21"/>
      <c r="AR204" s="21"/>
      <c r="AS204" s="105" t="str">
        <f>MID(DEC2BIN(AS202,4),1,1)</f>
        <v>0</v>
      </c>
      <c r="AT204" s="106" t="str">
        <f>MID(DEC2BIN(AS202,4),2,1)</f>
        <v>1</v>
      </c>
      <c r="AU204" s="106" t="str">
        <f>MID(DEC2BIN(AS202,4),3,1)</f>
        <v>1</v>
      </c>
      <c r="AV204" s="107" t="str">
        <f>MID(DEC2BIN(AS202,4),4,1)</f>
        <v>0</v>
      </c>
      <c r="AW204" s="21"/>
      <c r="AX204" s="21"/>
      <c r="AY204" s="21"/>
      <c r="AZ204" s="21"/>
      <c r="BA204" s="21"/>
      <c r="BB204" s="21"/>
      <c r="BC204" s="21"/>
      <c r="BD204" s="21"/>
      <c r="BE204" s="21"/>
    </row>
    <row r="205" spans="1:57" s="21" customFormat="1" ht="24.95" customHeight="1" x14ac:dyDescent="0.25">
      <c r="B205" s="64"/>
      <c r="C205" s="21">
        <f>VALUE(C204)</f>
        <v>0</v>
      </c>
      <c r="D205" s="21">
        <f t="shared" ref="D205" si="500">VALUE(D204)</f>
        <v>0</v>
      </c>
      <c r="E205" s="21">
        <f t="shared" ref="E205" si="501">VALUE(E204)</f>
        <v>0</v>
      </c>
      <c r="F205" s="21">
        <f t="shared" ref="F205" si="502">VALUE(F204)</f>
        <v>1</v>
      </c>
      <c r="I205" s="21">
        <f t="shared" ref="I205" si="503">VALUE(I204)</f>
        <v>0</v>
      </c>
      <c r="J205" s="21">
        <f t="shared" ref="J205" si="504">VALUE(J204)</f>
        <v>1</v>
      </c>
      <c r="K205" s="21">
        <f t="shared" ref="K205" si="505">VALUE(K204)</f>
        <v>0</v>
      </c>
      <c r="L205" s="21">
        <f t="shared" ref="L205" si="506">VALUE(L204)</f>
        <v>0</v>
      </c>
      <c r="O205" s="21">
        <f>VALUE(O204)</f>
        <v>0</v>
      </c>
      <c r="P205" s="21">
        <f t="shared" ref="P205" si="507">VALUE(P204)</f>
        <v>1</v>
      </c>
      <c r="Q205" s="21">
        <f t="shared" ref="Q205" si="508">VALUE(Q204)</f>
        <v>0</v>
      </c>
      <c r="R205" s="21">
        <f t="shared" ref="R205" si="509">VALUE(R204)</f>
        <v>1</v>
      </c>
      <c r="U205" s="21">
        <f>VALUE(U204)</f>
        <v>1</v>
      </c>
      <c r="V205" s="21">
        <f t="shared" ref="V205" si="510">VALUE(V204)</f>
        <v>1</v>
      </c>
      <c r="W205" s="21">
        <f t="shared" ref="W205" si="511">VALUE(W204)</f>
        <v>0</v>
      </c>
      <c r="X205" s="21">
        <f t="shared" ref="X205" si="512">VALUE(X204)</f>
        <v>0</v>
      </c>
      <c r="AA205" s="21">
        <f>VALUE(AA204)</f>
        <v>0</v>
      </c>
      <c r="AB205" s="21">
        <f t="shared" ref="AB205" si="513">VALUE(AB204)</f>
        <v>1</v>
      </c>
      <c r="AC205" s="21">
        <f t="shared" ref="AC205" si="514">VALUE(AC204)</f>
        <v>0</v>
      </c>
      <c r="AD205" s="21">
        <f t="shared" ref="AD205" si="515">VALUE(AD204)</f>
        <v>1</v>
      </c>
      <c r="AG205" s="21">
        <f>VALUE(AG204)</f>
        <v>1</v>
      </c>
      <c r="AH205" s="21">
        <f t="shared" ref="AH205" si="516">VALUE(AH204)</f>
        <v>1</v>
      </c>
      <c r="AI205" s="21">
        <f t="shared" ref="AI205" si="517">VALUE(AI204)</f>
        <v>1</v>
      </c>
      <c r="AJ205" s="21">
        <f t="shared" ref="AJ205" si="518">VALUE(AJ204)</f>
        <v>0</v>
      </c>
      <c r="AM205" s="21">
        <f>VALUE(AM204)</f>
        <v>0</v>
      </c>
      <c r="AN205" s="21">
        <f t="shared" ref="AN205" si="519">VALUE(AN204)</f>
        <v>1</v>
      </c>
      <c r="AO205" s="21">
        <f t="shared" ref="AO205" si="520">VALUE(AO204)</f>
        <v>0</v>
      </c>
      <c r="AP205" s="21">
        <f t="shared" ref="AP205" si="521">VALUE(AP204)</f>
        <v>0</v>
      </c>
      <c r="AS205" s="21">
        <f>VALUE(AS204)</f>
        <v>0</v>
      </c>
      <c r="AT205" s="21">
        <f t="shared" ref="AT205" si="522">VALUE(AT204)</f>
        <v>1</v>
      </c>
      <c r="AU205" s="21">
        <f t="shared" ref="AU205" si="523">VALUE(AU204)</f>
        <v>1</v>
      </c>
      <c r="AV205" s="21">
        <f t="shared" ref="AV205" si="524">VALUE(AV204)</f>
        <v>0</v>
      </c>
    </row>
    <row r="206" spans="1:57" s="21" customFormat="1" ht="24.95" customHeight="1" x14ac:dyDescent="0.25">
      <c r="A206" s="111" t="s">
        <v>588</v>
      </c>
      <c r="B206" s="111"/>
      <c r="C206" s="111">
        <v>1</v>
      </c>
      <c r="D206" s="76">
        <v>2</v>
      </c>
      <c r="E206" s="111">
        <v>3</v>
      </c>
      <c r="F206" s="76">
        <v>4</v>
      </c>
      <c r="G206" s="111">
        <v>5</v>
      </c>
      <c r="H206" s="76">
        <v>6</v>
      </c>
      <c r="I206" s="111">
        <v>7</v>
      </c>
      <c r="J206" s="76">
        <v>8</v>
      </c>
      <c r="K206" s="111">
        <v>9</v>
      </c>
      <c r="L206" s="76">
        <v>10</v>
      </c>
      <c r="M206" s="111">
        <v>11</v>
      </c>
      <c r="N206" s="76">
        <v>12</v>
      </c>
      <c r="O206" s="111">
        <v>13</v>
      </c>
      <c r="P206" s="76">
        <v>14</v>
      </c>
      <c r="Q206" s="111">
        <v>15</v>
      </c>
      <c r="R206" s="76">
        <v>16</v>
      </c>
      <c r="S206" s="111">
        <v>17</v>
      </c>
      <c r="T206" s="76">
        <v>18</v>
      </c>
      <c r="U206" s="111">
        <v>19</v>
      </c>
      <c r="V206" s="76">
        <v>20</v>
      </c>
      <c r="W206" s="111">
        <v>21</v>
      </c>
      <c r="X206" s="76">
        <v>22</v>
      </c>
      <c r="Y206" s="111">
        <v>23</v>
      </c>
      <c r="Z206" s="76">
        <v>24</v>
      </c>
      <c r="AA206" s="111">
        <v>25</v>
      </c>
      <c r="AB206" s="76">
        <v>26</v>
      </c>
      <c r="AC206" s="111">
        <v>27</v>
      </c>
      <c r="AD206" s="76">
        <v>28</v>
      </c>
      <c r="AE206" s="111">
        <v>29</v>
      </c>
      <c r="AF206" s="76">
        <v>30</v>
      </c>
      <c r="AG206" s="111">
        <v>31</v>
      </c>
      <c r="AH206" s="76">
        <v>32</v>
      </c>
    </row>
    <row r="207" spans="1:57" s="21" customFormat="1" ht="24.95" customHeight="1" x14ac:dyDescent="0.25">
      <c r="B207" s="64"/>
      <c r="C207" s="108">
        <f>C205</f>
        <v>0</v>
      </c>
      <c r="D207" s="108">
        <f t="shared" ref="D207:F207" si="525">D205</f>
        <v>0</v>
      </c>
      <c r="E207" s="108">
        <f t="shared" si="525"/>
        <v>0</v>
      </c>
      <c r="F207" s="108">
        <f t="shared" si="525"/>
        <v>1</v>
      </c>
      <c r="G207" s="23">
        <f>I205</f>
        <v>0</v>
      </c>
      <c r="H207" s="23">
        <f t="shared" ref="H207" si="526">J205</f>
        <v>1</v>
      </c>
      <c r="I207" s="23">
        <f t="shared" ref="I207" si="527">K205</f>
        <v>0</v>
      </c>
      <c r="J207" s="23">
        <f t="shared" ref="J207" si="528">L205</f>
        <v>0</v>
      </c>
      <c r="K207" s="23">
        <f>O205</f>
        <v>0</v>
      </c>
      <c r="L207" s="23">
        <f t="shared" ref="L207" si="529">P205</f>
        <v>1</v>
      </c>
      <c r="M207" s="23">
        <f t="shared" ref="M207" si="530">Q205</f>
        <v>0</v>
      </c>
      <c r="N207" s="23">
        <f t="shared" ref="N207" si="531">R205</f>
        <v>1</v>
      </c>
      <c r="O207" s="23">
        <f>U205</f>
        <v>1</v>
      </c>
      <c r="P207" s="23">
        <f t="shared" ref="P207" si="532">V205</f>
        <v>1</v>
      </c>
      <c r="Q207" s="23">
        <f t="shared" ref="Q207" si="533">W205</f>
        <v>0</v>
      </c>
      <c r="R207" s="23">
        <f t="shared" ref="R207" si="534">X205</f>
        <v>0</v>
      </c>
      <c r="S207" s="23">
        <f>AA205</f>
        <v>0</v>
      </c>
      <c r="T207" s="23">
        <f t="shared" ref="T207" si="535">AB205</f>
        <v>1</v>
      </c>
      <c r="U207" s="23">
        <f t="shared" ref="U207" si="536">AC205</f>
        <v>0</v>
      </c>
      <c r="V207" s="23">
        <f t="shared" ref="V207" si="537">AD205</f>
        <v>1</v>
      </c>
      <c r="W207" s="23">
        <f>AG205</f>
        <v>1</v>
      </c>
      <c r="X207" s="23">
        <f t="shared" ref="X207" si="538">AH205</f>
        <v>1</v>
      </c>
      <c r="Y207" s="23">
        <f t="shared" ref="Y207" si="539">AI205</f>
        <v>1</v>
      </c>
      <c r="Z207" s="23">
        <f t="shared" ref="Z207" si="540">AJ205</f>
        <v>0</v>
      </c>
      <c r="AA207" s="23">
        <f>AM205</f>
        <v>0</v>
      </c>
      <c r="AB207" s="23">
        <f t="shared" ref="AB207" si="541">AN205</f>
        <v>1</v>
      </c>
      <c r="AC207" s="23">
        <f t="shared" ref="AC207" si="542">AO205</f>
        <v>0</v>
      </c>
      <c r="AD207" s="23">
        <f t="shared" ref="AD207" si="543">AP205</f>
        <v>0</v>
      </c>
      <c r="AE207" s="23">
        <f>AS205</f>
        <v>0</v>
      </c>
      <c r="AF207" s="23">
        <f t="shared" ref="AF207" si="544">AT205</f>
        <v>1</v>
      </c>
      <c r="AG207" s="23">
        <f t="shared" ref="AG207" si="545">AU205</f>
        <v>1</v>
      </c>
      <c r="AH207" s="23">
        <f t="shared" ref="AH207" si="546">AV205</f>
        <v>0</v>
      </c>
    </row>
    <row r="208" spans="1:57" x14ac:dyDescent="0.25">
      <c r="A208" s="21"/>
      <c r="B208" s="64"/>
      <c r="C208" s="62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</row>
    <row r="209" spans="1:57" x14ac:dyDescent="0.25">
      <c r="A209" s="110" t="s">
        <v>548</v>
      </c>
      <c r="B209" s="110"/>
      <c r="C209" s="109">
        <v>16</v>
      </c>
      <c r="D209" s="110">
        <v>7</v>
      </c>
      <c r="E209" s="110">
        <v>20</v>
      </c>
      <c r="F209" s="110">
        <v>21</v>
      </c>
      <c r="G209" s="110">
        <v>29</v>
      </c>
      <c r="H209" s="110">
        <v>12</v>
      </c>
      <c r="I209" s="110">
        <v>28</v>
      </c>
      <c r="J209" s="110">
        <v>17</v>
      </c>
      <c r="K209" s="110">
        <v>1</v>
      </c>
      <c r="L209" s="110">
        <v>15</v>
      </c>
      <c r="M209" s="110">
        <v>23</v>
      </c>
      <c r="N209" s="110">
        <v>26</v>
      </c>
      <c r="O209" s="110">
        <v>5</v>
      </c>
      <c r="P209" s="110">
        <v>18</v>
      </c>
      <c r="Q209" s="110">
        <v>31</v>
      </c>
      <c r="R209" s="110">
        <v>10</v>
      </c>
      <c r="S209" s="110">
        <v>2</v>
      </c>
      <c r="T209" s="110">
        <v>8</v>
      </c>
      <c r="U209" s="110">
        <v>24</v>
      </c>
      <c r="V209" s="110">
        <v>14</v>
      </c>
      <c r="W209" s="110">
        <v>32</v>
      </c>
      <c r="X209" s="110">
        <v>27</v>
      </c>
      <c r="Y209" s="110">
        <v>3</v>
      </c>
      <c r="Z209" s="110">
        <v>9</v>
      </c>
      <c r="AA209" s="110">
        <v>19</v>
      </c>
      <c r="AB209" s="110">
        <v>13</v>
      </c>
      <c r="AC209" s="110">
        <v>30</v>
      </c>
      <c r="AD209" s="110">
        <v>6</v>
      </c>
      <c r="AE209" s="110">
        <v>22</v>
      </c>
      <c r="AF209" s="110">
        <v>11</v>
      </c>
      <c r="AG209" s="110">
        <v>4</v>
      </c>
      <c r="AH209" s="110">
        <v>25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</row>
    <row r="210" spans="1:57" x14ac:dyDescent="0.25">
      <c r="A210" s="21"/>
      <c r="B210" s="64"/>
      <c r="C210" s="103">
        <f>K207</f>
        <v>0</v>
      </c>
      <c r="D210" s="103">
        <f>S207</f>
        <v>0</v>
      </c>
      <c r="E210" s="103">
        <f>Y207</f>
        <v>1</v>
      </c>
      <c r="F210" s="112">
        <f>AG207</f>
        <v>1</v>
      </c>
      <c r="G210" s="103">
        <f>O207</f>
        <v>1</v>
      </c>
      <c r="H210" s="103">
        <f>AD207</f>
        <v>0</v>
      </c>
      <c r="I210" s="103">
        <f>D207</f>
        <v>0</v>
      </c>
      <c r="J210" s="103">
        <f>T207</f>
        <v>1</v>
      </c>
      <c r="K210" s="103">
        <f>Z207</f>
        <v>0</v>
      </c>
      <c r="L210" s="103">
        <f>R207</f>
        <v>0</v>
      </c>
      <c r="M210" s="103">
        <f>AF207</f>
        <v>1</v>
      </c>
      <c r="N210" s="103">
        <f>H207</f>
        <v>1</v>
      </c>
      <c r="O210" s="103">
        <f>AB207</f>
        <v>1</v>
      </c>
      <c r="P210" s="103">
        <f>V207</f>
        <v>1</v>
      </c>
      <c r="Q210" s="103">
        <f>L207</f>
        <v>1</v>
      </c>
      <c r="R210" s="103">
        <f>C207</f>
        <v>0</v>
      </c>
      <c r="S210" s="103">
        <f>J207</f>
        <v>0</v>
      </c>
      <c r="T210" s="103">
        <f>P207</f>
        <v>1</v>
      </c>
      <c r="U210" s="103">
        <f>AA207</f>
        <v>0</v>
      </c>
      <c r="V210" s="103">
        <f>E207</f>
        <v>0</v>
      </c>
      <c r="W210" s="103">
        <f>F207</f>
        <v>1</v>
      </c>
      <c r="X210" s="103">
        <f>AE207</f>
        <v>0</v>
      </c>
      <c r="Y210" s="103">
        <f>M207</f>
        <v>0</v>
      </c>
      <c r="Z210" s="103">
        <f>U207</f>
        <v>0</v>
      </c>
      <c r="AA210" s="103">
        <f>AH207</f>
        <v>0</v>
      </c>
      <c r="AB210" s="103">
        <f>N207</f>
        <v>1</v>
      </c>
      <c r="AC210" s="103">
        <f>X207</f>
        <v>1</v>
      </c>
      <c r="AD210" s="103">
        <f>I207</f>
        <v>0</v>
      </c>
      <c r="AE210" s="103">
        <f>G207</f>
        <v>0</v>
      </c>
      <c r="AF210" s="103">
        <f>AC207</f>
        <v>0</v>
      </c>
      <c r="AG210" s="103">
        <f>Q207</f>
        <v>0</v>
      </c>
      <c r="AH210" s="103">
        <f>W207</f>
        <v>1</v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</row>
    <row r="211" spans="1:57" x14ac:dyDescent="0.25">
      <c r="A211" s="21"/>
      <c r="B211" s="64"/>
      <c r="C211" s="130">
        <v>1</v>
      </c>
      <c r="D211" s="131">
        <v>2</v>
      </c>
      <c r="E211" s="130">
        <v>3</v>
      </c>
      <c r="F211" s="131">
        <v>4</v>
      </c>
      <c r="G211" s="130">
        <v>5</v>
      </c>
      <c r="H211" s="131">
        <v>6</v>
      </c>
      <c r="I211" s="130">
        <v>7</v>
      </c>
      <c r="J211" s="131">
        <v>8</v>
      </c>
      <c r="K211" s="130">
        <v>9</v>
      </c>
      <c r="L211" s="131">
        <v>10</v>
      </c>
      <c r="M211" s="130">
        <v>11</v>
      </c>
      <c r="N211" s="131">
        <v>12</v>
      </c>
      <c r="O211" s="130">
        <v>13</v>
      </c>
      <c r="P211" s="131">
        <v>14</v>
      </c>
      <c r="Q211" s="130">
        <v>15</v>
      </c>
      <c r="R211" s="131">
        <v>16</v>
      </c>
      <c r="S211" s="130">
        <v>17</v>
      </c>
      <c r="T211" s="131">
        <v>18</v>
      </c>
      <c r="U211" s="130">
        <v>19</v>
      </c>
      <c r="V211" s="131">
        <v>20</v>
      </c>
      <c r="W211" s="130">
        <v>21</v>
      </c>
      <c r="X211" s="131">
        <v>22</v>
      </c>
      <c r="Y211" s="130">
        <v>23</v>
      </c>
      <c r="Z211" s="131">
        <v>24</v>
      </c>
      <c r="AA211" s="130">
        <v>25</v>
      </c>
      <c r="AB211" s="131">
        <v>26</v>
      </c>
      <c r="AC211" s="130">
        <v>27</v>
      </c>
      <c r="AD211" s="131">
        <v>28</v>
      </c>
      <c r="AE211" s="130">
        <v>29</v>
      </c>
      <c r="AF211" s="131">
        <v>30</v>
      </c>
      <c r="AG211" s="130">
        <v>31</v>
      </c>
      <c r="AH211" s="131">
        <v>32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</row>
    <row r="212" spans="1:57" x14ac:dyDescent="0.25">
      <c r="A212" s="21"/>
      <c r="B212" s="64"/>
      <c r="C212" s="62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</row>
    <row r="213" spans="1:57" x14ac:dyDescent="0.25">
      <c r="A213" s="21"/>
      <c r="B213" s="64"/>
      <c r="C213" s="62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</row>
    <row r="214" spans="1:57" x14ac:dyDescent="0.25">
      <c r="A214" s="21"/>
      <c r="B214" s="64"/>
      <c r="C214" s="62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</row>
    <row r="215" spans="1:57" x14ac:dyDescent="0.25">
      <c r="A215" s="114" t="s">
        <v>523</v>
      </c>
      <c r="B215" s="114"/>
      <c r="C215" s="114"/>
      <c r="D215" s="68">
        <v>1</v>
      </c>
      <c r="E215" s="68">
        <v>2</v>
      </c>
      <c r="F215" s="68">
        <v>3</v>
      </c>
      <c r="G215" s="68">
        <v>4</v>
      </c>
      <c r="H215" s="68">
        <v>5</v>
      </c>
      <c r="I215" s="68">
        <v>6</v>
      </c>
      <c r="J215" s="68">
        <v>7</v>
      </c>
      <c r="K215" s="68">
        <v>8</v>
      </c>
      <c r="L215" s="68">
        <v>9</v>
      </c>
      <c r="M215" s="68">
        <v>10</v>
      </c>
      <c r="N215" s="68">
        <v>11</v>
      </c>
      <c r="O215" s="68">
        <v>12</v>
      </c>
      <c r="P215" s="68">
        <v>13</v>
      </c>
      <c r="Q215" s="68">
        <v>14</v>
      </c>
      <c r="R215" s="68">
        <v>15</v>
      </c>
      <c r="S215" s="68">
        <v>16</v>
      </c>
      <c r="T215" s="68">
        <v>17</v>
      </c>
      <c r="U215" s="68">
        <v>18</v>
      </c>
      <c r="V215" s="68">
        <v>19</v>
      </c>
      <c r="W215" s="68">
        <v>20</v>
      </c>
      <c r="X215" s="68">
        <v>21</v>
      </c>
      <c r="Y215" s="68">
        <v>22</v>
      </c>
      <c r="Z215" s="68">
        <v>23</v>
      </c>
      <c r="AA215" s="68">
        <v>24</v>
      </c>
      <c r="AB215" s="68">
        <v>25</v>
      </c>
      <c r="AC215" s="68">
        <v>26</v>
      </c>
      <c r="AD215" s="68">
        <v>27</v>
      </c>
      <c r="AE215" s="68">
        <v>28</v>
      </c>
      <c r="AF215" s="68">
        <v>29</v>
      </c>
      <c r="AG215" s="68">
        <v>30</v>
      </c>
      <c r="AH215" s="68">
        <v>31</v>
      </c>
      <c r="AI215" s="68">
        <v>32</v>
      </c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</row>
    <row r="216" spans="1:57" x14ac:dyDescent="0.25">
      <c r="A216" s="64" t="s">
        <v>549</v>
      </c>
      <c r="B216" s="64"/>
      <c r="C216" s="62"/>
      <c r="D216" s="68">
        <f>C174</f>
        <v>0</v>
      </c>
      <c r="E216" s="68">
        <f t="shared" ref="E216" si="547">D174</f>
        <v>1</v>
      </c>
      <c r="F216" s="68">
        <f t="shared" ref="F216" si="548">E174</f>
        <v>0</v>
      </c>
      <c r="G216" s="68">
        <f t="shared" ref="G216" si="549">F174</f>
        <v>0</v>
      </c>
      <c r="H216" s="68">
        <f t="shared" ref="H216" si="550">G174</f>
        <v>0</v>
      </c>
      <c r="I216" s="68">
        <f t="shared" ref="I216" si="551">H174</f>
        <v>1</v>
      </c>
      <c r="J216" s="68">
        <f t="shared" ref="J216" si="552">I174</f>
        <v>1</v>
      </c>
      <c r="K216" s="68">
        <f t="shared" ref="K216" si="553">J174</f>
        <v>0</v>
      </c>
      <c r="L216" s="68">
        <f t="shared" ref="L216" si="554">K174</f>
        <v>0</v>
      </c>
      <c r="M216" s="68">
        <f t="shared" ref="M216" si="555">L174</f>
        <v>1</v>
      </c>
      <c r="N216" s="68">
        <f t="shared" ref="N216" si="556">M174</f>
        <v>0</v>
      </c>
      <c r="O216" s="68">
        <f t="shared" ref="O216" si="557">N174</f>
        <v>1</v>
      </c>
      <c r="P216" s="68">
        <f t="shared" ref="P216" si="558">O174</f>
        <v>1</v>
      </c>
      <c r="Q216" s="68">
        <f t="shared" ref="Q216" si="559">P174</f>
        <v>1</v>
      </c>
      <c r="R216" s="68">
        <f t="shared" ref="R216" si="560">Q174</f>
        <v>1</v>
      </c>
      <c r="S216" s="68">
        <f t="shared" ref="S216" si="561">R174</f>
        <v>1</v>
      </c>
      <c r="T216" s="68">
        <f t="shared" ref="T216" si="562">S174</f>
        <v>1</v>
      </c>
      <c r="U216" s="68">
        <f t="shared" ref="U216" si="563">T174</f>
        <v>0</v>
      </c>
      <c r="V216" s="68">
        <f t="shared" ref="V216" si="564">U174</f>
        <v>1</v>
      </c>
      <c r="W216" s="68">
        <f t="shared" ref="W216" si="565">V174</f>
        <v>1</v>
      </c>
      <c r="X216" s="68">
        <f t="shared" ref="X216" si="566">W174</f>
        <v>1</v>
      </c>
      <c r="Y216" s="68">
        <f t="shared" ref="Y216" si="567">X174</f>
        <v>0</v>
      </c>
      <c r="Z216" s="68">
        <f t="shared" ref="Z216" si="568">Y174</f>
        <v>1</v>
      </c>
      <c r="AA216" s="68">
        <f t="shared" ref="AA216" si="569">Z174</f>
        <v>0</v>
      </c>
      <c r="AB216" s="68">
        <f t="shared" ref="AB216" si="570">AA174</f>
        <v>0</v>
      </c>
      <c r="AC216" s="68">
        <f t="shared" ref="AC216" si="571">AB174</f>
        <v>0</v>
      </c>
      <c r="AD216" s="68">
        <f t="shared" ref="AD216" si="572">AC174</f>
        <v>0</v>
      </c>
      <c r="AE216" s="68">
        <f t="shared" ref="AE216" si="573">AD174</f>
        <v>1</v>
      </c>
      <c r="AF216" s="68">
        <f t="shared" ref="AF216" si="574">AE174</f>
        <v>0</v>
      </c>
      <c r="AG216" s="68">
        <f t="shared" ref="AG216" si="575">AF174</f>
        <v>0</v>
      </c>
      <c r="AH216" s="68">
        <f t="shared" ref="AH216" si="576">AG174</f>
        <v>1</v>
      </c>
      <c r="AI216" s="68">
        <f t="shared" ref="AI216" si="577">AH174</f>
        <v>1</v>
      </c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</row>
    <row r="217" spans="1:57" x14ac:dyDescent="0.25">
      <c r="A217" s="21"/>
      <c r="B217" s="64"/>
      <c r="C217" s="62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</row>
    <row r="218" spans="1:57" x14ac:dyDescent="0.25">
      <c r="A218" s="114" t="s">
        <v>524</v>
      </c>
      <c r="B218" s="114"/>
      <c r="C218" s="114"/>
      <c r="D218" s="70">
        <v>1</v>
      </c>
      <c r="E218" s="70">
        <v>2</v>
      </c>
      <c r="F218" s="70">
        <v>3</v>
      </c>
      <c r="G218" s="70">
        <v>4</v>
      </c>
      <c r="H218" s="70">
        <v>5</v>
      </c>
      <c r="I218" s="70">
        <v>6</v>
      </c>
      <c r="J218" s="70">
        <v>7</v>
      </c>
      <c r="K218" s="70">
        <v>8</v>
      </c>
      <c r="L218" s="70">
        <v>9</v>
      </c>
      <c r="M218" s="70">
        <v>10</v>
      </c>
      <c r="N218" s="70">
        <v>11</v>
      </c>
      <c r="O218" s="70">
        <v>12</v>
      </c>
      <c r="P218" s="70">
        <v>13</v>
      </c>
      <c r="Q218" s="70">
        <v>14</v>
      </c>
      <c r="R218" s="70">
        <v>15</v>
      </c>
      <c r="S218" s="70">
        <v>16</v>
      </c>
      <c r="T218" s="70">
        <v>17</v>
      </c>
      <c r="U218" s="70">
        <v>18</v>
      </c>
      <c r="V218" s="70">
        <v>19</v>
      </c>
      <c r="W218" s="70">
        <v>20</v>
      </c>
      <c r="X218" s="70">
        <v>21</v>
      </c>
      <c r="Y218" s="70">
        <v>22</v>
      </c>
      <c r="Z218" s="70">
        <v>23</v>
      </c>
      <c r="AA218" s="70">
        <v>24</v>
      </c>
      <c r="AB218" s="70">
        <v>25</v>
      </c>
      <c r="AC218" s="70">
        <v>26</v>
      </c>
      <c r="AD218" s="70">
        <v>27</v>
      </c>
      <c r="AE218" s="70">
        <v>28</v>
      </c>
      <c r="AF218" s="70">
        <v>29</v>
      </c>
      <c r="AG218" s="70">
        <v>30</v>
      </c>
      <c r="AH218" s="70">
        <v>31</v>
      </c>
      <c r="AI218" s="70">
        <v>32</v>
      </c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</row>
    <row r="219" spans="1:57" x14ac:dyDescent="0.25">
      <c r="A219" s="64" t="s">
        <v>551</v>
      </c>
      <c r="B219" s="64"/>
      <c r="C219" s="62"/>
      <c r="D219" s="70">
        <f>--_xlfn.XOR(C210,D167)</f>
        <v>1</v>
      </c>
      <c r="E219" s="70">
        <f t="shared" ref="E219:AI219" si="578">--_xlfn.XOR(D210,E167)</f>
        <v>1</v>
      </c>
      <c r="F219" s="70">
        <f t="shared" si="578"/>
        <v>1</v>
      </c>
      <c r="G219" s="70">
        <f t="shared" si="578"/>
        <v>1</v>
      </c>
      <c r="H219" s="70">
        <f t="shared" si="578"/>
        <v>0</v>
      </c>
      <c r="I219" s="70">
        <f t="shared" si="578"/>
        <v>1</v>
      </c>
      <c r="J219" s="70">
        <f t="shared" si="578"/>
        <v>1</v>
      </c>
      <c r="K219" s="70">
        <f t="shared" si="578"/>
        <v>1</v>
      </c>
      <c r="L219" s="70">
        <f t="shared" si="578"/>
        <v>0</v>
      </c>
      <c r="M219" s="70">
        <f t="shared" si="578"/>
        <v>0</v>
      </c>
      <c r="N219" s="70">
        <f t="shared" si="578"/>
        <v>1</v>
      </c>
      <c r="O219" s="70">
        <f t="shared" si="578"/>
        <v>0</v>
      </c>
      <c r="P219" s="70">
        <f t="shared" si="578"/>
        <v>0</v>
      </c>
      <c r="Q219" s="70">
        <f t="shared" si="578"/>
        <v>1</v>
      </c>
      <c r="R219" s="70">
        <f t="shared" si="578"/>
        <v>1</v>
      </c>
      <c r="S219" s="70">
        <f t="shared" si="578"/>
        <v>0</v>
      </c>
      <c r="T219" s="70">
        <f t="shared" si="578"/>
        <v>0</v>
      </c>
      <c r="U219" s="70">
        <f t="shared" si="578"/>
        <v>0</v>
      </c>
      <c r="V219" s="70">
        <f t="shared" si="578"/>
        <v>1</v>
      </c>
      <c r="W219" s="70">
        <f t="shared" si="578"/>
        <v>0</v>
      </c>
      <c r="X219" s="70">
        <f t="shared" si="578"/>
        <v>1</v>
      </c>
      <c r="Y219" s="70">
        <f t="shared" si="578"/>
        <v>0</v>
      </c>
      <c r="Z219" s="70">
        <f t="shared" si="578"/>
        <v>0</v>
      </c>
      <c r="AA219" s="70">
        <f t="shared" si="578"/>
        <v>0</v>
      </c>
      <c r="AB219" s="70">
        <f t="shared" si="578"/>
        <v>1</v>
      </c>
      <c r="AC219" s="70">
        <f t="shared" si="578"/>
        <v>1</v>
      </c>
      <c r="AD219" s="70">
        <f t="shared" si="578"/>
        <v>0</v>
      </c>
      <c r="AE219" s="70">
        <f t="shared" si="578"/>
        <v>0</v>
      </c>
      <c r="AF219" s="70">
        <f t="shared" si="578"/>
        <v>0</v>
      </c>
      <c r="AG219" s="70">
        <f t="shared" si="578"/>
        <v>1</v>
      </c>
      <c r="AH219" s="70">
        <f t="shared" si="578"/>
        <v>0</v>
      </c>
      <c r="AI219" s="70">
        <f t="shared" si="578"/>
        <v>1</v>
      </c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</row>
    <row r="220" spans="1:57" x14ac:dyDescent="0.25">
      <c r="A220" s="132" t="s">
        <v>634</v>
      </c>
      <c r="B220" s="64"/>
      <c r="C220" s="62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</row>
    <row r="221" spans="1:57" x14ac:dyDescent="0.25">
      <c r="A221" s="132"/>
      <c r="B221" s="133"/>
      <c r="C221" s="134"/>
      <c r="D221" s="132"/>
      <c r="E221" s="132"/>
      <c r="F221" s="132"/>
      <c r="G221" s="132"/>
      <c r="H221" s="132"/>
      <c r="I221" s="132"/>
      <c r="J221" s="132"/>
      <c r="K221" s="132"/>
      <c r="L221" s="132"/>
      <c r="M221" s="132"/>
      <c r="N221" s="132"/>
      <c r="O221" s="132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32"/>
      <c r="AE221" s="132"/>
      <c r="AF221" s="132"/>
      <c r="AG221" s="132"/>
      <c r="AH221" s="132"/>
      <c r="AI221" s="132"/>
      <c r="AJ221" s="132"/>
      <c r="AK221" s="132"/>
      <c r="AL221" s="132"/>
      <c r="AM221" s="132"/>
      <c r="AN221" s="132"/>
      <c r="AO221" s="132"/>
      <c r="AP221" s="132"/>
      <c r="AQ221" s="132"/>
      <c r="AR221" s="132"/>
      <c r="AS221" s="132"/>
      <c r="AT221" s="132"/>
      <c r="AU221" s="132"/>
      <c r="AV221" s="132"/>
      <c r="AW221" s="132"/>
      <c r="AX221" s="132"/>
      <c r="AY221" s="132"/>
      <c r="AZ221" s="132"/>
      <c r="BA221" s="132"/>
      <c r="BB221" s="132"/>
      <c r="BC221" s="132"/>
      <c r="BD221" s="132"/>
      <c r="BE221" s="132"/>
    </row>
    <row r="222" spans="1:57" x14ac:dyDescent="0.25">
      <c r="A222" s="21"/>
      <c r="B222" s="21"/>
      <c r="C222" s="70">
        <v>1</v>
      </c>
      <c r="D222" s="70">
        <v>2</v>
      </c>
      <c r="E222" s="70">
        <v>3</v>
      </c>
      <c r="F222" s="70">
        <v>4</v>
      </c>
      <c r="G222" s="70">
        <v>5</v>
      </c>
      <c r="H222" s="70">
        <v>6</v>
      </c>
      <c r="I222" s="70">
        <v>7</v>
      </c>
      <c r="J222" s="70">
        <v>8</v>
      </c>
      <c r="K222" s="70">
        <v>9</v>
      </c>
      <c r="L222" s="70">
        <v>10</v>
      </c>
      <c r="M222" s="70">
        <v>11</v>
      </c>
      <c r="N222" s="70">
        <v>12</v>
      </c>
      <c r="O222" s="70">
        <v>13</v>
      </c>
      <c r="P222" s="70">
        <v>14</v>
      </c>
      <c r="Q222" s="70">
        <v>15</v>
      </c>
      <c r="R222" s="70">
        <v>16</v>
      </c>
      <c r="S222" s="70">
        <v>17</v>
      </c>
      <c r="T222" s="70">
        <v>18</v>
      </c>
      <c r="U222" s="70">
        <v>19</v>
      </c>
      <c r="V222" s="70">
        <v>20</v>
      </c>
      <c r="W222" s="70">
        <v>21</v>
      </c>
      <c r="X222" s="70">
        <v>22</v>
      </c>
      <c r="Y222" s="70">
        <v>23</v>
      </c>
      <c r="Z222" s="70">
        <v>24</v>
      </c>
      <c r="AA222" s="70">
        <v>25</v>
      </c>
      <c r="AB222" s="70">
        <v>26</v>
      </c>
      <c r="AC222" s="70">
        <v>27</v>
      </c>
      <c r="AD222" s="70">
        <v>28</v>
      </c>
      <c r="AE222" s="70">
        <v>29</v>
      </c>
      <c r="AF222" s="70">
        <v>30</v>
      </c>
      <c r="AG222" s="70">
        <v>31</v>
      </c>
      <c r="AH222" s="70">
        <v>32</v>
      </c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</row>
    <row r="223" spans="1:57" x14ac:dyDescent="0.25">
      <c r="A223" s="114" t="s">
        <v>524</v>
      </c>
      <c r="B223" s="114"/>
      <c r="C223" s="70">
        <f>D219</f>
        <v>1</v>
      </c>
      <c r="D223" s="70">
        <f t="shared" ref="D223" si="579">E219</f>
        <v>1</v>
      </c>
      <c r="E223" s="70">
        <f t="shared" ref="E223" si="580">F219</f>
        <v>1</v>
      </c>
      <c r="F223" s="70">
        <f t="shared" ref="F223" si="581">G219</f>
        <v>1</v>
      </c>
      <c r="G223" s="70">
        <f t="shared" ref="G223" si="582">H219</f>
        <v>0</v>
      </c>
      <c r="H223" s="70">
        <f t="shared" ref="H223" si="583">I219</f>
        <v>1</v>
      </c>
      <c r="I223" s="70">
        <f t="shared" ref="I223" si="584">J219</f>
        <v>1</v>
      </c>
      <c r="J223" s="70">
        <f t="shared" ref="J223" si="585">K219</f>
        <v>1</v>
      </c>
      <c r="K223" s="70">
        <f t="shared" ref="K223" si="586">L219</f>
        <v>0</v>
      </c>
      <c r="L223" s="70">
        <f t="shared" ref="L223" si="587">M219</f>
        <v>0</v>
      </c>
      <c r="M223" s="70">
        <f t="shared" ref="M223" si="588">N219</f>
        <v>1</v>
      </c>
      <c r="N223" s="70">
        <f t="shared" ref="N223" si="589">O219</f>
        <v>0</v>
      </c>
      <c r="O223" s="70">
        <f t="shared" ref="O223" si="590">P219</f>
        <v>0</v>
      </c>
      <c r="P223" s="70">
        <f t="shared" ref="P223" si="591">Q219</f>
        <v>1</v>
      </c>
      <c r="Q223" s="70">
        <f t="shared" ref="Q223" si="592">R219</f>
        <v>1</v>
      </c>
      <c r="R223" s="70">
        <f t="shared" ref="R223" si="593">S219</f>
        <v>0</v>
      </c>
      <c r="S223" s="70">
        <f t="shared" ref="S223" si="594">T219</f>
        <v>0</v>
      </c>
      <c r="T223" s="70">
        <f t="shared" ref="T223" si="595">U219</f>
        <v>0</v>
      </c>
      <c r="U223" s="70">
        <f t="shared" ref="U223" si="596">V219</f>
        <v>1</v>
      </c>
      <c r="V223" s="70">
        <f t="shared" ref="V223" si="597">W219</f>
        <v>0</v>
      </c>
      <c r="W223" s="70">
        <f t="shared" ref="W223" si="598">X219</f>
        <v>1</v>
      </c>
      <c r="X223" s="70">
        <f t="shared" ref="X223" si="599">Y219</f>
        <v>0</v>
      </c>
      <c r="Y223" s="70">
        <f t="shared" ref="Y223" si="600">Z219</f>
        <v>0</v>
      </c>
      <c r="Z223" s="70">
        <f t="shared" ref="Z223" si="601">AA219</f>
        <v>0</v>
      </c>
      <c r="AA223" s="70">
        <f t="shared" ref="AA223" si="602">AB219</f>
        <v>1</v>
      </c>
      <c r="AB223" s="70">
        <f t="shared" ref="AB223" si="603">AC219</f>
        <v>1</v>
      </c>
      <c r="AC223" s="70">
        <f t="shared" ref="AC223" si="604">AD219</f>
        <v>0</v>
      </c>
      <c r="AD223" s="70">
        <f t="shared" ref="AD223" si="605">AE219</f>
        <v>0</v>
      </c>
      <c r="AE223" s="70">
        <f t="shared" ref="AE223" si="606">AF219</f>
        <v>0</v>
      </c>
      <c r="AF223" s="70">
        <f t="shared" ref="AF223" si="607">AG219</f>
        <v>1</v>
      </c>
      <c r="AG223" s="70">
        <f t="shared" ref="AG223" si="608">AH219</f>
        <v>0</v>
      </c>
      <c r="AH223" s="70">
        <f t="shared" ref="AH223" si="609">AI219</f>
        <v>1</v>
      </c>
      <c r="AI223" s="135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</row>
    <row r="224" spans="1:57" x14ac:dyDescent="0.25">
      <c r="A224" s="21"/>
      <c r="B224" s="64"/>
      <c r="C224" s="62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</row>
    <row r="225" spans="1:57" x14ac:dyDescent="0.25">
      <c r="A225" s="132"/>
      <c r="B225" s="133"/>
      <c r="C225" s="134"/>
      <c r="D225" s="132"/>
      <c r="E225" s="132"/>
      <c r="F225" s="132"/>
      <c r="G225" s="132"/>
      <c r="H225" s="132"/>
      <c r="I225" s="132"/>
      <c r="J225" s="132"/>
      <c r="K225" s="132"/>
      <c r="L225" s="132"/>
      <c r="M225" s="132"/>
      <c r="N225" s="132"/>
      <c r="O225" s="132"/>
      <c r="P225" s="132"/>
      <c r="Q225" s="132"/>
      <c r="R225" s="132"/>
      <c r="S225" s="132"/>
      <c r="T225" s="132"/>
      <c r="U225" s="132"/>
      <c r="V225" s="132"/>
      <c r="W225" s="132"/>
      <c r="X225" s="132"/>
      <c r="Y225" s="132"/>
      <c r="Z225" s="132"/>
      <c r="AA225" s="132"/>
      <c r="AB225" s="132"/>
      <c r="AC225" s="132"/>
      <c r="AD225" s="132"/>
      <c r="AE225" s="132"/>
      <c r="AF225" s="132"/>
      <c r="AG225" s="132"/>
      <c r="AH225" s="132"/>
      <c r="AI225" s="132"/>
      <c r="AJ225" s="132"/>
      <c r="AK225" s="132"/>
      <c r="AL225" s="132"/>
      <c r="AM225" s="132"/>
      <c r="AN225" s="132"/>
      <c r="AO225" s="132"/>
      <c r="AP225" s="132"/>
      <c r="AQ225" s="132"/>
      <c r="AR225" s="132"/>
      <c r="AS225" s="132"/>
      <c r="AT225" s="132"/>
      <c r="AU225" s="132"/>
      <c r="AV225" s="132"/>
      <c r="AW225" s="132"/>
      <c r="AX225" s="132"/>
      <c r="AY225" s="132"/>
      <c r="AZ225" s="21"/>
      <c r="BA225" s="21"/>
      <c r="BB225" s="21"/>
      <c r="BC225" s="21"/>
      <c r="BD225" s="21"/>
      <c r="BE225" s="21"/>
    </row>
    <row r="226" spans="1:57" x14ac:dyDescent="0.25">
      <c r="A226" s="21"/>
      <c r="B226" s="64"/>
      <c r="C226" s="62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</row>
    <row r="227" spans="1:57" x14ac:dyDescent="0.25">
      <c r="A227" s="118" t="s">
        <v>532</v>
      </c>
      <c r="B227" s="118"/>
      <c r="C227" s="75">
        <v>32</v>
      </c>
      <c r="D227" s="74">
        <v>1</v>
      </c>
      <c r="E227" s="74">
        <v>2</v>
      </c>
      <c r="F227" s="74">
        <v>3</v>
      </c>
      <c r="G227" s="74">
        <v>4</v>
      </c>
      <c r="H227" s="73">
        <v>5</v>
      </c>
      <c r="I227" s="122"/>
      <c r="J227" s="118">
        <f>AH223</f>
        <v>1</v>
      </c>
      <c r="K227" s="118">
        <f>C223</f>
        <v>1</v>
      </c>
      <c r="L227" s="118">
        <f>D223</f>
        <v>1</v>
      </c>
      <c r="M227" s="118">
        <f>E223</f>
        <v>1</v>
      </c>
      <c r="N227" s="69">
        <f>F223</f>
        <v>1</v>
      </c>
      <c r="O227" s="119">
        <f>G223</f>
        <v>0</v>
      </c>
      <c r="P227" s="122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</row>
    <row r="228" spans="1:57" x14ac:dyDescent="0.25">
      <c r="A228" s="21"/>
      <c r="B228" s="64"/>
      <c r="C228" s="75">
        <v>4</v>
      </c>
      <c r="D228" s="74">
        <v>5</v>
      </c>
      <c r="E228" s="74">
        <v>6</v>
      </c>
      <c r="F228" s="74">
        <v>7</v>
      </c>
      <c r="G228" s="74">
        <v>8</v>
      </c>
      <c r="H228" s="73">
        <v>9</v>
      </c>
      <c r="I228" s="122"/>
      <c r="J228" s="118">
        <f t="shared" ref="J228" si="610">F223</f>
        <v>1</v>
      </c>
      <c r="K228" s="69">
        <f t="shared" ref="K228" si="611">G223</f>
        <v>0</v>
      </c>
      <c r="L228" s="69">
        <f t="shared" ref="L228" si="612">H223</f>
        <v>1</v>
      </c>
      <c r="M228" s="69">
        <f t="shared" ref="M228" si="613">I223</f>
        <v>1</v>
      </c>
      <c r="N228" s="69">
        <f t="shared" ref="N228" si="614">J223</f>
        <v>1</v>
      </c>
      <c r="O228" s="119">
        <f t="shared" ref="O228" si="615">K223</f>
        <v>0</v>
      </c>
      <c r="P228" s="122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</row>
    <row r="229" spans="1:57" x14ac:dyDescent="0.25">
      <c r="A229" s="21"/>
      <c r="B229" s="64"/>
      <c r="C229" s="75">
        <v>8</v>
      </c>
      <c r="D229" s="74">
        <v>9</v>
      </c>
      <c r="E229" s="74">
        <v>10</v>
      </c>
      <c r="F229" s="74">
        <v>11</v>
      </c>
      <c r="G229" s="74">
        <v>12</v>
      </c>
      <c r="H229" s="73">
        <v>13</v>
      </c>
      <c r="I229" s="123"/>
      <c r="J229" s="120">
        <f t="shared" ref="J229:O229" si="616">J223</f>
        <v>1</v>
      </c>
      <c r="K229" s="69">
        <f t="shared" si="616"/>
        <v>0</v>
      </c>
      <c r="L229" s="69">
        <f t="shared" si="616"/>
        <v>0</v>
      </c>
      <c r="M229" s="69">
        <f t="shared" si="616"/>
        <v>1</v>
      </c>
      <c r="N229" s="69">
        <f t="shared" si="616"/>
        <v>0</v>
      </c>
      <c r="O229" s="119">
        <f t="shared" si="616"/>
        <v>0</v>
      </c>
      <c r="P229" s="123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</row>
    <row r="230" spans="1:57" x14ac:dyDescent="0.25">
      <c r="A230" s="21"/>
      <c r="B230" s="64"/>
      <c r="C230" s="75">
        <v>12</v>
      </c>
      <c r="D230" s="74">
        <v>13</v>
      </c>
      <c r="E230" s="74">
        <v>14</v>
      </c>
      <c r="F230" s="74">
        <v>15</v>
      </c>
      <c r="G230" s="74">
        <v>16</v>
      </c>
      <c r="H230" s="73">
        <v>17</v>
      </c>
      <c r="I230" s="122"/>
      <c r="J230" s="118">
        <f t="shared" ref="J230" si="617">N223</f>
        <v>0</v>
      </c>
      <c r="K230" s="69">
        <f t="shared" ref="K230" si="618">O223</f>
        <v>0</v>
      </c>
      <c r="L230" s="69">
        <f t="shared" ref="L230" si="619">P223</f>
        <v>1</v>
      </c>
      <c r="M230" s="69">
        <f t="shared" ref="M230" si="620">Q223</f>
        <v>1</v>
      </c>
      <c r="N230" s="69">
        <f t="shared" ref="N230" si="621">R223</f>
        <v>0</v>
      </c>
      <c r="O230" s="119">
        <f t="shared" ref="O230" si="622">S223</f>
        <v>0</v>
      </c>
      <c r="P230" s="122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</row>
    <row r="231" spans="1:57" x14ac:dyDescent="0.25">
      <c r="A231" s="21"/>
      <c r="B231" s="64"/>
      <c r="C231" s="75">
        <v>16</v>
      </c>
      <c r="D231" s="74">
        <v>17</v>
      </c>
      <c r="E231" s="74">
        <v>18</v>
      </c>
      <c r="F231" s="74">
        <v>19</v>
      </c>
      <c r="G231" s="74">
        <v>20</v>
      </c>
      <c r="H231" s="73">
        <v>21</v>
      </c>
      <c r="I231" s="122"/>
      <c r="J231" s="118">
        <f t="shared" ref="J231" si="623">R223</f>
        <v>0</v>
      </c>
      <c r="K231" s="69">
        <f t="shared" ref="K231" si="624">S223</f>
        <v>0</v>
      </c>
      <c r="L231" s="69">
        <f t="shared" ref="L231" si="625">T223</f>
        <v>0</v>
      </c>
      <c r="M231" s="69">
        <f t="shared" ref="M231" si="626">U223</f>
        <v>1</v>
      </c>
      <c r="N231" s="69">
        <f t="shared" ref="N231" si="627">V223</f>
        <v>0</v>
      </c>
      <c r="O231" s="119">
        <f t="shared" ref="O231" si="628">W223</f>
        <v>1</v>
      </c>
      <c r="P231" s="122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</row>
    <row r="232" spans="1:57" x14ac:dyDescent="0.25">
      <c r="A232" s="21"/>
      <c r="B232" s="64"/>
      <c r="C232" s="75">
        <v>20</v>
      </c>
      <c r="D232" s="74">
        <v>21</v>
      </c>
      <c r="E232" s="74">
        <v>22</v>
      </c>
      <c r="F232" s="74">
        <v>23</v>
      </c>
      <c r="G232" s="74">
        <v>24</v>
      </c>
      <c r="H232" s="73">
        <v>25</v>
      </c>
      <c r="I232" s="122"/>
      <c r="J232" s="118">
        <f t="shared" ref="J232" si="629">V223</f>
        <v>0</v>
      </c>
      <c r="K232" s="69">
        <f t="shared" ref="K232" si="630">W223</f>
        <v>1</v>
      </c>
      <c r="L232" s="69">
        <f t="shared" ref="L232" si="631">X223</f>
        <v>0</v>
      </c>
      <c r="M232" s="69">
        <f t="shared" ref="M232" si="632">Y223</f>
        <v>0</v>
      </c>
      <c r="N232" s="69">
        <f t="shared" ref="N232" si="633">Z223</f>
        <v>0</v>
      </c>
      <c r="O232" s="119">
        <f t="shared" ref="O232" si="634">AA223</f>
        <v>1</v>
      </c>
      <c r="P232" s="122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</row>
    <row r="233" spans="1:57" x14ac:dyDescent="0.25">
      <c r="A233" s="21"/>
      <c r="B233" s="64"/>
      <c r="C233" s="75">
        <v>24</v>
      </c>
      <c r="D233" s="74">
        <v>25</v>
      </c>
      <c r="E233" s="74">
        <v>26</v>
      </c>
      <c r="F233" s="74">
        <v>27</v>
      </c>
      <c r="G233" s="74">
        <v>28</v>
      </c>
      <c r="H233" s="73">
        <v>29</v>
      </c>
      <c r="I233" s="122"/>
      <c r="J233" s="118">
        <f t="shared" ref="J233" si="635">Z223</f>
        <v>0</v>
      </c>
      <c r="K233" s="69">
        <f t="shared" ref="K233" si="636">AA223</f>
        <v>1</v>
      </c>
      <c r="L233" s="69">
        <f t="shared" ref="L233" si="637">AB223</f>
        <v>1</v>
      </c>
      <c r="M233" s="69">
        <f t="shared" ref="M233" si="638">AC223</f>
        <v>0</v>
      </c>
      <c r="N233" s="69">
        <f t="shared" ref="N233" si="639">AD223</f>
        <v>0</v>
      </c>
      <c r="O233" s="119">
        <f t="shared" ref="O233" si="640">AE223</f>
        <v>0</v>
      </c>
      <c r="P233" s="122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</row>
    <row r="234" spans="1:57" x14ac:dyDescent="0.25">
      <c r="A234" s="21"/>
      <c r="B234" s="64"/>
      <c r="C234" s="75">
        <v>28</v>
      </c>
      <c r="D234" s="74">
        <v>29</v>
      </c>
      <c r="E234" s="74">
        <v>30</v>
      </c>
      <c r="F234" s="74">
        <v>31</v>
      </c>
      <c r="G234" s="74">
        <v>32</v>
      </c>
      <c r="H234" s="73">
        <v>1</v>
      </c>
      <c r="I234" s="122"/>
      <c r="J234" s="70">
        <f>AD223</f>
        <v>0</v>
      </c>
      <c r="K234" s="71">
        <f>AE223</f>
        <v>0</v>
      </c>
      <c r="L234" s="71">
        <f>AF223</f>
        <v>1</v>
      </c>
      <c r="M234" s="71">
        <f>AG223</f>
        <v>0</v>
      </c>
      <c r="N234" s="71">
        <f>AH223</f>
        <v>1</v>
      </c>
      <c r="O234" s="121">
        <f>C223</f>
        <v>1</v>
      </c>
      <c r="P234" s="122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</row>
    <row r="235" spans="1:57" x14ac:dyDescent="0.25">
      <c r="A235" s="21"/>
      <c r="B235" s="64"/>
      <c r="C235" s="62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</row>
    <row r="236" spans="1:57" x14ac:dyDescent="0.25">
      <c r="A236" s="21"/>
      <c r="B236" s="64"/>
      <c r="C236" s="62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</row>
    <row r="237" spans="1:57" x14ac:dyDescent="0.25">
      <c r="A237" s="124" t="s">
        <v>533</v>
      </c>
      <c r="B237" s="124"/>
      <c r="C237" s="125">
        <v>1</v>
      </c>
      <c r="D237" s="126">
        <v>2</v>
      </c>
      <c r="E237" s="125">
        <v>3</v>
      </c>
      <c r="F237" s="126">
        <v>4</v>
      </c>
      <c r="G237" s="125">
        <v>5</v>
      </c>
      <c r="H237" s="126">
        <v>6</v>
      </c>
      <c r="I237" s="125">
        <v>7</v>
      </c>
      <c r="J237" s="126">
        <v>8</v>
      </c>
      <c r="K237" s="125">
        <v>9</v>
      </c>
      <c r="L237" s="126">
        <v>10</v>
      </c>
      <c r="M237" s="125">
        <v>11</v>
      </c>
      <c r="N237" s="126">
        <v>12</v>
      </c>
      <c r="O237" s="125">
        <v>13</v>
      </c>
      <c r="P237" s="126">
        <v>14</v>
      </c>
      <c r="Q237" s="125">
        <v>15</v>
      </c>
      <c r="R237" s="126">
        <v>16</v>
      </c>
      <c r="S237" s="125">
        <v>17</v>
      </c>
      <c r="T237" s="126">
        <v>18</v>
      </c>
      <c r="U237" s="125">
        <v>19</v>
      </c>
      <c r="V237" s="126">
        <v>20</v>
      </c>
      <c r="W237" s="125">
        <v>21</v>
      </c>
      <c r="X237" s="126">
        <v>22</v>
      </c>
      <c r="Y237" s="125">
        <v>23</v>
      </c>
      <c r="Z237" s="126">
        <v>24</v>
      </c>
      <c r="AA237" s="125">
        <v>25</v>
      </c>
      <c r="AB237" s="126">
        <v>26</v>
      </c>
      <c r="AC237" s="125">
        <v>27</v>
      </c>
      <c r="AD237" s="126">
        <v>28</v>
      </c>
      <c r="AE237" s="125">
        <v>29</v>
      </c>
      <c r="AF237" s="126">
        <v>30</v>
      </c>
      <c r="AG237" s="125">
        <v>31</v>
      </c>
      <c r="AH237" s="126">
        <v>32</v>
      </c>
      <c r="AI237" s="125">
        <v>33</v>
      </c>
      <c r="AJ237" s="126">
        <v>34</v>
      </c>
      <c r="AK237" s="125">
        <v>35</v>
      </c>
      <c r="AL237" s="126">
        <v>36</v>
      </c>
      <c r="AM237" s="125">
        <v>37</v>
      </c>
      <c r="AN237" s="126">
        <v>38</v>
      </c>
      <c r="AO237" s="125">
        <v>39</v>
      </c>
      <c r="AP237" s="126">
        <v>40</v>
      </c>
      <c r="AQ237" s="125">
        <v>41</v>
      </c>
      <c r="AR237" s="126">
        <v>42</v>
      </c>
      <c r="AS237" s="125">
        <v>43</v>
      </c>
      <c r="AT237" s="126">
        <v>44</v>
      </c>
      <c r="AU237" s="125">
        <v>45</v>
      </c>
      <c r="AV237" s="126">
        <v>46</v>
      </c>
      <c r="AW237" s="125">
        <v>47</v>
      </c>
      <c r="AX237" s="126">
        <v>48</v>
      </c>
      <c r="AY237" s="21"/>
      <c r="AZ237" s="21"/>
      <c r="BA237" s="21"/>
      <c r="BB237" s="21"/>
      <c r="BC237" s="21"/>
      <c r="BD237" s="21"/>
      <c r="BE237" s="21"/>
    </row>
    <row r="238" spans="1:57" x14ac:dyDescent="0.25">
      <c r="A238" s="21"/>
      <c r="B238" s="64"/>
      <c r="C238" s="125">
        <f t="shared" ref="C238" si="641">J227</f>
        <v>1</v>
      </c>
      <c r="D238" s="125">
        <f t="shared" ref="D238" si="642">K227</f>
        <v>1</v>
      </c>
      <c r="E238" s="125">
        <f t="shared" ref="E238" si="643">L227</f>
        <v>1</v>
      </c>
      <c r="F238" s="125">
        <f t="shared" ref="F238" si="644">M227</f>
        <v>1</v>
      </c>
      <c r="G238" s="126">
        <f t="shared" ref="G238" si="645">N227</f>
        <v>1</v>
      </c>
      <c r="H238" s="126">
        <f t="shared" ref="H238" si="646">O227</f>
        <v>0</v>
      </c>
      <c r="I238" s="125">
        <f t="shared" ref="I238" si="647">J228</f>
        <v>1</v>
      </c>
      <c r="J238" s="125">
        <f t="shared" ref="J238" si="648">K228</f>
        <v>0</v>
      </c>
      <c r="K238" s="125">
        <f t="shared" ref="K238" si="649">L228</f>
        <v>1</v>
      </c>
      <c r="L238" s="125">
        <f t="shared" ref="L238" si="650">M228</f>
        <v>1</v>
      </c>
      <c r="M238" s="125">
        <f t="shared" ref="M238" si="651">N228</f>
        <v>1</v>
      </c>
      <c r="N238" s="125">
        <f t="shared" ref="N238" si="652">O228</f>
        <v>0</v>
      </c>
      <c r="O238" s="126">
        <f t="shared" ref="O238" si="653">J229</f>
        <v>1</v>
      </c>
      <c r="P238" s="126">
        <f t="shared" ref="P238" si="654">K229</f>
        <v>0</v>
      </c>
      <c r="Q238" s="126">
        <f t="shared" ref="Q238" si="655">L229</f>
        <v>0</v>
      </c>
      <c r="R238" s="126">
        <f t="shared" ref="R238" si="656">M229</f>
        <v>1</v>
      </c>
      <c r="S238" s="126">
        <f t="shared" ref="S238" si="657">N229</f>
        <v>0</v>
      </c>
      <c r="T238" s="126">
        <f t="shared" ref="T238" si="658">O229</f>
        <v>0</v>
      </c>
      <c r="U238" s="125">
        <f t="shared" ref="U238" si="659">J230</f>
        <v>0</v>
      </c>
      <c r="V238" s="126">
        <f t="shared" ref="V238" si="660">K230</f>
        <v>0</v>
      </c>
      <c r="W238" s="125">
        <f t="shared" ref="W238" si="661">L230</f>
        <v>1</v>
      </c>
      <c r="X238" s="126">
        <f t="shared" ref="X238" si="662">M230</f>
        <v>1</v>
      </c>
      <c r="Y238" s="125">
        <f t="shared" ref="Y238" si="663">N230</f>
        <v>0</v>
      </c>
      <c r="Z238" s="126">
        <f t="shared" ref="Z238" si="664">O230</f>
        <v>0</v>
      </c>
      <c r="AA238" s="125">
        <f t="shared" ref="AA238" si="665">J231</f>
        <v>0</v>
      </c>
      <c r="AB238" s="126">
        <f t="shared" ref="AB238" si="666">K231</f>
        <v>0</v>
      </c>
      <c r="AC238" s="125">
        <f>L231</f>
        <v>0</v>
      </c>
      <c r="AD238" s="126">
        <f t="shared" ref="AD238" si="667">M231</f>
        <v>1</v>
      </c>
      <c r="AE238" s="125">
        <f t="shared" ref="AE238" si="668">N231</f>
        <v>0</v>
      </c>
      <c r="AF238" s="126">
        <f t="shared" ref="AF238" si="669">O231</f>
        <v>1</v>
      </c>
      <c r="AG238" s="125">
        <f t="shared" ref="AG238" si="670">J232</f>
        <v>0</v>
      </c>
      <c r="AH238" s="126">
        <f t="shared" ref="AH238" si="671">K232</f>
        <v>1</v>
      </c>
      <c r="AI238" s="125">
        <f t="shared" ref="AI238" si="672">L232</f>
        <v>0</v>
      </c>
      <c r="AJ238" s="126">
        <f t="shared" ref="AJ238" si="673">M232</f>
        <v>0</v>
      </c>
      <c r="AK238" s="125">
        <f t="shared" ref="AK238" si="674">N232</f>
        <v>0</v>
      </c>
      <c r="AL238" s="126">
        <f t="shared" ref="AL238" si="675">O232</f>
        <v>1</v>
      </c>
      <c r="AM238" s="125">
        <f t="shared" ref="AM238" si="676">J233</f>
        <v>0</v>
      </c>
      <c r="AN238" s="126">
        <f t="shared" ref="AN238" si="677">K233</f>
        <v>1</v>
      </c>
      <c r="AO238" s="125">
        <f t="shared" ref="AO238" si="678">L233</f>
        <v>1</v>
      </c>
      <c r="AP238" s="126">
        <f t="shared" ref="AP238" si="679">M233</f>
        <v>0</v>
      </c>
      <c r="AQ238" s="125">
        <f t="shared" ref="AQ238" si="680">N233</f>
        <v>0</v>
      </c>
      <c r="AR238" s="126">
        <f t="shared" ref="AR238" si="681">O233</f>
        <v>0</v>
      </c>
      <c r="AS238" s="125">
        <f t="shared" ref="AS238" si="682">J234</f>
        <v>0</v>
      </c>
      <c r="AT238" s="126">
        <f t="shared" ref="AT238" si="683">K234</f>
        <v>0</v>
      </c>
      <c r="AU238" s="125">
        <f t="shared" ref="AU238" si="684">L234</f>
        <v>1</v>
      </c>
      <c r="AV238" s="126">
        <f t="shared" ref="AV238" si="685">M234</f>
        <v>0</v>
      </c>
      <c r="AW238" s="125">
        <f t="shared" ref="AW238" si="686">N234</f>
        <v>1</v>
      </c>
      <c r="AX238" s="126">
        <f t="shared" ref="AX238" si="687">O234</f>
        <v>1</v>
      </c>
      <c r="AY238" s="21"/>
      <c r="AZ238" s="21"/>
      <c r="BA238" s="21"/>
      <c r="BB238" s="21"/>
      <c r="BC238" s="21"/>
      <c r="BD238" s="21"/>
      <c r="BE238" s="21"/>
    </row>
    <row r="239" spans="1:57" x14ac:dyDescent="0.25">
      <c r="A239" s="21"/>
      <c r="B239" s="64"/>
      <c r="C239" s="62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</row>
    <row r="240" spans="1:57" x14ac:dyDescent="0.25">
      <c r="A240" s="21"/>
      <c r="B240" s="64"/>
      <c r="C240" s="62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</row>
    <row r="241" spans="1:57" x14ac:dyDescent="0.25">
      <c r="A241" s="127" t="s">
        <v>615</v>
      </c>
      <c r="B241" s="127"/>
      <c r="C241" s="77">
        <f>'Key Generator'!D444</f>
        <v>1</v>
      </c>
      <c r="D241" s="77">
        <f>'Key Generator'!E444</f>
        <v>2</v>
      </c>
      <c r="E241" s="77">
        <f>'Key Generator'!F444</f>
        <v>3</v>
      </c>
      <c r="F241" s="77">
        <f>'Key Generator'!G444</f>
        <v>4</v>
      </c>
      <c r="G241" s="77">
        <f>'Key Generator'!H444</f>
        <v>5</v>
      </c>
      <c r="H241" s="77">
        <f>'Key Generator'!I444</f>
        <v>6</v>
      </c>
      <c r="I241" s="77">
        <f>'Key Generator'!J444</f>
        <v>7</v>
      </c>
      <c r="J241" s="77">
        <f>'Key Generator'!K444</f>
        <v>8</v>
      </c>
      <c r="K241" s="77">
        <f>'Key Generator'!L444</f>
        <v>9</v>
      </c>
      <c r="L241" s="77">
        <f>'Key Generator'!M444</f>
        <v>10</v>
      </c>
      <c r="M241" s="77">
        <f>'Key Generator'!N444</f>
        <v>11</v>
      </c>
      <c r="N241" s="77">
        <f>'Key Generator'!O444</f>
        <v>12</v>
      </c>
      <c r="O241" s="77">
        <f>'Key Generator'!P444</f>
        <v>13</v>
      </c>
      <c r="P241" s="77">
        <f>'Key Generator'!Q444</f>
        <v>14</v>
      </c>
      <c r="Q241" s="77">
        <f>'Key Generator'!R444</f>
        <v>15</v>
      </c>
      <c r="R241" s="77">
        <f>'Key Generator'!S444</f>
        <v>16</v>
      </c>
      <c r="S241" s="77">
        <f>'Key Generator'!T444</f>
        <v>17</v>
      </c>
      <c r="T241" s="77">
        <f>'Key Generator'!U444</f>
        <v>18</v>
      </c>
      <c r="U241" s="77">
        <f>'Key Generator'!V444</f>
        <v>19</v>
      </c>
      <c r="V241" s="77">
        <f>'Key Generator'!W444</f>
        <v>20</v>
      </c>
      <c r="W241" s="77">
        <f>'Key Generator'!X444</f>
        <v>21</v>
      </c>
      <c r="X241" s="77">
        <f>'Key Generator'!Y444</f>
        <v>22</v>
      </c>
      <c r="Y241" s="77">
        <f>'Key Generator'!Z444</f>
        <v>23</v>
      </c>
      <c r="Z241" s="77">
        <f>'Key Generator'!AA444</f>
        <v>24</v>
      </c>
      <c r="AA241" s="77">
        <f>'Key Generator'!AB444</f>
        <v>25</v>
      </c>
      <c r="AB241" s="77">
        <f>'Key Generator'!AC444</f>
        <v>26</v>
      </c>
      <c r="AC241" s="77">
        <f>'Key Generator'!AD444</f>
        <v>27</v>
      </c>
      <c r="AD241" s="77">
        <f>'Key Generator'!AE444</f>
        <v>28</v>
      </c>
      <c r="AE241" s="77">
        <f>'Key Generator'!AF444</f>
        <v>29</v>
      </c>
      <c r="AF241" s="77">
        <f>'Key Generator'!AG444</f>
        <v>30</v>
      </c>
      <c r="AG241" s="77">
        <f>'Key Generator'!AH444</f>
        <v>31</v>
      </c>
      <c r="AH241" s="77">
        <f>'Key Generator'!AI444</f>
        <v>32</v>
      </c>
      <c r="AI241" s="77">
        <f>'Key Generator'!AJ444</f>
        <v>33</v>
      </c>
      <c r="AJ241" s="77">
        <f>'Key Generator'!AK444</f>
        <v>34</v>
      </c>
      <c r="AK241" s="77">
        <f>'Key Generator'!AL444</f>
        <v>35</v>
      </c>
      <c r="AL241" s="77">
        <f>'Key Generator'!AM444</f>
        <v>36</v>
      </c>
      <c r="AM241" s="77">
        <f>'Key Generator'!AN444</f>
        <v>37</v>
      </c>
      <c r="AN241" s="77">
        <f>'Key Generator'!AO444</f>
        <v>38</v>
      </c>
      <c r="AO241" s="77">
        <f>'Key Generator'!AP444</f>
        <v>39</v>
      </c>
      <c r="AP241" s="77">
        <f>'Key Generator'!AQ444</f>
        <v>40</v>
      </c>
      <c r="AQ241" s="77">
        <f>'Key Generator'!AR444</f>
        <v>41</v>
      </c>
      <c r="AR241" s="77">
        <f>'Key Generator'!AS444</f>
        <v>42</v>
      </c>
      <c r="AS241" s="77">
        <f>'Key Generator'!AT444</f>
        <v>43</v>
      </c>
      <c r="AT241" s="77">
        <f>'Key Generator'!AU444</f>
        <v>44</v>
      </c>
      <c r="AU241" s="77">
        <f>'Key Generator'!AV444</f>
        <v>45</v>
      </c>
      <c r="AV241" s="77">
        <f>'Key Generator'!AW444</f>
        <v>46</v>
      </c>
      <c r="AW241" s="77">
        <f>'Key Generator'!AX444</f>
        <v>47</v>
      </c>
      <c r="AX241" s="77">
        <f>'Key Generator'!AY444</f>
        <v>48</v>
      </c>
      <c r="AY241" s="21"/>
      <c r="AZ241" s="21"/>
      <c r="BA241" s="21"/>
      <c r="BB241" s="21"/>
      <c r="BC241" s="21"/>
      <c r="BD241" s="21"/>
      <c r="BE241" s="21"/>
    </row>
    <row r="242" spans="1:57" x14ac:dyDescent="0.25">
      <c r="A242" s="21"/>
      <c r="B242" s="64"/>
      <c r="C242" s="77">
        <f>'Key Generator'!D445</f>
        <v>0</v>
      </c>
      <c r="D242" s="77">
        <f>'Key Generator'!E445</f>
        <v>1</v>
      </c>
      <c r="E242" s="77">
        <f>'Key Generator'!F445</f>
        <v>0</v>
      </c>
      <c r="F242" s="77">
        <f>'Key Generator'!G445</f>
        <v>1</v>
      </c>
      <c r="G242" s="77">
        <f>'Key Generator'!H445</f>
        <v>0</v>
      </c>
      <c r="H242" s="77">
        <f>'Key Generator'!I445</f>
        <v>0</v>
      </c>
      <c r="I242" s="77">
        <f>'Key Generator'!J445</f>
        <v>0</v>
      </c>
      <c r="J242" s="77">
        <f>'Key Generator'!K445</f>
        <v>0</v>
      </c>
      <c r="K242" s="77">
        <f>'Key Generator'!L445</f>
        <v>1</v>
      </c>
      <c r="L242" s="77">
        <f>'Key Generator'!M445</f>
        <v>0</v>
      </c>
      <c r="M242" s="77">
        <f>'Key Generator'!N445</f>
        <v>1</v>
      </c>
      <c r="N242" s="77">
        <f>'Key Generator'!O445</f>
        <v>0</v>
      </c>
      <c r="O242" s="77">
        <f>'Key Generator'!P445</f>
        <v>1</v>
      </c>
      <c r="P242" s="77">
        <f>'Key Generator'!Q445</f>
        <v>0</v>
      </c>
      <c r="Q242" s="77">
        <f>'Key Generator'!R445</f>
        <v>0</v>
      </c>
      <c r="R242" s="77">
        <f>'Key Generator'!S445</f>
        <v>0</v>
      </c>
      <c r="S242" s="77">
        <f>'Key Generator'!T445</f>
        <v>0</v>
      </c>
      <c r="T242" s="77">
        <f>'Key Generator'!U445</f>
        <v>0</v>
      </c>
      <c r="U242" s="77">
        <f>'Key Generator'!V445</f>
        <v>0</v>
      </c>
      <c r="V242" s="77">
        <f>'Key Generator'!W445</f>
        <v>1</v>
      </c>
      <c r="W242" s="77">
        <f>'Key Generator'!X445</f>
        <v>1</v>
      </c>
      <c r="X242" s="77">
        <f>'Key Generator'!Y445</f>
        <v>1</v>
      </c>
      <c r="Y242" s="77">
        <f>'Key Generator'!Z445</f>
        <v>0</v>
      </c>
      <c r="Z242" s="77">
        <f>'Key Generator'!AA445</f>
        <v>0</v>
      </c>
      <c r="AA242" s="77">
        <f>'Key Generator'!AB445</f>
        <v>1</v>
      </c>
      <c r="AB242" s="77">
        <f>'Key Generator'!AC445</f>
        <v>1</v>
      </c>
      <c r="AC242" s="77">
        <f>'Key Generator'!AD445</f>
        <v>1</v>
      </c>
      <c r="AD242" s="77">
        <f>'Key Generator'!AE445</f>
        <v>1</v>
      </c>
      <c r="AE242" s="77">
        <f>'Key Generator'!AF445</f>
        <v>1</v>
      </c>
      <c r="AF242" s="77">
        <f>'Key Generator'!AG445</f>
        <v>1</v>
      </c>
      <c r="AG242" s="77">
        <f>'Key Generator'!AH445</f>
        <v>1</v>
      </c>
      <c r="AH242" s="77">
        <f>'Key Generator'!AI445</f>
        <v>0</v>
      </c>
      <c r="AI242" s="77">
        <f>'Key Generator'!AJ445</f>
        <v>0</v>
      </c>
      <c r="AJ242" s="77">
        <f>'Key Generator'!AK445</f>
        <v>1</v>
      </c>
      <c r="AK242" s="77">
        <f>'Key Generator'!AL445</f>
        <v>1</v>
      </c>
      <c r="AL242" s="77">
        <f>'Key Generator'!AM445</f>
        <v>0</v>
      </c>
      <c r="AM242" s="77">
        <f>'Key Generator'!AN445</f>
        <v>1</v>
      </c>
      <c r="AN242" s="77">
        <f>'Key Generator'!AO445</f>
        <v>1</v>
      </c>
      <c r="AO242" s="77">
        <f>'Key Generator'!AP445</f>
        <v>1</v>
      </c>
      <c r="AP242" s="77">
        <f>'Key Generator'!AQ445</f>
        <v>0</v>
      </c>
      <c r="AQ242" s="77">
        <f>'Key Generator'!AR445</f>
        <v>0</v>
      </c>
      <c r="AR242" s="77">
        <f>'Key Generator'!AS445</f>
        <v>0</v>
      </c>
      <c r="AS242" s="77">
        <f>'Key Generator'!AT445</f>
        <v>0</v>
      </c>
      <c r="AT242" s="77">
        <f>'Key Generator'!AU445</f>
        <v>1</v>
      </c>
      <c r="AU242" s="77">
        <f>'Key Generator'!AV445</f>
        <v>0</v>
      </c>
      <c r="AV242" s="77">
        <f>'Key Generator'!AW445</f>
        <v>0</v>
      </c>
      <c r="AW242" s="77">
        <f>'Key Generator'!AX445</f>
        <v>0</v>
      </c>
      <c r="AX242" s="77">
        <f>'Key Generator'!AY445</f>
        <v>1</v>
      </c>
      <c r="AY242" s="21"/>
      <c r="AZ242" s="21"/>
      <c r="BA242" s="21"/>
      <c r="BB242" s="21"/>
      <c r="BC242" s="21"/>
      <c r="BD242" s="21"/>
      <c r="BE242" s="21"/>
    </row>
    <row r="243" spans="1:57" x14ac:dyDescent="0.25">
      <c r="A243" s="21"/>
      <c r="B243" s="64"/>
      <c r="C243" s="62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</row>
    <row r="244" spans="1:57" x14ac:dyDescent="0.25">
      <c r="A244" s="21"/>
      <c r="B244" s="64"/>
      <c r="C244" s="62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</row>
    <row r="245" spans="1:57" x14ac:dyDescent="0.25">
      <c r="A245" s="128" t="s">
        <v>535</v>
      </c>
      <c r="B245" s="129"/>
      <c r="C245" s="79">
        <v>1</v>
      </c>
      <c r="D245" s="80">
        <v>2</v>
      </c>
      <c r="E245" s="79">
        <v>3</v>
      </c>
      <c r="F245" s="80">
        <v>4</v>
      </c>
      <c r="G245" s="79">
        <v>5</v>
      </c>
      <c r="H245" s="80">
        <v>6</v>
      </c>
      <c r="I245" s="79">
        <v>7</v>
      </c>
      <c r="J245" s="80">
        <v>8</v>
      </c>
      <c r="K245" s="79">
        <v>9</v>
      </c>
      <c r="L245" s="80">
        <v>10</v>
      </c>
      <c r="M245" s="79">
        <v>11</v>
      </c>
      <c r="N245" s="80">
        <v>12</v>
      </c>
      <c r="O245" s="79">
        <v>13</v>
      </c>
      <c r="P245" s="80">
        <v>14</v>
      </c>
      <c r="Q245" s="79">
        <v>15</v>
      </c>
      <c r="R245" s="80">
        <v>16</v>
      </c>
      <c r="S245" s="79">
        <v>17</v>
      </c>
      <c r="T245" s="80">
        <v>18</v>
      </c>
      <c r="U245" s="79">
        <v>19</v>
      </c>
      <c r="V245" s="80">
        <v>20</v>
      </c>
      <c r="W245" s="79">
        <v>21</v>
      </c>
      <c r="X245" s="80">
        <v>22</v>
      </c>
      <c r="Y245" s="79">
        <v>23</v>
      </c>
      <c r="Z245" s="80">
        <v>24</v>
      </c>
      <c r="AA245" s="79">
        <v>25</v>
      </c>
      <c r="AB245" s="80">
        <v>26</v>
      </c>
      <c r="AC245" s="79">
        <v>27</v>
      </c>
      <c r="AD245" s="80">
        <v>28</v>
      </c>
      <c r="AE245" s="79">
        <v>29</v>
      </c>
      <c r="AF245" s="80">
        <v>30</v>
      </c>
      <c r="AG245" s="79">
        <v>31</v>
      </c>
      <c r="AH245" s="80">
        <v>32</v>
      </c>
      <c r="AI245" s="79">
        <v>33</v>
      </c>
      <c r="AJ245" s="80">
        <v>34</v>
      </c>
      <c r="AK245" s="79">
        <v>35</v>
      </c>
      <c r="AL245" s="80">
        <v>36</v>
      </c>
      <c r="AM245" s="79">
        <v>37</v>
      </c>
      <c r="AN245" s="80">
        <v>38</v>
      </c>
      <c r="AO245" s="79">
        <v>39</v>
      </c>
      <c r="AP245" s="80">
        <v>40</v>
      </c>
      <c r="AQ245" s="79">
        <v>41</v>
      </c>
      <c r="AR245" s="80">
        <v>42</v>
      </c>
      <c r="AS245" s="79">
        <v>43</v>
      </c>
      <c r="AT245" s="80">
        <v>44</v>
      </c>
      <c r="AU245" s="79">
        <v>45</v>
      </c>
      <c r="AV245" s="80">
        <v>46</v>
      </c>
      <c r="AW245" s="79">
        <v>47</v>
      </c>
      <c r="AX245" s="80">
        <v>48</v>
      </c>
      <c r="AY245" s="21"/>
      <c r="AZ245" s="21"/>
      <c r="BA245" s="21"/>
      <c r="BB245" s="21"/>
      <c r="BC245" s="21"/>
      <c r="BD245" s="21"/>
      <c r="BE245" s="21"/>
    </row>
    <row r="246" spans="1:57" x14ac:dyDescent="0.25">
      <c r="A246" s="21"/>
      <c r="B246" s="64"/>
      <c r="C246" s="88">
        <f>--_xlfn.XOR(C238,'Key Generator'!D445)</f>
        <v>1</v>
      </c>
      <c r="D246" s="88">
        <f>--_xlfn.XOR(D238,'Key Generator'!E445)</f>
        <v>0</v>
      </c>
      <c r="E246" s="88">
        <f>--_xlfn.XOR(E238,'Key Generator'!F445)</f>
        <v>1</v>
      </c>
      <c r="F246" s="88">
        <f>--_xlfn.XOR(F238,'Key Generator'!G445)</f>
        <v>0</v>
      </c>
      <c r="G246" s="88">
        <f>--_xlfn.XOR(G238,'Key Generator'!H445)</f>
        <v>1</v>
      </c>
      <c r="H246" s="88">
        <f>--_xlfn.XOR(H238,'Key Generator'!I445)</f>
        <v>0</v>
      </c>
      <c r="I246" s="87">
        <f>--_xlfn.XOR(I238,'Key Generator'!J445)</f>
        <v>1</v>
      </c>
      <c r="J246" s="87">
        <f>--_xlfn.XOR(J238,'Key Generator'!K445)</f>
        <v>0</v>
      </c>
      <c r="K246" s="87">
        <f>--_xlfn.XOR(K238,'Key Generator'!L445)</f>
        <v>0</v>
      </c>
      <c r="L246" s="87">
        <f>--_xlfn.XOR(L238,'Key Generator'!M445)</f>
        <v>1</v>
      </c>
      <c r="M246" s="87">
        <f>--_xlfn.XOR(M238,'Key Generator'!N445)</f>
        <v>0</v>
      </c>
      <c r="N246" s="87">
        <f>--_xlfn.XOR(N238,'Key Generator'!O445)</f>
        <v>0</v>
      </c>
      <c r="O246" s="89">
        <f>--_xlfn.XOR(O238,'Key Generator'!P445)</f>
        <v>0</v>
      </c>
      <c r="P246" s="89">
        <f>--_xlfn.XOR(P238,'Key Generator'!Q445)</f>
        <v>0</v>
      </c>
      <c r="Q246" s="89">
        <f>--_xlfn.XOR(Q238,'Key Generator'!R445)</f>
        <v>0</v>
      </c>
      <c r="R246" s="89">
        <f>--_xlfn.XOR(R238,'Key Generator'!S445)</f>
        <v>1</v>
      </c>
      <c r="S246" s="89">
        <f>--_xlfn.XOR(S238,'Key Generator'!T445)</f>
        <v>0</v>
      </c>
      <c r="T246" s="89">
        <f>--_xlfn.XOR(T238,'Key Generator'!U445)</f>
        <v>0</v>
      </c>
      <c r="U246" s="149">
        <f>--_xlfn.XOR(U238,'Key Generator'!V445)</f>
        <v>0</v>
      </c>
      <c r="V246" s="149">
        <f>--_xlfn.XOR(V238,'Key Generator'!W445)</f>
        <v>1</v>
      </c>
      <c r="W246" s="149">
        <f>--_xlfn.XOR(W238,'Key Generator'!X445)</f>
        <v>0</v>
      </c>
      <c r="X246" s="149">
        <f>--_xlfn.XOR(X238,'Key Generator'!Y445)</f>
        <v>0</v>
      </c>
      <c r="Y246" s="149">
        <f>--_xlfn.XOR(Y238,'Key Generator'!Z445)</f>
        <v>0</v>
      </c>
      <c r="Z246" s="149">
        <f>--_xlfn.XOR(Z238,'Key Generator'!AA445)</f>
        <v>0</v>
      </c>
      <c r="AA246" s="91">
        <f>--_xlfn.XOR(AA238,'Key Generator'!AB445)</f>
        <v>1</v>
      </c>
      <c r="AB246" s="91">
        <f>--_xlfn.XOR(AB238,'Key Generator'!AC445)</f>
        <v>1</v>
      </c>
      <c r="AC246" s="91">
        <f>--_xlfn.XOR(AC238,'Key Generator'!AD445)</f>
        <v>1</v>
      </c>
      <c r="AD246" s="91">
        <f>--_xlfn.XOR(AD238,'Key Generator'!AE445)</f>
        <v>0</v>
      </c>
      <c r="AE246" s="91">
        <f>--_xlfn.XOR(AE238,'Key Generator'!AF445)</f>
        <v>1</v>
      </c>
      <c r="AF246" s="91">
        <f>--_xlfn.XOR(AF238,'Key Generator'!AG445)</f>
        <v>0</v>
      </c>
      <c r="AG246" s="92">
        <f>--_xlfn.XOR(AG238,'Key Generator'!AH445)</f>
        <v>1</v>
      </c>
      <c r="AH246" s="92">
        <f>--_xlfn.XOR(AH238,'Key Generator'!AI445)</f>
        <v>1</v>
      </c>
      <c r="AI246" s="92">
        <f>--_xlfn.XOR(AI238,'Key Generator'!AJ445)</f>
        <v>0</v>
      </c>
      <c r="AJ246" s="92">
        <f>--_xlfn.XOR(AJ238,'Key Generator'!AK445)</f>
        <v>1</v>
      </c>
      <c r="AK246" s="92">
        <f>--_xlfn.XOR(AK238,'Key Generator'!AL445)</f>
        <v>1</v>
      </c>
      <c r="AL246" s="92">
        <f>--_xlfn.XOR(AL238,'Key Generator'!AM445)</f>
        <v>1</v>
      </c>
      <c r="AM246" s="86">
        <f>--_xlfn.XOR(AM238,'Key Generator'!AN445)</f>
        <v>1</v>
      </c>
      <c r="AN246" s="86">
        <f>--_xlfn.XOR(AN238,'Key Generator'!AO445)</f>
        <v>0</v>
      </c>
      <c r="AO246" s="86">
        <f>--_xlfn.XOR(AO238,'Key Generator'!AP445)</f>
        <v>0</v>
      </c>
      <c r="AP246" s="86">
        <f>--_xlfn.XOR(AP238,'Key Generator'!AQ445)</f>
        <v>0</v>
      </c>
      <c r="AQ246" s="86">
        <f>--_xlfn.XOR(AQ238,'Key Generator'!AR445)</f>
        <v>0</v>
      </c>
      <c r="AR246" s="86">
        <f>--_xlfn.XOR(AR238,'Key Generator'!AS445)</f>
        <v>0</v>
      </c>
      <c r="AS246" s="81">
        <f>--_xlfn.XOR(AS238,'Key Generator'!AT445)</f>
        <v>0</v>
      </c>
      <c r="AT246" s="81">
        <f>--_xlfn.XOR(AT238,'Key Generator'!AU445)</f>
        <v>1</v>
      </c>
      <c r="AU246" s="81">
        <f>--_xlfn.XOR(AU238,'Key Generator'!AV445)</f>
        <v>1</v>
      </c>
      <c r="AV246" s="81">
        <f>--_xlfn.XOR(AV238,'Key Generator'!AW445)</f>
        <v>0</v>
      </c>
      <c r="AW246" s="81">
        <f>--_xlfn.XOR(AW238,'Key Generator'!AX445)</f>
        <v>1</v>
      </c>
      <c r="AX246" s="81">
        <f>--_xlfn.XOR(AX238,'Key Generator'!AY445)</f>
        <v>0</v>
      </c>
      <c r="AY246" s="21"/>
      <c r="AZ246" s="21"/>
      <c r="BA246" s="21"/>
      <c r="BB246" s="21"/>
      <c r="BC246" s="21"/>
      <c r="BD246" s="21"/>
      <c r="BE246" s="21"/>
    </row>
    <row r="247" spans="1:57" x14ac:dyDescent="0.25">
      <c r="A247" s="21"/>
      <c r="B247" s="64"/>
      <c r="C247" s="93"/>
      <c r="D247" s="94"/>
      <c r="E247" s="94"/>
      <c r="F247" s="94"/>
      <c r="G247" s="94"/>
      <c r="H247" s="94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</row>
    <row r="248" spans="1:57" x14ac:dyDescent="0.25">
      <c r="A248" s="96" t="s">
        <v>545</v>
      </c>
      <c r="B248" s="97"/>
      <c r="C248" s="161">
        <f>D246*8+E246*4+F246*2+G246</f>
        <v>5</v>
      </c>
      <c r="D248" s="97" t="s">
        <v>536</v>
      </c>
      <c r="E248" s="97"/>
      <c r="F248" s="97"/>
      <c r="G248" s="97"/>
      <c r="H248" s="97"/>
      <c r="I248" s="161">
        <f>J246*8+K246*4+L246*2+M246</f>
        <v>2</v>
      </c>
      <c r="J248" s="97" t="s">
        <v>537</v>
      </c>
      <c r="K248" s="97"/>
      <c r="L248" s="97"/>
      <c r="M248" s="97"/>
      <c r="N248" s="97"/>
      <c r="O248" s="161">
        <f>P246*8+Q246*4+R246*2+S246</f>
        <v>2</v>
      </c>
      <c r="P248" s="97" t="s">
        <v>538</v>
      </c>
      <c r="Q248" s="97"/>
      <c r="R248" s="97"/>
      <c r="S248" s="97"/>
      <c r="T248" s="97"/>
      <c r="U248" s="161">
        <f>V246*8+W246*4+X246*2+Y246</f>
        <v>8</v>
      </c>
      <c r="V248" s="97" t="s">
        <v>539</v>
      </c>
      <c r="W248" s="97"/>
      <c r="X248" s="97"/>
      <c r="Y248" s="97"/>
      <c r="Z248" s="97"/>
      <c r="AA248" s="161">
        <f>AB246*8+AC246*4+AD246*2+AE246</f>
        <v>13</v>
      </c>
      <c r="AB248" s="97" t="s">
        <v>540</v>
      </c>
      <c r="AC248" s="97"/>
      <c r="AD248" s="97"/>
      <c r="AE248" s="97"/>
      <c r="AF248" s="97"/>
      <c r="AG248" s="161">
        <f>AH246*8+AI246*4+AJ246*2+AK246</f>
        <v>11</v>
      </c>
      <c r="AH248" s="97" t="s">
        <v>541</v>
      </c>
      <c r="AI248" s="97"/>
      <c r="AJ248" s="97"/>
      <c r="AK248" s="97"/>
      <c r="AL248" s="97"/>
      <c r="AM248" s="161">
        <f>AN246*8+AO246*4+AP246*2+AQ246</f>
        <v>0</v>
      </c>
      <c r="AN248" s="97" t="s">
        <v>542</v>
      </c>
      <c r="AO248" s="97"/>
      <c r="AP248" s="97"/>
      <c r="AQ248" s="97"/>
      <c r="AR248" s="97"/>
      <c r="AS248" s="161">
        <f>AT246*8+AU246*4+AV246*2+AW246</f>
        <v>13</v>
      </c>
      <c r="AT248" s="97" t="s">
        <v>543</v>
      </c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</row>
    <row r="249" spans="1:57" x14ac:dyDescent="0.25">
      <c r="A249" s="100" t="s">
        <v>546</v>
      </c>
      <c r="B249" s="99"/>
      <c r="C249" s="87">
        <f>C246*2+H246</f>
        <v>2</v>
      </c>
      <c r="D249" s="98"/>
      <c r="E249" s="98"/>
      <c r="F249" s="99"/>
      <c r="G249" s="99"/>
      <c r="H249" s="99"/>
      <c r="I249" s="87">
        <f>I246*2+N246</f>
        <v>2</v>
      </c>
      <c r="J249" s="99"/>
      <c r="K249" s="99"/>
      <c r="L249" s="99"/>
      <c r="M249" s="99"/>
      <c r="N249" s="99"/>
      <c r="O249" s="87">
        <f>O246*2+T246</f>
        <v>0</v>
      </c>
      <c r="P249" s="99"/>
      <c r="Q249" s="99"/>
      <c r="R249" s="99"/>
      <c r="S249" s="99"/>
      <c r="T249" s="99"/>
      <c r="U249" s="87">
        <f>U246*2+Z246</f>
        <v>0</v>
      </c>
      <c r="V249" s="99"/>
      <c r="W249" s="99"/>
      <c r="X249" s="99"/>
      <c r="Y249" s="99"/>
      <c r="Z249" s="99"/>
      <c r="AA249" s="87">
        <f>AA246*2+AF246</f>
        <v>2</v>
      </c>
      <c r="AB249" s="99"/>
      <c r="AC249" s="99"/>
      <c r="AD249" s="99"/>
      <c r="AE249" s="99"/>
      <c r="AF249" s="99"/>
      <c r="AG249" s="87">
        <f>AG246*2+AL246</f>
        <v>3</v>
      </c>
      <c r="AH249" s="99"/>
      <c r="AI249" s="99"/>
      <c r="AJ249" s="99"/>
      <c r="AK249" s="99"/>
      <c r="AL249" s="99"/>
      <c r="AM249" s="87">
        <f>AM246*2+AR246</f>
        <v>2</v>
      </c>
      <c r="AN249" s="99"/>
      <c r="AO249" s="99"/>
      <c r="AP249" s="99"/>
      <c r="AQ249" s="99"/>
      <c r="AR249" s="99"/>
      <c r="AS249" s="87">
        <f>AS246*2+AX246</f>
        <v>0</v>
      </c>
      <c r="AT249" s="99"/>
      <c r="AU249" s="99"/>
      <c r="AV249" s="99"/>
      <c r="AW249" s="99"/>
      <c r="AX249" s="99"/>
      <c r="AY249" s="99"/>
      <c r="AZ249" s="99"/>
      <c r="BA249" s="99"/>
      <c r="BB249" s="99"/>
      <c r="BC249" s="99"/>
      <c r="BD249" s="99"/>
      <c r="BE249" s="99"/>
    </row>
    <row r="250" spans="1:57" x14ac:dyDescent="0.25">
      <c r="A250" s="21"/>
      <c r="B250" s="64"/>
      <c r="C250" s="62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</row>
    <row r="251" spans="1:57" x14ac:dyDescent="0.25">
      <c r="A251" s="117" t="s">
        <v>547</v>
      </c>
      <c r="B251" s="64"/>
      <c r="C251" s="72">
        <f>INDEX('S-Box'!D3:S6,'DES-Dec'!C249+1,'DES-Dec'!C248+1)</f>
        <v>6</v>
      </c>
      <c r="D251" s="21"/>
      <c r="E251" s="21"/>
      <c r="F251" s="21"/>
      <c r="G251" s="21"/>
      <c r="H251" s="21"/>
      <c r="I251" s="168">
        <f>INDEX('S-Box'!D9:S12,'DES-Dec'!I249+1,'DES-Dec'!I248+1)</f>
        <v>7</v>
      </c>
      <c r="J251" s="21"/>
      <c r="K251" s="21"/>
      <c r="L251" s="21"/>
      <c r="M251" s="21"/>
      <c r="N251" s="21"/>
      <c r="O251" s="168">
        <f>INDEX('S-Box'!D15:S18,'DES-Dec'!O249+1,'DES-Dec'!O248+1)</f>
        <v>9</v>
      </c>
      <c r="P251" s="21"/>
      <c r="Q251" s="21"/>
      <c r="R251" s="21"/>
      <c r="S251" s="21"/>
      <c r="T251" s="21"/>
      <c r="U251" s="168">
        <f>INDEX('S-Box'!D21:S24,'DES-Dec'!U249+1,'DES-Dec'!U248+1)</f>
        <v>1</v>
      </c>
      <c r="V251" s="21"/>
      <c r="W251" s="21"/>
      <c r="X251" s="21"/>
      <c r="Y251" s="21"/>
      <c r="Z251" s="21"/>
      <c r="AA251" s="168">
        <f>INDEX('S-Box'!D27:S30,'DES-Dec'!AA249+1,'DES-Dec'!AA248+1)</f>
        <v>3</v>
      </c>
      <c r="AB251" s="21"/>
      <c r="AC251" s="21"/>
      <c r="AD251" s="21"/>
      <c r="AE251" s="21"/>
      <c r="AF251" s="21"/>
      <c r="AG251" s="168">
        <f>INDEX('S-Box'!D33:S36,'DES-Dec'!AG249+1,'DES-Dec'!AG248+1)</f>
        <v>7</v>
      </c>
      <c r="AH251" s="21"/>
      <c r="AI251" s="21"/>
      <c r="AJ251" s="21"/>
      <c r="AK251" s="21"/>
      <c r="AL251" s="21"/>
      <c r="AM251" s="168">
        <f>INDEX('S-Box'!D39:S42,'DES-Dec'!AM249+1,'DES-Dec'!AM248+1)</f>
        <v>1</v>
      </c>
      <c r="AN251" s="21"/>
      <c r="AO251" s="21"/>
      <c r="AP251" s="21"/>
      <c r="AQ251" s="21"/>
      <c r="AR251" s="21"/>
      <c r="AS251" s="168">
        <f>INDEX('S-Box'!D45:S48,'DES-Dec'!AS249+1,'DES-Dec'!AS248+1)</f>
        <v>0</v>
      </c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</row>
    <row r="252" spans="1:57" x14ac:dyDescent="0.25">
      <c r="A252" s="21"/>
      <c r="B252" s="64"/>
      <c r="C252" s="104"/>
      <c r="D252" s="21"/>
      <c r="E252" s="21"/>
      <c r="F252" s="21"/>
      <c r="G252" s="21"/>
      <c r="H252" s="21"/>
      <c r="I252" s="95"/>
      <c r="J252" s="21"/>
      <c r="K252" s="21"/>
      <c r="L252" s="21"/>
      <c r="M252" s="21"/>
      <c r="N252" s="21"/>
      <c r="O252" s="95"/>
      <c r="P252" s="21"/>
      <c r="Q252" s="21"/>
      <c r="R252" s="21"/>
      <c r="S252" s="21"/>
      <c r="T252" s="21"/>
      <c r="U252" s="95"/>
      <c r="V252" s="21"/>
      <c r="W252" s="21"/>
      <c r="X252" s="21"/>
      <c r="Y252" s="21"/>
      <c r="Z252" s="21"/>
      <c r="AA252" s="95"/>
      <c r="AB252" s="21"/>
      <c r="AC252" s="21"/>
      <c r="AD252" s="21"/>
      <c r="AE252" s="21"/>
      <c r="AF252" s="21"/>
      <c r="AG252" s="95"/>
      <c r="AH252" s="21"/>
      <c r="AI252" s="21"/>
      <c r="AJ252" s="21"/>
      <c r="AK252" s="21"/>
      <c r="AL252" s="21"/>
      <c r="AM252" s="95"/>
      <c r="AN252" s="21"/>
      <c r="AO252" s="21"/>
      <c r="AP252" s="21"/>
      <c r="AQ252" s="21"/>
      <c r="AR252" s="21"/>
      <c r="AS252" s="95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</row>
    <row r="253" spans="1:57" x14ac:dyDescent="0.25">
      <c r="A253" s="21"/>
      <c r="B253" s="64"/>
      <c r="C253" s="105" t="str">
        <f>MID(DEC2BIN(C251,4),1,1)</f>
        <v>0</v>
      </c>
      <c r="D253" s="106" t="str">
        <f>MID(DEC2BIN(C251,4),2,1)</f>
        <v>1</v>
      </c>
      <c r="E253" s="106" t="str">
        <f>MID(DEC2BIN(C251,4),3,1)</f>
        <v>1</v>
      </c>
      <c r="F253" s="107" t="str">
        <f>MID(DEC2BIN(C251,4),4,1)</f>
        <v>0</v>
      </c>
      <c r="G253" s="21"/>
      <c r="H253" s="21"/>
      <c r="I253" s="105" t="str">
        <f>MID(DEC2BIN(I251,4),1,1)</f>
        <v>0</v>
      </c>
      <c r="J253" s="106" t="str">
        <f>MID(DEC2BIN(I251,4),2,1)</f>
        <v>1</v>
      </c>
      <c r="K253" s="106" t="str">
        <f>MID(DEC2BIN(I251,4),3,1)</f>
        <v>1</v>
      </c>
      <c r="L253" s="107" t="str">
        <f>MID(DEC2BIN(I251,4),4,1)</f>
        <v>1</v>
      </c>
      <c r="M253" s="21"/>
      <c r="N253" s="21"/>
      <c r="O253" s="105" t="str">
        <f>MID(DEC2BIN(O251,4),1,1)</f>
        <v>1</v>
      </c>
      <c r="P253" s="106" t="str">
        <f>MID(DEC2BIN(O251,4),2,1)</f>
        <v>0</v>
      </c>
      <c r="Q253" s="106" t="str">
        <f>MID(DEC2BIN(O251,4),3,1)</f>
        <v>0</v>
      </c>
      <c r="R253" s="107" t="str">
        <f>MID(DEC2BIN(O251,4),4,1)</f>
        <v>1</v>
      </c>
      <c r="S253" s="21"/>
      <c r="T253" s="21"/>
      <c r="U253" s="105" t="str">
        <f>MID(DEC2BIN(U251,4),1,1)</f>
        <v>0</v>
      </c>
      <c r="V253" s="106" t="str">
        <f>MID(DEC2BIN(U251,4),2,1)</f>
        <v>0</v>
      </c>
      <c r="W253" s="106" t="str">
        <f>MID(DEC2BIN(U251,4),3,1)</f>
        <v>0</v>
      </c>
      <c r="X253" s="107" t="str">
        <f>MID(DEC2BIN(U251,4),4,1)</f>
        <v>1</v>
      </c>
      <c r="Y253" s="21"/>
      <c r="Z253" s="21"/>
      <c r="AA253" s="105" t="str">
        <f>MID(DEC2BIN(AA251,4),1,1)</f>
        <v>0</v>
      </c>
      <c r="AB253" s="106" t="str">
        <f>MID(DEC2BIN(AA251,4),2,1)</f>
        <v>0</v>
      </c>
      <c r="AC253" s="106" t="str">
        <f>MID(DEC2BIN(AA251,4),3,1)</f>
        <v>1</v>
      </c>
      <c r="AD253" s="107" t="str">
        <f>MID(DEC2BIN(AA251,4),4,1)</f>
        <v>1</v>
      </c>
      <c r="AE253" s="21"/>
      <c r="AF253" s="21"/>
      <c r="AG253" s="105" t="str">
        <f>MID(DEC2BIN(AG251,4),1,1)</f>
        <v>0</v>
      </c>
      <c r="AH253" s="106" t="str">
        <f>MID(DEC2BIN(AG251,4),2,1)</f>
        <v>1</v>
      </c>
      <c r="AI253" s="106" t="str">
        <f>MID(DEC2BIN(AG251,4),3,1)</f>
        <v>1</v>
      </c>
      <c r="AJ253" s="107" t="str">
        <f>MID(DEC2BIN(AG251,4),4,1)</f>
        <v>1</v>
      </c>
      <c r="AK253" s="21"/>
      <c r="AL253" s="21"/>
      <c r="AM253" s="105" t="str">
        <f>MID(DEC2BIN(AM251,4),1,1)</f>
        <v>0</v>
      </c>
      <c r="AN253" s="106" t="str">
        <f>MID(DEC2BIN(AM251,4),2,1)</f>
        <v>0</v>
      </c>
      <c r="AO253" s="106" t="str">
        <f>MID(DEC2BIN(AM251,4),3,1)</f>
        <v>0</v>
      </c>
      <c r="AP253" s="107" t="str">
        <f>MID(DEC2BIN(AM251,4),4,1)</f>
        <v>1</v>
      </c>
      <c r="AQ253" s="21"/>
      <c r="AR253" s="21"/>
      <c r="AS253" s="105" t="str">
        <f>MID(DEC2BIN(AS251,4),1,1)</f>
        <v>0</v>
      </c>
      <c r="AT253" s="106" t="str">
        <f>MID(DEC2BIN(AS251,4),2,1)</f>
        <v>0</v>
      </c>
      <c r="AU253" s="106" t="str">
        <f>MID(DEC2BIN(AS251,4),3,1)</f>
        <v>0</v>
      </c>
      <c r="AV253" s="107" t="str">
        <f>MID(DEC2BIN(AS251,4),4,1)</f>
        <v>0</v>
      </c>
      <c r="AW253" s="21"/>
      <c r="AX253" s="21"/>
      <c r="AY253" s="21"/>
      <c r="AZ253" s="21"/>
      <c r="BA253" s="21"/>
      <c r="BB253" s="21"/>
      <c r="BC253" s="21"/>
      <c r="BD253" s="21"/>
      <c r="BE253" s="21"/>
    </row>
    <row r="254" spans="1:57" s="21" customFormat="1" ht="24.95" customHeight="1" x14ac:dyDescent="0.25">
      <c r="B254" s="64"/>
      <c r="C254" s="21">
        <f>VALUE(C253)</f>
        <v>0</v>
      </c>
      <c r="D254" s="21">
        <f t="shared" ref="D254" si="688">VALUE(D253)</f>
        <v>1</v>
      </c>
      <c r="E254" s="21">
        <f t="shared" ref="E254" si="689">VALUE(E253)</f>
        <v>1</v>
      </c>
      <c r="F254" s="21">
        <f t="shared" ref="F254" si="690">VALUE(F253)</f>
        <v>0</v>
      </c>
      <c r="I254" s="21">
        <f t="shared" ref="I254" si="691">VALUE(I253)</f>
        <v>0</v>
      </c>
      <c r="J254" s="21">
        <f t="shared" ref="J254" si="692">VALUE(J253)</f>
        <v>1</v>
      </c>
      <c r="K254" s="21">
        <f t="shared" ref="K254" si="693">VALUE(K253)</f>
        <v>1</v>
      </c>
      <c r="L254" s="21">
        <f t="shared" ref="L254" si="694">VALUE(L253)</f>
        <v>1</v>
      </c>
      <c r="O254" s="21">
        <f>VALUE(O253)</f>
        <v>1</v>
      </c>
      <c r="P254" s="21">
        <f t="shared" ref="P254" si="695">VALUE(P253)</f>
        <v>0</v>
      </c>
      <c r="Q254" s="21">
        <f t="shared" ref="Q254" si="696">VALUE(Q253)</f>
        <v>0</v>
      </c>
      <c r="R254" s="21">
        <f t="shared" ref="R254" si="697">VALUE(R253)</f>
        <v>1</v>
      </c>
      <c r="U254" s="21">
        <f>VALUE(U253)</f>
        <v>0</v>
      </c>
      <c r="V254" s="21">
        <f t="shared" ref="V254" si="698">VALUE(V253)</f>
        <v>0</v>
      </c>
      <c r="W254" s="21">
        <f t="shared" ref="W254" si="699">VALUE(W253)</f>
        <v>0</v>
      </c>
      <c r="X254" s="21">
        <f t="shared" ref="X254" si="700">VALUE(X253)</f>
        <v>1</v>
      </c>
      <c r="AA254" s="21">
        <f>VALUE(AA253)</f>
        <v>0</v>
      </c>
      <c r="AB254" s="21">
        <f t="shared" ref="AB254" si="701">VALUE(AB253)</f>
        <v>0</v>
      </c>
      <c r="AC254" s="21">
        <f t="shared" ref="AC254" si="702">VALUE(AC253)</f>
        <v>1</v>
      </c>
      <c r="AD254" s="21">
        <f t="shared" ref="AD254" si="703">VALUE(AD253)</f>
        <v>1</v>
      </c>
      <c r="AG254" s="21">
        <f>VALUE(AG253)</f>
        <v>0</v>
      </c>
      <c r="AH254" s="21">
        <f t="shared" ref="AH254" si="704">VALUE(AH253)</f>
        <v>1</v>
      </c>
      <c r="AI254" s="21">
        <f t="shared" ref="AI254" si="705">VALUE(AI253)</f>
        <v>1</v>
      </c>
      <c r="AJ254" s="21">
        <f t="shared" ref="AJ254" si="706">VALUE(AJ253)</f>
        <v>1</v>
      </c>
      <c r="AM254" s="21">
        <f>VALUE(AM253)</f>
        <v>0</v>
      </c>
      <c r="AN254" s="21">
        <f t="shared" ref="AN254" si="707">VALUE(AN253)</f>
        <v>0</v>
      </c>
      <c r="AO254" s="21">
        <f t="shared" ref="AO254" si="708">VALUE(AO253)</f>
        <v>0</v>
      </c>
      <c r="AP254" s="21">
        <f t="shared" ref="AP254" si="709">VALUE(AP253)</f>
        <v>1</v>
      </c>
      <c r="AS254" s="21">
        <f>VALUE(AS253)</f>
        <v>0</v>
      </c>
      <c r="AT254" s="21">
        <f t="shared" ref="AT254" si="710">VALUE(AT253)</f>
        <v>0</v>
      </c>
      <c r="AU254" s="21">
        <f t="shared" ref="AU254" si="711">VALUE(AU253)</f>
        <v>0</v>
      </c>
      <c r="AV254" s="21">
        <f t="shared" ref="AV254" si="712">VALUE(AV253)</f>
        <v>0</v>
      </c>
    </row>
    <row r="255" spans="1:57" s="21" customFormat="1" ht="24.95" customHeight="1" x14ac:dyDescent="0.25">
      <c r="A255" s="111" t="s">
        <v>588</v>
      </c>
      <c r="B255" s="111"/>
      <c r="C255" s="111">
        <v>1</v>
      </c>
      <c r="D255" s="76">
        <v>2</v>
      </c>
      <c r="E255" s="111">
        <v>3</v>
      </c>
      <c r="F255" s="76">
        <v>4</v>
      </c>
      <c r="G255" s="111">
        <v>5</v>
      </c>
      <c r="H255" s="76">
        <v>6</v>
      </c>
      <c r="I255" s="111">
        <v>7</v>
      </c>
      <c r="J255" s="76">
        <v>8</v>
      </c>
      <c r="K255" s="111">
        <v>9</v>
      </c>
      <c r="L255" s="76">
        <v>10</v>
      </c>
      <c r="M255" s="111">
        <v>11</v>
      </c>
      <c r="N255" s="76">
        <v>12</v>
      </c>
      <c r="O255" s="111">
        <v>13</v>
      </c>
      <c r="P255" s="76">
        <v>14</v>
      </c>
      <c r="Q255" s="111">
        <v>15</v>
      </c>
      <c r="R255" s="76">
        <v>16</v>
      </c>
      <c r="S255" s="111">
        <v>17</v>
      </c>
      <c r="T255" s="76">
        <v>18</v>
      </c>
      <c r="U255" s="111">
        <v>19</v>
      </c>
      <c r="V255" s="76">
        <v>20</v>
      </c>
      <c r="W255" s="111">
        <v>21</v>
      </c>
      <c r="X255" s="76">
        <v>22</v>
      </c>
      <c r="Y255" s="111">
        <v>23</v>
      </c>
      <c r="Z255" s="76">
        <v>24</v>
      </c>
      <c r="AA255" s="111">
        <v>25</v>
      </c>
      <c r="AB255" s="76">
        <v>26</v>
      </c>
      <c r="AC255" s="111">
        <v>27</v>
      </c>
      <c r="AD255" s="76">
        <v>28</v>
      </c>
      <c r="AE255" s="111">
        <v>29</v>
      </c>
      <c r="AF255" s="76">
        <v>30</v>
      </c>
      <c r="AG255" s="111">
        <v>31</v>
      </c>
      <c r="AH255" s="76">
        <v>32</v>
      </c>
    </row>
    <row r="256" spans="1:57" s="21" customFormat="1" ht="24.95" customHeight="1" x14ac:dyDescent="0.25">
      <c r="B256" s="64"/>
      <c r="C256" s="108">
        <f>C254</f>
        <v>0</v>
      </c>
      <c r="D256" s="108">
        <f t="shared" ref="D256:F256" si="713">D254</f>
        <v>1</v>
      </c>
      <c r="E256" s="108">
        <f t="shared" si="713"/>
        <v>1</v>
      </c>
      <c r="F256" s="108">
        <f t="shared" si="713"/>
        <v>0</v>
      </c>
      <c r="G256" s="23">
        <f>I254</f>
        <v>0</v>
      </c>
      <c r="H256" s="23">
        <f t="shared" ref="H256" si="714">J254</f>
        <v>1</v>
      </c>
      <c r="I256" s="23">
        <f t="shared" ref="I256" si="715">K254</f>
        <v>1</v>
      </c>
      <c r="J256" s="23">
        <f t="shared" ref="J256" si="716">L254</f>
        <v>1</v>
      </c>
      <c r="K256" s="23">
        <f>O254</f>
        <v>1</v>
      </c>
      <c r="L256" s="23">
        <f t="shared" ref="L256" si="717">P254</f>
        <v>0</v>
      </c>
      <c r="M256" s="23">
        <f t="shared" ref="M256" si="718">Q254</f>
        <v>0</v>
      </c>
      <c r="N256" s="23">
        <f t="shared" ref="N256" si="719">R254</f>
        <v>1</v>
      </c>
      <c r="O256" s="23">
        <f>U254</f>
        <v>0</v>
      </c>
      <c r="P256" s="23">
        <f t="shared" ref="P256" si="720">V254</f>
        <v>0</v>
      </c>
      <c r="Q256" s="23">
        <f t="shared" ref="Q256" si="721">W254</f>
        <v>0</v>
      </c>
      <c r="R256" s="23">
        <f t="shared" ref="R256" si="722">X254</f>
        <v>1</v>
      </c>
      <c r="S256" s="23">
        <f>AA254</f>
        <v>0</v>
      </c>
      <c r="T256" s="23">
        <f t="shared" ref="T256" si="723">AB254</f>
        <v>0</v>
      </c>
      <c r="U256" s="23">
        <f t="shared" ref="U256" si="724">AC254</f>
        <v>1</v>
      </c>
      <c r="V256" s="23">
        <f t="shared" ref="V256" si="725">AD254</f>
        <v>1</v>
      </c>
      <c r="W256" s="23">
        <f>AG254</f>
        <v>0</v>
      </c>
      <c r="X256" s="23">
        <f t="shared" ref="X256" si="726">AH254</f>
        <v>1</v>
      </c>
      <c r="Y256" s="23">
        <f t="shared" ref="Y256" si="727">AI254</f>
        <v>1</v>
      </c>
      <c r="Z256" s="23">
        <f t="shared" ref="Z256" si="728">AJ254</f>
        <v>1</v>
      </c>
      <c r="AA256" s="23">
        <f>AM254</f>
        <v>0</v>
      </c>
      <c r="AB256" s="23">
        <f t="shared" ref="AB256" si="729">AN254</f>
        <v>0</v>
      </c>
      <c r="AC256" s="23">
        <f t="shared" ref="AC256" si="730">AO254</f>
        <v>0</v>
      </c>
      <c r="AD256" s="23">
        <f t="shared" ref="AD256" si="731">AP254</f>
        <v>1</v>
      </c>
      <c r="AE256" s="23">
        <f>AS254</f>
        <v>0</v>
      </c>
      <c r="AF256" s="23">
        <f t="shared" ref="AF256" si="732">AT254</f>
        <v>0</v>
      </c>
      <c r="AG256" s="23">
        <f t="shared" ref="AG256" si="733">AU254</f>
        <v>0</v>
      </c>
      <c r="AH256" s="23">
        <f t="shared" ref="AH256" si="734">AV254</f>
        <v>0</v>
      </c>
    </row>
    <row r="257" spans="1:57" x14ac:dyDescent="0.25">
      <c r="A257" s="21"/>
      <c r="B257" s="64"/>
      <c r="C257" s="62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</row>
    <row r="258" spans="1:57" x14ac:dyDescent="0.25">
      <c r="A258" s="110" t="s">
        <v>548</v>
      </c>
      <c r="B258" s="110"/>
      <c r="C258" s="109">
        <v>16</v>
      </c>
      <c r="D258" s="110">
        <v>7</v>
      </c>
      <c r="E258" s="110">
        <v>20</v>
      </c>
      <c r="F258" s="110">
        <v>21</v>
      </c>
      <c r="G258" s="110">
        <v>29</v>
      </c>
      <c r="H258" s="110">
        <v>12</v>
      </c>
      <c r="I258" s="110">
        <v>28</v>
      </c>
      <c r="J258" s="110">
        <v>17</v>
      </c>
      <c r="K258" s="110">
        <v>1</v>
      </c>
      <c r="L258" s="110">
        <v>15</v>
      </c>
      <c r="M258" s="110">
        <v>23</v>
      </c>
      <c r="N258" s="110">
        <v>26</v>
      </c>
      <c r="O258" s="110">
        <v>5</v>
      </c>
      <c r="P258" s="110">
        <v>18</v>
      </c>
      <c r="Q258" s="110">
        <v>31</v>
      </c>
      <c r="R258" s="110">
        <v>10</v>
      </c>
      <c r="S258" s="110">
        <v>2</v>
      </c>
      <c r="T258" s="110">
        <v>8</v>
      </c>
      <c r="U258" s="110">
        <v>24</v>
      </c>
      <c r="V258" s="110">
        <v>14</v>
      </c>
      <c r="W258" s="110">
        <v>32</v>
      </c>
      <c r="X258" s="110">
        <v>27</v>
      </c>
      <c r="Y258" s="110">
        <v>3</v>
      </c>
      <c r="Z258" s="110">
        <v>9</v>
      </c>
      <c r="AA258" s="110">
        <v>19</v>
      </c>
      <c r="AB258" s="110">
        <v>13</v>
      </c>
      <c r="AC258" s="110">
        <v>30</v>
      </c>
      <c r="AD258" s="110">
        <v>6</v>
      </c>
      <c r="AE258" s="110">
        <v>22</v>
      </c>
      <c r="AF258" s="110">
        <v>11</v>
      </c>
      <c r="AG258" s="110">
        <v>4</v>
      </c>
      <c r="AH258" s="110">
        <v>25</v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</row>
    <row r="259" spans="1:57" x14ac:dyDescent="0.25">
      <c r="A259" s="21"/>
      <c r="B259" s="64"/>
      <c r="C259" s="103">
        <f>K256</f>
        <v>1</v>
      </c>
      <c r="D259" s="103">
        <f>S256</f>
        <v>0</v>
      </c>
      <c r="E259" s="103">
        <f>Y256</f>
        <v>1</v>
      </c>
      <c r="F259" s="112">
        <f>AG256</f>
        <v>0</v>
      </c>
      <c r="G259" s="103">
        <f>O256</f>
        <v>0</v>
      </c>
      <c r="H259" s="103">
        <f>AD256</f>
        <v>1</v>
      </c>
      <c r="I259" s="103">
        <f>D256</f>
        <v>1</v>
      </c>
      <c r="J259" s="103">
        <f>T256</f>
        <v>0</v>
      </c>
      <c r="K259" s="103">
        <f>Z256</f>
        <v>1</v>
      </c>
      <c r="L259" s="103">
        <f>R256</f>
        <v>1</v>
      </c>
      <c r="M259" s="103">
        <f>AF256</f>
        <v>0</v>
      </c>
      <c r="N259" s="103">
        <f>H256</f>
        <v>1</v>
      </c>
      <c r="O259" s="103">
        <f>AB256</f>
        <v>0</v>
      </c>
      <c r="P259" s="103">
        <f>V256</f>
        <v>1</v>
      </c>
      <c r="Q259" s="103">
        <f>L256</f>
        <v>0</v>
      </c>
      <c r="R259" s="103">
        <f>C256</f>
        <v>0</v>
      </c>
      <c r="S259" s="103">
        <f>J256</f>
        <v>1</v>
      </c>
      <c r="T259" s="103">
        <f>P256</f>
        <v>0</v>
      </c>
      <c r="U259" s="103">
        <f>AA256</f>
        <v>0</v>
      </c>
      <c r="V259" s="103">
        <f>E256</f>
        <v>1</v>
      </c>
      <c r="W259" s="103">
        <f>F256</f>
        <v>0</v>
      </c>
      <c r="X259" s="103">
        <f>AE256</f>
        <v>0</v>
      </c>
      <c r="Y259" s="103">
        <f>M256</f>
        <v>0</v>
      </c>
      <c r="Z259" s="103">
        <f>U256</f>
        <v>1</v>
      </c>
      <c r="AA259" s="103">
        <f>AH256</f>
        <v>0</v>
      </c>
      <c r="AB259" s="103">
        <f>N256</f>
        <v>1</v>
      </c>
      <c r="AC259" s="103">
        <f>X256</f>
        <v>1</v>
      </c>
      <c r="AD259" s="103">
        <f>I256</f>
        <v>1</v>
      </c>
      <c r="AE259" s="103">
        <f>G256</f>
        <v>0</v>
      </c>
      <c r="AF259" s="103">
        <f>AC256</f>
        <v>0</v>
      </c>
      <c r="AG259" s="103">
        <f>Q256</f>
        <v>0</v>
      </c>
      <c r="AH259" s="103">
        <f>W256</f>
        <v>0</v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</row>
    <row r="260" spans="1:57" x14ac:dyDescent="0.25">
      <c r="A260" s="21"/>
      <c r="B260" s="64"/>
      <c r="C260" s="130">
        <v>1</v>
      </c>
      <c r="D260" s="131">
        <v>2</v>
      </c>
      <c r="E260" s="130">
        <v>3</v>
      </c>
      <c r="F260" s="131">
        <v>4</v>
      </c>
      <c r="G260" s="130">
        <v>5</v>
      </c>
      <c r="H260" s="131">
        <v>6</v>
      </c>
      <c r="I260" s="130">
        <v>7</v>
      </c>
      <c r="J260" s="131">
        <v>8</v>
      </c>
      <c r="K260" s="130">
        <v>9</v>
      </c>
      <c r="L260" s="131">
        <v>10</v>
      </c>
      <c r="M260" s="130">
        <v>11</v>
      </c>
      <c r="N260" s="131">
        <v>12</v>
      </c>
      <c r="O260" s="130">
        <v>13</v>
      </c>
      <c r="P260" s="131">
        <v>14</v>
      </c>
      <c r="Q260" s="130">
        <v>15</v>
      </c>
      <c r="R260" s="131">
        <v>16</v>
      </c>
      <c r="S260" s="130">
        <v>17</v>
      </c>
      <c r="T260" s="131">
        <v>18</v>
      </c>
      <c r="U260" s="130">
        <v>19</v>
      </c>
      <c r="V260" s="131">
        <v>20</v>
      </c>
      <c r="W260" s="130">
        <v>21</v>
      </c>
      <c r="X260" s="131">
        <v>22</v>
      </c>
      <c r="Y260" s="130">
        <v>23</v>
      </c>
      <c r="Z260" s="131">
        <v>24</v>
      </c>
      <c r="AA260" s="130">
        <v>25</v>
      </c>
      <c r="AB260" s="131">
        <v>26</v>
      </c>
      <c r="AC260" s="130">
        <v>27</v>
      </c>
      <c r="AD260" s="131">
        <v>28</v>
      </c>
      <c r="AE260" s="130">
        <v>29</v>
      </c>
      <c r="AF260" s="131">
        <v>30</v>
      </c>
      <c r="AG260" s="130">
        <v>31</v>
      </c>
      <c r="AH260" s="131">
        <v>32</v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</row>
    <row r="261" spans="1:57" x14ac:dyDescent="0.25">
      <c r="A261" s="21"/>
      <c r="B261" s="64"/>
      <c r="C261" s="62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</row>
    <row r="262" spans="1:57" x14ac:dyDescent="0.25">
      <c r="A262" s="21"/>
      <c r="B262" s="64"/>
      <c r="C262" s="62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</row>
    <row r="263" spans="1:57" x14ac:dyDescent="0.25">
      <c r="A263" s="21"/>
      <c r="B263" s="64"/>
      <c r="C263" s="62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</row>
    <row r="264" spans="1:57" x14ac:dyDescent="0.25">
      <c r="A264" s="114" t="s">
        <v>526</v>
      </c>
      <c r="B264" s="114"/>
      <c r="C264" s="114"/>
      <c r="D264" s="68">
        <v>1</v>
      </c>
      <c r="E264" s="68">
        <v>2</v>
      </c>
      <c r="F264" s="68">
        <v>3</v>
      </c>
      <c r="G264" s="68">
        <v>4</v>
      </c>
      <c r="H264" s="68">
        <v>5</v>
      </c>
      <c r="I264" s="68">
        <v>6</v>
      </c>
      <c r="J264" s="68">
        <v>7</v>
      </c>
      <c r="K264" s="68">
        <v>8</v>
      </c>
      <c r="L264" s="68">
        <v>9</v>
      </c>
      <c r="M264" s="68">
        <v>10</v>
      </c>
      <c r="N264" s="68">
        <v>11</v>
      </c>
      <c r="O264" s="68">
        <v>12</v>
      </c>
      <c r="P264" s="68">
        <v>13</v>
      </c>
      <c r="Q264" s="68">
        <v>14</v>
      </c>
      <c r="R264" s="68">
        <v>15</v>
      </c>
      <c r="S264" s="68">
        <v>16</v>
      </c>
      <c r="T264" s="68">
        <v>17</v>
      </c>
      <c r="U264" s="68">
        <v>18</v>
      </c>
      <c r="V264" s="68">
        <v>19</v>
      </c>
      <c r="W264" s="68">
        <v>20</v>
      </c>
      <c r="X264" s="68">
        <v>21</v>
      </c>
      <c r="Y264" s="68">
        <v>22</v>
      </c>
      <c r="Z264" s="68">
        <v>23</v>
      </c>
      <c r="AA264" s="68">
        <v>24</v>
      </c>
      <c r="AB264" s="68">
        <v>25</v>
      </c>
      <c r="AC264" s="68">
        <v>26</v>
      </c>
      <c r="AD264" s="68">
        <v>27</v>
      </c>
      <c r="AE264" s="68">
        <v>28</v>
      </c>
      <c r="AF264" s="68">
        <v>29</v>
      </c>
      <c r="AG264" s="68">
        <v>30</v>
      </c>
      <c r="AH264" s="68">
        <v>31</v>
      </c>
      <c r="AI264" s="68">
        <v>32</v>
      </c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</row>
    <row r="265" spans="1:57" x14ac:dyDescent="0.25">
      <c r="A265" s="64" t="s">
        <v>549</v>
      </c>
      <c r="B265" s="64"/>
      <c r="C265" s="62"/>
      <c r="D265" s="68">
        <f>C223</f>
        <v>1</v>
      </c>
      <c r="E265" s="68">
        <f t="shared" ref="E265" si="735">D223</f>
        <v>1</v>
      </c>
      <c r="F265" s="68">
        <f t="shared" ref="F265" si="736">E223</f>
        <v>1</v>
      </c>
      <c r="G265" s="68">
        <f t="shared" ref="G265" si="737">F223</f>
        <v>1</v>
      </c>
      <c r="H265" s="68">
        <f t="shared" ref="H265" si="738">G223</f>
        <v>0</v>
      </c>
      <c r="I265" s="68">
        <f t="shared" ref="I265" si="739">H223</f>
        <v>1</v>
      </c>
      <c r="J265" s="68">
        <f t="shared" ref="J265" si="740">I223</f>
        <v>1</v>
      </c>
      <c r="K265" s="68">
        <f t="shared" ref="K265" si="741">J223</f>
        <v>1</v>
      </c>
      <c r="L265" s="68">
        <f t="shared" ref="L265" si="742">K223</f>
        <v>0</v>
      </c>
      <c r="M265" s="68">
        <f t="shared" ref="M265" si="743">L223</f>
        <v>0</v>
      </c>
      <c r="N265" s="68">
        <f t="shared" ref="N265" si="744">M223</f>
        <v>1</v>
      </c>
      <c r="O265" s="68">
        <f t="shared" ref="O265" si="745">N223</f>
        <v>0</v>
      </c>
      <c r="P265" s="68">
        <f t="shared" ref="P265" si="746">O223</f>
        <v>0</v>
      </c>
      <c r="Q265" s="68">
        <f t="shared" ref="Q265" si="747">P223</f>
        <v>1</v>
      </c>
      <c r="R265" s="68">
        <f t="shared" ref="R265" si="748">Q223</f>
        <v>1</v>
      </c>
      <c r="S265" s="68">
        <f t="shared" ref="S265" si="749">R223</f>
        <v>0</v>
      </c>
      <c r="T265" s="68">
        <f t="shared" ref="T265" si="750">S223</f>
        <v>0</v>
      </c>
      <c r="U265" s="68">
        <f t="shared" ref="U265" si="751">T223</f>
        <v>0</v>
      </c>
      <c r="V265" s="68">
        <f t="shared" ref="V265" si="752">U223</f>
        <v>1</v>
      </c>
      <c r="W265" s="68">
        <f t="shared" ref="W265" si="753">V223</f>
        <v>0</v>
      </c>
      <c r="X265" s="68">
        <f t="shared" ref="X265" si="754">W223</f>
        <v>1</v>
      </c>
      <c r="Y265" s="68">
        <f t="shared" ref="Y265" si="755">X223</f>
        <v>0</v>
      </c>
      <c r="Z265" s="68">
        <f t="shared" ref="Z265" si="756">Y223</f>
        <v>0</v>
      </c>
      <c r="AA265" s="68">
        <f t="shared" ref="AA265" si="757">Z223</f>
        <v>0</v>
      </c>
      <c r="AB265" s="68">
        <f t="shared" ref="AB265" si="758">AA223</f>
        <v>1</v>
      </c>
      <c r="AC265" s="68">
        <f t="shared" ref="AC265" si="759">AB223</f>
        <v>1</v>
      </c>
      <c r="AD265" s="68">
        <f t="shared" ref="AD265" si="760">AC223</f>
        <v>0</v>
      </c>
      <c r="AE265" s="68">
        <f t="shared" ref="AE265" si="761">AD223</f>
        <v>0</v>
      </c>
      <c r="AF265" s="68">
        <f t="shared" ref="AF265" si="762">AE223</f>
        <v>0</v>
      </c>
      <c r="AG265" s="68">
        <f t="shared" ref="AG265" si="763">AF223</f>
        <v>1</v>
      </c>
      <c r="AH265" s="68">
        <f t="shared" ref="AH265" si="764">AG223</f>
        <v>0</v>
      </c>
      <c r="AI265" s="68">
        <f t="shared" ref="AI265" si="765">AH223</f>
        <v>1</v>
      </c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</row>
    <row r="266" spans="1:57" x14ac:dyDescent="0.25">
      <c r="A266" s="21"/>
      <c r="B266" s="64"/>
      <c r="C266" s="62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</row>
    <row r="267" spans="1:57" x14ac:dyDescent="0.25">
      <c r="A267" s="114" t="s">
        <v>527</v>
      </c>
      <c r="B267" s="114"/>
      <c r="C267" s="114"/>
      <c r="D267" s="70">
        <v>1</v>
      </c>
      <c r="E267" s="70">
        <v>2</v>
      </c>
      <c r="F267" s="70">
        <v>3</v>
      </c>
      <c r="G267" s="70">
        <v>4</v>
      </c>
      <c r="H267" s="70">
        <v>5</v>
      </c>
      <c r="I267" s="70">
        <v>6</v>
      </c>
      <c r="J267" s="70">
        <v>7</v>
      </c>
      <c r="K267" s="70">
        <v>8</v>
      </c>
      <c r="L267" s="70">
        <v>9</v>
      </c>
      <c r="M267" s="70">
        <v>10</v>
      </c>
      <c r="N267" s="70">
        <v>11</v>
      </c>
      <c r="O267" s="70">
        <v>12</v>
      </c>
      <c r="P267" s="70">
        <v>13</v>
      </c>
      <c r="Q267" s="70">
        <v>14</v>
      </c>
      <c r="R267" s="70">
        <v>15</v>
      </c>
      <c r="S267" s="70">
        <v>16</v>
      </c>
      <c r="T267" s="70">
        <v>17</v>
      </c>
      <c r="U267" s="70">
        <v>18</v>
      </c>
      <c r="V267" s="70">
        <v>19</v>
      </c>
      <c r="W267" s="70">
        <v>20</v>
      </c>
      <c r="X267" s="70">
        <v>21</v>
      </c>
      <c r="Y267" s="70">
        <v>22</v>
      </c>
      <c r="Z267" s="70">
        <v>23</v>
      </c>
      <c r="AA267" s="70">
        <v>24</v>
      </c>
      <c r="AB267" s="70">
        <v>25</v>
      </c>
      <c r="AC267" s="70">
        <v>26</v>
      </c>
      <c r="AD267" s="70">
        <v>27</v>
      </c>
      <c r="AE267" s="70">
        <v>28</v>
      </c>
      <c r="AF267" s="70">
        <v>29</v>
      </c>
      <c r="AG267" s="70">
        <v>30</v>
      </c>
      <c r="AH267" s="70">
        <v>31</v>
      </c>
      <c r="AI267" s="70">
        <v>32</v>
      </c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</row>
    <row r="268" spans="1:57" x14ac:dyDescent="0.25">
      <c r="A268" s="64" t="s">
        <v>551</v>
      </c>
      <c r="B268" s="64"/>
      <c r="C268" s="62"/>
      <c r="D268" s="70">
        <f>--_xlfn.XOR(C259,D216)</f>
        <v>1</v>
      </c>
      <c r="E268" s="70">
        <f t="shared" ref="E268:AI268" si="766">--_xlfn.XOR(D259,E216)</f>
        <v>1</v>
      </c>
      <c r="F268" s="70">
        <f t="shared" si="766"/>
        <v>1</v>
      </c>
      <c r="G268" s="70">
        <f t="shared" si="766"/>
        <v>0</v>
      </c>
      <c r="H268" s="70">
        <f t="shared" si="766"/>
        <v>0</v>
      </c>
      <c r="I268" s="70">
        <f t="shared" si="766"/>
        <v>0</v>
      </c>
      <c r="J268" s="70">
        <f t="shared" si="766"/>
        <v>0</v>
      </c>
      <c r="K268" s="70">
        <f t="shared" si="766"/>
        <v>0</v>
      </c>
      <c r="L268" s="70">
        <f t="shared" si="766"/>
        <v>1</v>
      </c>
      <c r="M268" s="70">
        <f t="shared" si="766"/>
        <v>0</v>
      </c>
      <c r="N268" s="70">
        <f t="shared" si="766"/>
        <v>0</v>
      </c>
      <c r="O268" s="70">
        <f t="shared" si="766"/>
        <v>0</v>
      </c>
      <c r="P268" s="70">
        <f t="shared" si="766"/>
        <v>1</v>
      </c>
      <c r="Q268" s="70">
        <f t="shared" si="766"/>
        <v>0</v>
      </c>
      <c r="R268" s="70">
        <f t="shared" si="766"/>
        <v>1</v>
      </c>
      <c r="S268" s="70">
        <f t="shared" si="766"/>
        <v>1</v>
      </c>
      <c r="T268" s="70">
        <f t="shared" si="766"/>
        <v>0</v>
      </c>
      <c r="U268" s="70">
        <f t="shared" si="766"/>
        <v>0</v>
      </c>
      <c r="V268" s="70">
        <f t="shared" si="766"/>
        <v>1</v>
      </c>
      <c r="W268" s="70">
        <f t="shared" si="766"/>
        <v>0</v>
      </c>
      <c r="X268" s="70">
        <f t="shared" si="766"/>
        <v>1</v>
      </c>
      <c r="Y268" s="70">
        <f t="shared" si="766"/>
        <v>0</v>
      </c>
      <c r="Z268" s="70">
        <f t="shared" si="766"/>
        <v>1</v>
      </c>
      <c r="AA268" s="70">
        <f t="shared" si="766"/>
        <v>1</v>
      </c>
      <c r="AB268" s="70">
        <f t="shared" si="766"/>
        <v>0</v>
      </c>
      <c r="AC268" s="70">
        <f t="shared" si="766"/>
        <v>1</v>
      </c>
      <c r="AD268" s="70">
        <f t="shared" si="766"/>
        <v>1</v>
      </c>
      <c r="AE268" s="70">
        <f t="shared" si="766"/>
        <v>0</v>
      </c>
      <c r="AF268" s="70">
        <f t="shared" si="766"/>
        <v>0</v>
      </c>
      <c r="AG268" s="70">
        <f t="shared" si="766"/>
        <v>0</v>
      </c>
      <c r="AH268" s="70">
        <f t="shared" si="766"/>
        <v>1</v>
      </c>
      <c r="AI268" s="70">
        <f t="shared" si="766"/>
        <v>1</v>
      </c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</row>
    <row r="269" spans="1:57" x14ac:dyDescent="0.25">
      <c r="A269" s="132" t="s">
        <v>635</v>
      </c>
      <c r="B269" s="64"/>
      <c r="C269" s="62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</row>
    <row r="270" spans="1:57" x14ac:dyDescent="0.25">
      <c r="A270" s="132"/>
      <c r="B270" s="133"/>
      <c r="C270" s="134"/>
      <c r="D270" s="132"/>
      <c r="E270" s="132"/>
      <c r="F270" s="132"/>
      <c r="G270" s="132"/>
      <c r="H270" s="132"/>
      <c r="I270" s="132"/>
      <c r="J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32"/>
      <c r="AA270" s="132"/>
      <c r="AB270" s="132"/>
      <c r="AC270" s="132"/>
      <c r="AD270" s="132"/>
      <c r="AE270" s="132"/>
      <c r="AF270" s="132"/>
      <c r="AG270" s="132"/>
      <c r="AH270" s="132"/>
      <c r="AI270" s="132"/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2"/>
      <c r="AV270" s="132"/>
      <c r="AW270" s="132"/>
      <c r="AX270" s="132"/>
      <c r="AY270" s="132"/>
      <c r="AZ270" s="132"/>
      <c r="BA270" s="132"/>
      <c r="BB270" s="132"/>
      <c r="BC270" s="132"/>
      <c r="BD270" s="132"/>
      <c r="BE270" s="132"/>
    </row>
    <row r="271" spans="1:57" x14ac:dyDescent="0.25">
      <c r="A271" s="21"/>
      <c r="B271" s="21"/>
      <c r="C271" s="70">
        <v>1</v>
      </c>
      <c r="D271" s="70">
        <v>2</v>
      </c>
      <c r="E271" s="70">
        <v>3</v>
      </c>
      <c r="F271" s="70">
        <v>4</v>
      </c>
      <c r="G271" s="70">
        <v>5</v>
      </c>
      <c r="H271" s="70">
        <v>6</v>
      </c>
      <c r="I271" s="70">
        <v>7</v>
      </c>
      <c r="J271" s="70">
        <v>8</v>
      </c>
      <c r="K271" s="70">
        <v>9</v>
      </c>
      <c r="L271" s="70">
        <v>10</v>
      </c>
      <c r="M271" s="70">
        <v>11</v>
      </c>
      <c r="N271" s="70">
        <v>12</v>
      </c>
      <c r="O271" s="70">
        <v>13</v>
      </c>
      <c r="P271" s="70">
        <v>14</v>
      </c>
      <c r="Q271" s="70">
        <v>15</v>
      </c>
      <c r="R271" s="70">
        <v>16</v>
      </c>
      <c r="S271" s="70">
        <v>17</v>
      </c>
      <c r="T271" s="70">
        <v>18</v>
      </c>
      <c r="U271" s="70">
        <v>19</v>
      </c>
      <c r="V271" s="70">
        <v>20</v>
      </c>
      <c r="W271" s="70">
        <v>21</v>
      </c>
      <c r="X271" s="70">
        <v>22</v>
      </c>
      <c r="Y271" s="70">
        <v>23</v>
      </c>
      <c r="Z271" s="70">
        <v>24</v>
      </c>
      <c r="AA271" s="70">
        <v>25</v>
      </c>
      <c r="AB271" s="70">
        <v>26</v>
      </c>
      <c r="AC271" s="70">
        <v>27</v>
      </c>
      <c r="AD271" s="70">
        <v>28</v>
      </c>
      <c r="AE271" s="70">
        <v>29</v>
      </c>
      <c r="AF271" s="70">
        <v>30</v>
      </c>
      <c r="AG271" s="70">
        <v>31</v>
      </c>
      <c r="AH271" s="70">
        <v>32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</row>
    <row r="272" spans="1:57" x14ac:dyDescent="0.25">
      <c r="A272" s="114" t="s">
        <v>527</v>
      </c>
      <c r="B272" s="114"/>
      <c r="C272" s="70">
        <f>D268</f>
        <v>1</v>
      </c>
      <c r="D272" s="70">
        <f t="shared" ref="D272" si="767">E268</f>
        <v>1</v>
      </c>
      <c r="E272" s="70">
        <f t="shared" ref="E272" si="768">F268</f>
        <v>1</v>
      </c>
      <c r="F272" s="70">
        <f t="shared" ref="F272" si="769">G268</f>
        <v>0</v>
      </c>
      <c r="G272" s="70">
        <f t="shared" ref="G272" si="770">H268</f>
        <v>0</v>
      </c>
      <c r="H272" s="70">
        <f t="shared" ref="H272" si="771">I268</f>
        <v>0</v>
      </c>
      <c r="I272" s="70">
        <f t="shared" ref="I272" si="772">J268</f>
        <v>0</v>
      </c>
      <c r="J272" s="70">
        <f t="shared" ref="J272" si="773">K268</f>
        <v>0</v>
      </c>
      <c r="K272" s="70">
        <f t="shared" ref="K272" si="774">L268</f>
        <v>1</v>
      </c>
      <c r="L272" s="70">
        <f t="shared" ref="L272" si="775">M268</f>
        <v>0</v>
      </c>
      <c r="M272" s="70">
        <f t="shared" ref="M272" si="776">N268</f>
        <v>0</v>
      </c>
      <c r="N272" s="70">
        <f t="shared" ref="N272" si="777">O268</f>
        <v>0</v>
      </c>
      <c r="O272" s="70">
        <f t="shared" ref="O272" si="778">P268</f>
        <v>1</v>
      </c>
      <c r="P272" s="70">
        <f t="shared" ref="P272" si="779">Q268</f>
        <v>0</v>
      </c>
      <c r="Q272" s="70">
        <f t="shared" ref="Q272" si="780">R268</f>
        <v>1</v>
      </c>
      <c r="R272" s="70">
        <f t="shared" ref="R272" si="781">S268</f>
        <v>1</v>
      </c>
      <c r="S272" s="70">
        <f t="shared" ref="S272" si="782">T268</f>
        <v>0</v>
      </c>
      <c r="T272" s="70">
        <f t="shared" ref="T272" si="783">U268</f>
        <v>0</v>
      </c>
      <c r="U272" s="70">
        <f t="shared" ref="U272" si="784">V268</f>
        <v>1</v>
      </c>
      <c r="V272" s="70">
        <f t="shared" ref="V272" si="785">W268</f>
        <v>0</v>
      </c>
      <c r="W272" s="70">
        <f t="shared" ref="W272" si="786">X268</f>
        <v>1</v>
      </c>
      <c r="X272" s="70">
        <f t="shared" ref="X272" si="787">Y268</f>
        <v>0</v>
      </c>
      <c r="Y272" s="70">
        <f t="shared" ref="Y272" si="788">Z268</f>
        <v>1</v>
      </c>
      <c r="Z272" s="70">
        <f t="shared" ref="Z272" si="789">AA268</f>
        <v>1</v>
      </c>
      <c r="AA272" s="70">
        <f t="shared" ref="AA272" si="790">AB268</f>
        <v>0</v>
      </c>
      <c r="AB272" s="70">
        <f t="shared" ref="AB272" si="791">AC268</f>
        <v>1</v>
      </c>
      <c r="AC272" s="70">
        <f t="shared" ref="AC272" si="792">AD268</f>
        <v>1</v>
      </c>
      <c r="AD272" s="70">
        <f t="shared" ref="AD272" si="793">AE268</f>
        <v>0</v>
      </c>
      <c r="AE272" s="70">
        <f t="shared" ref="AE272" si="794">AF268</f>
        <v>0</v>
      </c>
      <c r="AF272" s="70">
        <f t="shared" ref="AF272" si="795">AG268</f>
        <v>0</v>
      </c>
      <c r="AG272" s="70">
        <f t="shared" ref="AG272" si="796">AH268</f>
        <v>1</v>
      </c>
      <c r="AH272" s="70">
        <f t="shared" ref="AH272" si="797">AI268</f>
        <v>1</v>
      </c>
      <c r="AI272" s="135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</row>
    <row r="273" spans="1:57" x14ac:dyDescent="0.25">
      <c r="A273" s="21"/>
      <c r="B273" s="64"/>
      <c r="C273" s="62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</row>
    <row r="274" spans="1:57" x14ac:dyDescent="0.25">
      <c r="A274" s="132"/>
      <c r="B274" s="133"/>
      <c r="C274" s="134"/>
      <c r="D274" s="132"/>
      <c r="E274" s="132"/>
      <c r="F274" s="132"/>
      <c r="G274" s="132"/>
      <c r="H274" s="132"/>
      <c r="I274" s="132"/>
      <c r="J274" s="132"/>
      <c r="K274" s="132"/>
      <c r="L274" s="132"/>
      <c r="M274" s="132"/>
      <c r="N274" s="132"/>
      <c r="O274" s="132"/>
      <c r="P274" s="132"/>
      <c r="Q274" s="132"/>
      <c r="R274" s="132"/>
      <c r="S274" s="132"/>
      <c r="T274" s="132"/>
      <c r="U274" s="132"/>
      <c r="V274" s="132"/>
      <c r="W274" s="132"/>
      <c r="X274" s="132"/>
      <c r="Y274" s="132"/>
      <c r="Z274" s="132"/>
      <c r="AA274" s="132"/>
      <c r="AB274" s="132"/>
      <c r="AC274" s="132"/>
      <c r="AD274" s="132"/>
      <c r="AE274" s="132"/>
      <c r="AF274" s="132"/>
      <c r="AG274" s="132"/>
      <c r="AH274" s="132"/>
      <c r="AI274" s="132"/>
      <c r="AJ274" s="132"/>
      <c r="AK274" s="132"/>
      <c r="AL274" s="132"/>
      <c r="AM274" s="132"/>
      <c r="AN274" s="132"/>
      <c r="AO274" s="132"/>
      <c r="AP274" s="132"/>
      <c r="AQ274" s="132"/>
      <c r="AR274" s="132"/>
      <c r="AS274" s="132"/>
      <c r="AT274" s="132"/>
      <c r="AU274" s="132"/>
      <c r="AV274" s="132"/>
      <c r="AW274" s="132"/>
      <c r="AX274" s="132"/>
      <c r="AY274" s="132"/>
      <c r="AZ274" s="21"/>
      <c r="BA274" s="21"/>
      <c r="BB274" s="21"/>
      <c r="BC274" s="21"/>
      <c r="BD274" s="21"/>
      <c r="BE274" s="21"/>
    </row>
    <row r="275" spans="1:57" x14ac:dyDescent="0.25">
      <c r="A275" s="21"/>
      <c r="B275" s="64"/>
      <c r="C275" s="62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</row>
    <row r="276" spans="1:57" x14ac:dyDescent="0.25">
      <c r="A276" s="118" t="s">
        <v>532</v>
      </c>
      <c r="B276" s="118"/>
      <c r="C276" s="75">
        <v>32</v>
      </c>
      <c r="D276" s="74">
        <v>1</v>
      </c>
      <c r="E276" s="74">
        <v>2</v>
      </c>
      <c r="F276" s="74">
        <v>3</v>
      </c>
      <c r="G276" s="74">
        <v>4</v>
      </c>
      <c r="H276" s="73">
        <v>5</v>
      </c>
      <c r="I276" s="122"/>
      <c r="J276" s="118">
        <f>AH272</f>
        <v>1</v>
      </c>
      <c r="K276" s="118">
        <f>C272</f>
        <v>1</v>
      </c>
      <c r="L276" s="118">
        <f>D272</f>
        <v>1</v>
      </c>
      <c r="M276" s="118">
        <f>E272</f>
        <v>1</v>
      </c>
      <c r="N276" s="69">
        <f>F272</f>
        <v>0</v>
      </c>
      <c r="O276" s="119">
        <f>G272</f>
        <v>0</v>
      </c>
      <c r="P276" s="122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</row>
    <row r="277" spans="1:57" x14ac:dyDescent="0.25">
      <c r="A277" s="21"/>
      <c r="B277" s="64"/>
      <c r="C277" s="75">
        <v>4</v>
      </c>
      <c r="D277" s="74">
        <v>5</v>
      </c>
      <c r="E277" s="74">
        <v>6</v>
      </c>
      <c r="F277" s="74">
        <v>7</v>
      </c>
      <c r="G277" s="74">
        <v>8</v>
      </c>
      <c r="H277" s="73">
        <v>9</v>
      </c>
      <c r="I277" s="122"/>
      <c r="J277" s="118">
        <f t="shared" ref="J277" si="798">F272</f>
        <v>0</v>
      </c>
      <c r="K277" s="69">
        <f t="shared" ref="K277" si="799">G272</f>
        <v>0</v>
      </c>
      <c r="L277" s="69">
        <f t="shared" ref="L277" si="800">H272</f>
        <v>0</v>
      </c>
      <c r="M277" s="69">
        <f t="shared" ref="M277" si="801">I272</f>
        <v>0</v>
      </c>
      <c r="N277" s="69">
        <f t="shared" ref="N277" si="802">J272</f>
        <v>0</v>
      </c>
      <c r="O277" s="119">
        <f t="shared" ref="O277" si="803">K272</f>
        <v>1</v>
      </c>
      <c r="P277" s="122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</row>
    <row r="278" spans="1:57" x14ac:dyDescent="0.25">
      <c r="A278" s="21"/>
      <c r="B278" s="64"/>
      <c r="C278" s="75">
        <v>8</v>
      </c>
      <c r="D278" s="74">
        <v>9</v>
      </c>
      <c r="E278" s="74">
        <v>10</v>
      </c>
      <c r="F278" s="74">
        <v>11</v>
      </c>
      <c r="G278" s="74">
        <v>12</v>
      </c>
      <c r="H278" s="73">
        <v>13</v>
      </c>
      <c r="I278" s="123"/>
      <c r="J278" s="120">
        <f t="shared" ref="J278:O278" si="804">J272</f>
        <v>0</v>
      </c>
      <c r="K278" s="69">
        <f t="shared" si="804"/>
        <v>1</v>
      </c>
      <c r="L278" s="69">
        <f t="shared" si="804"/>
        <v>0</v>
      </c>
      <c r="M278" s="69">
        <f t="shared" si="804"/>
        <v>0</v>
      </c>
      <c r="N278" s="69">
        <f t="shared" si="804"/>
        <v>0</v>
      </c>
      <c r="O278" s="119">
        <f t="shared" si="804"/>
        <v>1</v>
      </c>
      <c r="P278" s="123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</row>
    <row r="279" spans="1:57" x14ac:dyDescent="0.25">
      <c r="A279" s="21"/>
      <c r="B279" s="64"/>
      <c r="C279" s="75">
        <v>12</v>
      </c>
      <c r="D279" s="74">
        <v>13</v>
      </c>
      <c r="E279" s="74">
        <v>14</v>
      </c>
      <c r="F279" s="74">
        <v>15</v>
      </c>
      <c r="G279" s="74">
        <v>16</v>
      </c>
      <c r="H279" s="73">
        <v>17</v>
      </c>
      <c r="I279" s="122"/>
      <c r="J279" s="118">
        <f t="shared" ref="J279" si="805">N272</f>
        <v>0</v>
      </c>
      <c r="K279" s="69">
        <f t="shared" ref="K279" si="806">O272</f>
        <v>1</v>
      </c>
      <c r="L279" s="69">
        <f t="shared" ref="L279" si="807">P272</f>
        <v>0</v>
      </c>
      <c r="M279" s="69">
        <f t="shared" ref="M279" si="808">Q272</f>
        <v>1</v>
      </c>
      <c r="N279" s="69">
        <f t="shared" ref="N279" si="809">R272</f>
        <v>1</v>
      </c>
      <c r="O279" s="119">
        <f t="shared" ref="O279" si="810">S272</f>
        <v>0</v>
      </c>
      <c r="P279" s="122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</row>
    <row r="280" spans="1:57" x14ac:dyDescent="0.25">
      <c r="A280" s="21"/>
      <c r="B280" s="64"/>
      <c r="C280" s="75">
        <v>16</v>
      </c>
      <c r="D280" s="74">
        <v>17</v>
      </c>
      <c r="E280" s="74">
        <v>18</v>
      </c>
      <c r="F280" s="74">
        <v>19</v>
      </c>
      <c r="G280" s="74">
        <v>20</v>
      </c>
      <c r="H280" s="73">
        <v>21</v>
      </c>
      <c r="I280" s="122"/>
      <c r="J280" s="118">
        <f t="shared" ref="J280" si="811">R272</f>
        <v>1</v>
      </c>
      <c r="K280" s="69">
        <f t="shared" ref="K280" si="812">S272</f>
        <v>0</v>
      </c>
      <c r="L280" s="69">
        <f t="shared" ref="L280" si="813">T272</f>
        <v>0</v>
      </c>
      <c r="M280" s="69">
        <f t="shared" ref="M280" si="814">U272</f>
        <v>1</v>
      </c>
      <c r="N280" s="69">
        <f t="shared" ref="N280" si="815">V272</f>
        <v>0</v>
      </c>
      <c r="O280" s="119">
        <f t="shared" ref="O280" si="816">W272</f>
        <v>1</v>
      </c>
      <c r="P280" s="122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</row>
    <row r="281" spans="1:57" x14ac:dyDescent="0.25">
      <c r="A281" s="21"/>
      <c r="B281" s="64"/>
      <c r="C281" s="75">
        <v>20</v>
      </c>
      <c r="D281" s="74">
        <v>21</v>
      </c>
      <c r="E281" s="74">
        <v>22</v>
      </c>
      <c r="F281" s="74">
        <v>23</v>
      </c>
      <c r="G281" s="74">
        <v>24</v>
      </c>
      <c r="H281" s="73">
        <v>25</v>
      </c>
      <c r="I281" s="122"/>
      <c r="J281" s="118">
        <f t="shared" ref="J281" si="817">V272</f>
        <v>0</v>
      </c>
      <c r="K281" s="69">
        <f t="shared" ref="K281" si="818">W272</f>
        <v>1</v>
      </c>
      <c r="L281" s="69">
        <f t="shared" ref="L281" si="819">X272</f>
        <v>0</v>
      </c>
      <c r="M281" s="69">
        <f t="shared" ref="M281" si="820">Y272</f>
        <v>1</v>
      </c>
      <c r="N281" s="69">
        <f t="shared" ref="N281" si="821">Z272</f>
        <v>1</v>
      </c>
      <c r="O281" s="119">
        <f t="shared" ref="O281" si="822">AA272</f>
        <v>0</v>
      </c>
      <c r="P281" s="122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</row>
    <row r="282" spans="1:57" x14ac:dyDescent="0.25">
      <c r="A282" s="21"/>
      <c r="B282" s="64"/>
      <c r="C282" s="75">
        <v>24</v>
      </c>
      <c r="D282" s="74">
        <v>25</v>
      </c>
      <c r="E282" s="74">
        <v>26</v>
      </c>
      <c r="F282" s="74">
        <v>27</v>
      </c>
      <c r="G282" s="74">
        <v>28</v>
      </c>
      <c r="H282" s="73">
        <v>29</v>
      </c>
      <c r="I282" s="122"/>
      <c r="J282" s="118">
        <f t="shared" ref="J282" si="823">Z272</f>
        <v>1</v>
      </c>
      <c r="K282" s="69">
        <f t="shared" ref="K282" si="824">AA272</f>
        <v>0</v>
      </c>
      <c r="L282" s="69">
        <f t="shared" ref="L282" si="825">AB272</f>
        <v>1</v>
      </c>
      <c r="M282" s="69">
        <f t="shared" ref="M282" si="826">AC272</f>
        <v>1</v>
      </c>
      <c r="N282" s="69">
        <f t="shared" ref="N282" si="827">AD272</f>
        <v>0</v>
      </c>
      <c r="O282" s="119">
        <f t="shared" ref="O282" si="828">AE272</f>
        <v>0</v>
      </c>
      <c r="P282" s="122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</row>
    <row r="283" spans="1:57" x14ac:dyDescent="0.25">
      <c r="A283" s="21"/>
      <c r="B283" s="64"/>
      <c r="C283" s="75">
        <v>28</v>
      </c>
      <c r="D283" s="74">
        <v>29</v>
      </c>
      <c r="E283" s="74">
        <v>30</v>
      </c>
      <c r="F283" s="74">
        <v>31</v>
      </c>
      <c r="G283" s="74">
        <v>32</v>
      </c>
      <c r="H283" s="73">
        <v>1</v>
      </c>
      <c r="I283" s="122"/>
      <c r="J283" s="70">
        <f>AD272</f>
        <v>0</v>
      </c>
      <c r="K283" s="71">
        <f>AE272</f>
        <v>0</v>
      </c>
      <c r="L283" s="71">
        <f>AF272</f>
        <v>0</v>
      </c>
      <c r="M283" s="71">
        <f>AG272</f>
        <v>1</v>
      </c>
      <c r="N283" s="71">
        <f>AH272</f>
        <v>1</v>
      </c>
      <c r="O283" s="121">
        <f>C272</f>
        <v>1</v>
      </c>
      <c r="P283" s="122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</row>
    <row r="284" spans="1:57" x14ac:dyDescent="0.25">
      <c r="A284" s="21"/>
      <c r="B284" s="64"/>
      <c r="C284" s="62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</row>
    <row r="285" spans="1:57" x14ac:dyDescent="0.25">
      <c r="A285" s="21"/>
      <c r="B285" s="64"/>
      <c r="C285" s="62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</row>
    <row r="286" spans="1:57" x14ac:dyDescent="0.25">
      <c r="A286" s="124" t="s">
        <v>533</v>
      </c>
      <c r="B286" s="124"/>
      <c r="C286" s="125">
        <v>1</v>
      </c>
      <c r="D286" s="126">
        <v>2</v>
      </c>
      <c r="E286" s="125">
        <v>3</v>
      </c>
      <c r="F286" s="126">
        <v>4</v>
      </c>
      <c r="G286" s="125">
        <v>5</v>
      </c>
      <c r="H286" s="126">
        <v>6</v>
      </c>
      <c r="I286" s="125">
        <v>7</v>
      </c>
      <c r="J286" s="126">
        <v>8</v>
      </c>
      <c r="K286" s="125">
        <v>9</v>
      </c>
      <c r="L286" s="126">
        <v>10</v>
      </c>
      <c r="M286" s="125">
        <v>11</v>
      </c>
      <c r="N286" s="126">
        <v>12</v>
      </c>
      <c r="O286" s="125">
        <v>13</v>
      </c>
      <c r="P286" s="126">
        <v>14</v>
      </c>
      <c r="Q286" s="125">
        <v>15</v>
      </c>
      <c r="R286" s="126">
        <v>16</v>
      </c>
      <c r="S286" s="125">
        <v>17</v>
      </c>
      <c r="T286" s="126">
        <v>18</v>
      </c>
      <c r="U286" s="125">
        <v>19</v>
      </c>
      <c r="V286" s="126">
        <v>20</v>
      </c>
      <c r="W286" s="125">
        <v>21</v>
      </c>
      <c r="X286" s="126">
        <v>22</v>
      </c>
      <c r="Y286" s="125">
        <v>23</v>
      </c>
      <c r="Z286" s="126">
        <v>24</v>
      </c>
      <c r="AA286" s="125">
        <v>25</v>
      </c>
      <c r="AB286" s="126">
        <v>26</v>
      </c>
      <c r="AC286" s="125">
        <v>27</v>
      </c>
      <c r="AD286" s="126">
        <v>28</v>
      </c>
      <c r="AE286" s="125">
        <v>29</v>
      </c>
      <c r="AF286" s="126">
        <v>30</v>
      </c>
      <c r="AG286" s="125">
        <v>31</v>
      </c>
      <c r="AH286" s="126">
        <v>32</v>
      </c>
      <c r="AI286" s="125">
        <v>33</v>
      </c>
      <c r="AJ286" s="126">
        <v>34</v>
      </c>
      <c r="AK286" s="125">
        <v>35</v>
      </c>
      <c r="AL286" s="126">
        <v>36</v>
      </c>
      <c r="AM286" s="125">
        <v>37</v>
      </c>
      <c r="AN286" s="126">
        <v>38</v>
      </c>
      <c r="AO286" s="125">
        <v>39</v>
      </c>
      <c r="AP286" s="126">
        <v>40</v>
      </c>
      <c r="AQ286" s="125">
        <v>41</v>
      </c>
      <c r="AR286" s="126">
        <v>42</v>
      </c>
      <c r="AS286" s="125">
        <v>43</v>
      </c>
      <c r="AT286" s="126">
        <v>44</v>
      </c>
      <c r="AU286" s="125">
        <v>45</v>
      </c>
      <c r="AV286" s="126">
        <v>46</v>
      </c>
      <c r="AW286" s="125">
        <v>47</v>
      </c>
      <c r="AX286" s="126">
        <v>48</v>
      </c>
      <c r="AY286" s="21"/>
      <c r="AZ286" s="21"/>
      <c r="BA286" s="21"/>
      <c r="BB286" s="21"/>
      <c r="BC286" s="21"/>
      <c r="BD286" s="21"/>
      <c r="BE286" s="21"/>
    </row>
    <row r="287" spans="1:57" x14ac:dyDescent="0.25">
      <c r="A287" s="21"/>
      <c r="B287" s="64"/>
      <c r="C287" s="125">
        <f t="shared" ref="C287" si="829">J276</f>
        <v>1</v>
      </c>
      <c r="D287" s="125">
        <f t="shared" ref="D287" si="830">K276</f>
        <v>1</v>
      </c>
      <c r="E287" s="125">
        <f t="shared" ref="E287" si="831">L276</f>
        <v>1</v>
      </c>
      <c r="F287" s="125">
        <f t="shared" ref="F287" si="832">M276</f>
        <v>1</v>
      </c>
      <c r="G287" s="126">
        <f t="shared" ref="G287" si="833">N276</f>
        <v>0</v>
      </c>
      <c r="H287" s="126">
        <f t="shared" ref="H287" si="834">O276</f>
        <v>0</v>
      </c>
      <c r="I287" s="125">
        <f t="shared" ref="I287" si="835">J277</f>
        <v>0</v>
      </c>
      <c r="J287" s="125">
        <f t="shared" ref="J287" si="836">K277</f>
        <v>0</v>
      </c>
      <c r="K287" s="125">
        <f t="shared" ref="K287" si="837">L277</f>
        <v>0</v>
      </c>
      <c r="L287" s="125">
        <f t="shared" ref="L287" si="838">M277</f>
        <v>0</v>
      </c>
      <c r="M287" s="125">
        <f t="shared" ref="M287" si="839">N277</f>
        <v>0</v>
      </c>
      <c r="N287" s="125">
        <f t="shared" ref="N287" si="840">O277</f>
        <v>1</v>
      </c>
      <c r="O287" s="126">
        <f t="shared" ref="O287" si="841">J278</f>
        <v>0</v>
      </c>
      <c r="P287" s="126">
        <f t="shared" ref="P287" si="842">K278</f>
        <v>1</v>
      </c>
      <c r="Q287" s="126">
        <f t="shared" ref="Q287" si="843">L278</f>
        <v>0</v>
      </c>
      <c r="R287" s="126">
        <f t="shared" ref="R287" si="844">M278</f>
        <v>0</v>
      </c>
      <c r="S287" s="126">
        <f t="shared" ref="S287" si="845">N278</f>
        <v>0</v>
      </c>
      <c r="T287" s="126">
        <f t="shared" ref="T287" si="846">O278</f>
        <v>1</v>
      </c>
      <c r="U287" s="125">
        <f t="shared" ref="U287" si="847">J279</f>
        <v>0</v>
      </c>
      <c r="V287" s="126">
        <f t="shared" ref="V287" si="848">K279</f>
        <v>1</v>
      </c>
      <c r="W287" s="125">
        <f t="shared" ref="W287" si="849">L279</f>
        <v>0</v>
      </c>
      <c r="X287" s="126">
        <f t="shared" ref="X287" si="850">M279</f>
        <v>1</v>
      </c>
      <c r="Y287" s="125">
        <f t="shared" ref="Y287" si="851">N279</f>
        <v>1</v>
      </c>
      <c r="Z287" s="126">
        <f t="shared" ref="Z287" si="852">O279</f>
        <v>0</v>
      </c>
      <c r="AA287" s="125">
        <f t="shared" ref="AA287" si="853">J280</f>
        <v>1</v>
      </c>
      <c r="AB287" s="126">
        <f t="shared" ref="AB287" si="854">K280</f>
        <v>0</v>
      </c>
      <c r="AC287" s="125">
        <f>L280</f>
        <v>0</v>
      </c>
      <c r="AD287" s="126">
        <f t="shared" ref="AD287" si="855">M280</f>
        <v>1</v>
      </c>
      <c r="AE287" s="125">
        <f t="shared" ref="AE287" si="856">N280</f>
        <v>0</v>
      </c>
      <c r="AF287" s="126">
        <f t="shared" ref="AF287" si="857">O280</f>
        <v>1</v>
      </c>
      <c r="AG287" s="125">
        <f t="shared" ref="AG287" si="858">J281</f>
        <v>0</v>
      </c>
      <c r="AH287" s="126">
        <f t="shared" ref="AH287" si="859">K281</f>
        <v>1</v>
      </c>
      <c r="AI287" s="125">
        <f t="shared" ref="AI287" si="860">L281</f>
        <v>0</v>
      </c>
      <c r="AJ287" s="126">
        <f t="shared" ref="AJ287" si="861">M281</f>
        <v>1</v>
      </c>
      <c r="AK287" s="125">
        <f t="shared" ref="AK287" si="862">N281</f>
        <v>1</v>
      </c>
      <c r="AL287" s="126">
        <f t="shared" ref="AL287" si="863">O281</f>
        <v>0</v>
      </c>
      <c r="AM287" s="125">
        <f t="shared" ref="AM287" si="864">J282</f>
        <v>1</v>
      </c>
      <c r="AN287" s="126">
        <f t="shared" ref="AN287" si="865">K282</f>
        <v>0</v>
      </c>
      <c r="AO287" s="125">
        <f t="shared" ref="AO287" si="866">L282</f>
        <v>1</v>
      </c>
      <c r="AP287" s="126">
        <f t="shared" ref="AP287" si="867">M282</f>
        <v>1</v>
      </c>
      <c r="AQ287" s="125">
        <f t="shared" ref="AQ287" si="868">N282</f>
        <v>0</v>
      </c>
      <c r="AR287" s="126">
        <f t="shared" ref="AR287" si="869">O282</f>
        <v>0</v>
      </c>
      <c r="AS287" s="125">
        <f t="shared" ref="AS287" si="870">J283</f>
        <v>0</v>
      </c>
      <c r="AT287" s="126">
        <f t="shared" ref="AT287" si="871">K283</f>
        <v>0</v>
      </c>
      <c r="AU287" s="125">
        <f t="shared" ref="AU287" si="872">L283</f>
        <v>0</v>
      </c>
      <c r="AV287" s="126">
        <f t="shared" ref="AV287" si="873">M283</f>
        <v>1</v>
      </c>
      <c r="AW287" s="125">
        <f t="shared" ref="AW287" si="874">N283</f>
        <v>1</v>
      </c>
      <c r="AX287" s="126">
        <f t="shared" ref="AX287" si="875">O283</f>
        <v>1</v>
      </c>
      <c r="AY287" s="21"/>
      <c r="AZ287" s="21"/>
      <c r="BA287" s="21"/>
      <c r="BB287" s="21"/>
      <c r="BC287" s="21"/>
      <c r="BD287" s="21"/>
      <c r="BE287" s="21"/>
    </row>
    <row r="288" spans="1:57" x14ac:dyDescent="0.25">
      <c r="A288" s="21"/>
      <c r="B288" s="64"/>
      <c r="C288" s="62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</row>
    <row r="289" spans="1:57" x14ac:dyDescent="0.25">
      <c r="A289" s="21"/>
      <c r="B289" s="64"/>
      <c r="C289" s="62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</row>
    <row r="290" spans="1:57" x14ac:dyDescent="0.25">
      <c r="A290" s="127" t="s">
        <v>614</v>
      </c>
      <c r="B290" s="127"/>
      <c r="C290" s="77">
        <f>'Key Generator'!D409</f>
        <v>1</v>
      </c>
      <c r="D290" s="77">
        <f>'Key Generator'!E409</f>
        <v>2</v>
      </c>
      <c r="E290" s="77">
        <f>'Key Generator'!F409</f>
        <v>3</v>
      </c>
      <c r="F290" s="77">
        <f>'Key Generator'!G409</f>
        <v>4</v>
      </c>
      <c r="G290" s="77">
        <f>'Key Generator'!H409</f>
        <v>5</v>
      </c>
      <c r="H290" s="77">
        <f>'Key Generator'!I409</f>
        <v>6</v>
      </c>
      <c r="I290" s="77">
        <f>'Key Generator'!J409</f>
        <v>7</v>
      </c>
      <c r="J290" s="77">
        <f>'Key Generator'!K409</f>
        <v>8</v>
      </c>
      <c r="K290" s="77">
        <f>'Key Generator'!L409</f>
        <v>9</v>
      </c>
      <c r="L290" s="77">
        <f>'Key Generator'!M409</f>
        <v>10</v>
      </c>
      <c r="M290" s="77">
        <f>'Key Generator'!N409</f>
        <v>11</v>
      </c>
      <c r="N290" s="77">
        <f>'Key Generator'!O409</f>
        <v>12</v>
      </c>
      <c r="O290" s="77">
        <f>'Key Generator'!P409</f>
        <v>13</v>
      </c>
      <c r="P290" s="77">
        <f>'Key Generator'!Q409</f>
        <v>14</v>
      </c>
      <c r="Q290" s="77">
        <f>'Key Generator'!R409</f>
        <v>15</v>
      </c>
      <c r="R290" s="77">
        <f>'Key Generator'!S409</f>
        <v>16</v>
      </c>
      <c r="S290" s="77">
        <f>'Key Generator'!T409</f>
        <v>17</v>
      </c>
      <c r="T290" s="77">
        <f>'Key Generator'!U409</f>
        <v>18</v>
      </c>
      <c r="U290" s="77">
        <f>'Key Generator'!V409</f>
        <v>19</v>
      </c>
      <c r="V290" s="77">
        <f>'Key Generator'!W409</f>
        <v>20</v>
      </c>
      <c r="W290" s="77">
        <f>'Key Generator'!X409</f>
        <v>21</v>
      </c>
      <c r="X290" s="77">
        <f>'Key Generator'!Y409</f>
        <v>22</v>
      </c>
      <c r="Y290" s="77">
        <f>'Key Generator'!Z409</f>
        <v>23</v>
      </c>
      <c r="Z290" s="77">
        <f>'Key Generator'!AA409</f>
        <v>24</v>
      </c>
      <c r="AA290" s="77">
        <f>'Key Generator'!AB409</f>
        <v>25</v>
      </c>
      <c r="AB290" s="77">
        <f>'Key Generator'!AC409</f>
        <v>26</v>
      </c>
      <c r="AC290" s="77">
        <f>'Key Generator'!AD409</f>
        <v>27</v>
      </c>
      <c r="AD290" s="77">
        <f>'Key Generator'!AE409</f>
        <v>28</v>
      </c>
      <c r="AE290" s="77">
        <f>'Key Generator'!AF409</f>
        <v>29</v>
      </c>
      <c r="AF290" s="77">
        <f>'Key Generator'!AG409</f>
        <v>30</v>
      </c>
      <c r="AG290" s="77">
        <f>'Key Generator'!AH409</f>
        <v>31</v>
      </c>
      <c r="AH290" s="77">
        <f>'Key Generator'!AI409</f>
        <v>32</v>
      </c>
      <c r="AI290" s="77">
        <f>'Key Generator'!AJ409</f>
        <v>33</v>
      </c>
      <c r="AJ290" s="77">
        <f>'Key Generator'!AK409</f>
        <v>34</v>
      </c>
      <c r="AK290" s="77">
        <f>'Key Generator'!AL409</f>
        <v>35</v>
      </c>
      <c r="AL290" s="77">
        <f>'Key Generator'!AM409</f>
        <v>36</v>
      </c>
      <c r="AM290" s="77">
        <f>'Key Generator'!AN409</f>
        <v>37</v>
      </c>
      <c r="AN290" s="77">
        <f>'Key Generator'!AO409</f>
        <v>38</v>
      </c>
      <c r="AO290" s="77">
        <f>'Key Generator'!AP409</f>
        <v>39</v>
      </c>
      <c r="AP290" s="77">
        <f>'Key Generator'!AQ409</f>
        <v>40</v>
      </c>
      <c r="AQ290" s="77">
        <f>'Key Generator'!AR409</f>
        <v>41</v>
      </c>
      <c r="AR290" s="77">
        <f>'Key Generator'!AS409</f>
        <v>42</v>
      </c>
      <c r="AS290" s="77">
        <f>'Key Generator'!AT409</f>
        <v>43</v>
      </c>
      <c r="AT290" s="77">
        <f>'Key Generator'!AU409</f>
        <v>44</v>
      </c>
      <c r="AU290" s="77">
        <f>'Key Generator'!AV409</f>
        <v>45</v>
      </c>
      <c r="AV290" s="77">
        <f>'Key Generator'!AW409</f>
        <v>46</v>
      </c>
      <c r="AW290" s="77">
        <f>'Key Generator'!AX409</f>
        <v>47</v>
      </c>
      <c r="AX290" s="77">
        <f>'Key Generator'!AY409</f>
        <v>48</v>
      </c>
      <c r="AY290" s="21"/>
      <c r="AZ290" s="21"/>
      <c r="BA290" s="21"/>
      <c r="BB290" s="21"/>
      <c r="BC290" s="21"/>
      <c r="BD290" s="21"/>
      <c r="BE290" s="21"/>
    </row>
    <row r="291" spans="1:57" x14ac:dyDescent="0.25">
      <c r="A291" s="21"/>
      <c r="B291" s="64"/>
      <c r="C291" s="77">
        <f>'Key Generator'!D410</f>
        <v>0</v>
      </c>
      <c r="D291" s="77">
        <f>'Key Generator'!E410</f>
        <v>0</v>
      </c>
      <c r="E291" s="77">
        <f>'Key Generator'!F410</f>
        <v>0</v>
      </c>
      <c r="F291" s="77">
        <f>'Key Generator'!G410</f>
        <v>1</v>
      </c>
      <c r="G291" s="77">
        <f>'Key Generator'!H410</f>
        <v>0</v>
      </c>
      <c r="H291" s="77">
        <f>'Key Generator'!I410</f>
        <v>1</v>
      </c>
      <c r="I291" s="77">
        <f>'Key Generator'!J410</f>
        <v>0</v>
      </c>
      <c r="J291" s="77">
        <f>'Key Generator'!K410</f>
        <v>0</v>
      </c>
      <c r="K291" s="77">
        <f>'Key Generator'!L410</f>
        <v>0</v>
      </c>
      <c r="L291" s="77">
        <f>'Key Generator'!M410</f>
        <v>0</v>
      </c>
      <c r="M291" s="77">
        <f>'Key Generator'!N410</f>
        <v>1</v>
      </c>
      <c r="N291" s="77">
        <f>'Key Generator'!O410</f>
        <v>0</v>
      </c>
      <c r="O291" s="77">
        <f>'Key Generator'!P410</f>
        <v>1</v>
      </c>
      <c r="P291" s="77">
        <f>'Key Generator'!Q410</f>
        <v>1</v>
      </c>
      <c r="Q291" s="77">
        <f>'Key Generator'!R410</f>
        <v>0</v>
      </c>
      <c r="R291" s="77">
        <f>'Key Generator'!S410</f>
        <v>0</v>
      </c>
      <c r="S291" s="77">
        <f>'Key Generator'!T410</f>
        <v>0</v>
      </c>
      <c r="T291" s="77">
        <f>'Key Generator'!U410</f>
        <v>0</v>
      </c>
      <c r="U291" s="77">
        <f>'Key Generator'!V410</f>
        <v>0</v>
      </c>
      <c r="V291" s="77">
        <f>'Key Generator'!W410</f>
        <v>0</v>
      </c>
      <c r="W291" s="77">
        <f>'Key Generator'!X410</f>
        <v>0</v>
      </c>
      <c r="X291" s="77">
        <f>'Key Generator'!Y410</f>
        <v>1</v>
      </c>
      <c r="Y291" s="77">
        <f>'Key Generator'!Z410</f>
        <v>1</v>
      </c>
      <c r="Z291" s="77">
        <f>'Key Generator'!AA410</f>
        <v>0</v>
      </c>
      <c r="AA291" s="77">
        <f>'Key Generator'!AB410</f>
        <v>1</v>
      </c>
      <c r="AB291" s="77">
        <f>'Key Generator'!AC410</f>
        <v>0</v>
      </c>
      <c r="AC291" s="77">
        <f>'Key Generator'!AD410</f>
        <v>0</v>
      </c>
      <c r="AD291" s="77">
        <f>'Key Generator'!AE410</f>
        <v>1</v>
      </c>
      <c r="AE291" s="77">
        <f>'Key Generator'!AF410</f>
        <v>1</v>
      </c>
      <c r="AF291" s="77">
        <f>'Key Generator'!AG410</f>
        <v>0</v>
      </c>
      <c r="AG291" s="77">
        <f>'Key Generator'!AH410</f>
        <v>1</v>
      </c>
      <c r="AH291" s="77">
        <f>'Key Generator'!AI410</f>
        <v>0</v>
      </c>
      <c r="AI291" s="77">
        <f>'Key Generator'!AJ410</f>
        <v>1</v>
      </c>
      <c r="AJ291" s="77">
        <f>'Key Generator'!AK410</f>
        <v>1</v>
      </c>
      <c r="AK291" s="77">
        <f>'Key Generator'!AL410</f>
        <v>0</v>
      </c>
      <c r="AL291" s="77">
        <f>'Key Generator'!AM410</f>
        <v>0</v>
      </c>
      <c r="AM291" s="77">
        <f>'Key Generator'!AN410</f>
        <v>1</v>
      </c>
      <c r="AN291" s="77">
        <f>'Key Generator'!AO410</f>
        <v>0</v>
      </c>
      <c r="AO291" s="77">
        <f>'Key Generator'!AP410</f>
        <v>1</v>
      </c>
      <c r="AP291" s="77">
        <f>'Key Generator'!AQ410</f>
        <v>0</v>
      </c>
      <c r="AQ291" s="77">
        <f>'Key Generator'!AR410</f>
        <v>0</v>
      </c>
      <c r="AR291" s="77">
        <f>'Key Generator'!AS410</f>
        <v>1</v>
      </c>
      <c r="AS291" s="77">
        <f>'Key Generator'!AT410</f>
        <v>0</v>
      </c>
      <c r="AT291" s="77">
        <f>'Key Generator'!AU410</f>
        <v>1</v>
      </c>
      <c r="AU291" s="77">
        <f>'Key Generator'!AV410</f>
        <v>1</v>
      </c>
      <c r="AV291" s="77">
        <f>'Key Generator'!AW410</f>
        <v>0</v>
      </c>
      <c r="AW291" s="77">
        <f>'Key Generator'!AX410</f>
        <v>1</v>
      </c>
      <c r="AX291" s="77">
        <f>'Key Generator'!AY410</f>
        <v>1</v>
      </c>
      <c r="AY291" s="21"/>
      <c r="AZ291" s="21"/>
      <c r="BA291" s="21"/>
      <c r="BB291" s="21"/>
      <c r="BC291" s="21"/>
      <c r="BD291" s="21"/>
      <c r="BE291" s="21"/>
    </row>
    <row r="292" spans="1:57" x14ac:dyDescent="0.25">
      <c r="A292" s="21"/>
      <c r="B292" s="64"/>
      <c r="C292" s="62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</row>
    <row r="293" spans="1:57" x14ac:dyDescent="0.25">
      <c r="A293" s="21"/>
      <c r="B293" s="64"/>
      <c r="C293" s="62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</row>
    <row r="294" spans="1:57" x14ac:dyDescent="0.25">
      <c r="A294" s="128" t="s">
        <v>535</v>
      </c>
      <c r="B294" s="129"/>
      <c r="C294" s="79">
        <v>1</v>
      </c>
      <c r="D294" s="80">
        <v>2</v>
      </c>
      <c r="E294" s="79">
        <v>3</v>
      </c>
      <c r="F294" s="80">
        <v>4</v>
      </c>
      <c r="G294" s="79">
        <v>5</v>
      </c>
      <c r="H294" s="80">
        <v>6</v>
      </c>
      <c r="I294" s="79">
        <v>7</v>
      </c>
      <c r="J294" s="80">
        <v>8</v>
      </c>
      <c r="K294" s="79">
        <v>9</v>
      </c>
      <c r="L294" s="80">
        <v>10</v>
      </c>
      <c r="M294" s="79">
        <v>11</v>
      </c>
      <c r="N294" s="80">
        <v>12</v>
      </c>
      <c r="O294" s="79">
        <v>13</v>
      </c>
      <c r="P294" s="80">
        <v>14</v>
      </c>
      <c r="Q294" s="79">
        <v>15</v>
      </c>
      <c r="R294" s="80">
        <v>16</v>
      </c>
      <c r="S294" s="79">
        <v>17</v>
      </c>
      <c r="T294" s="80">
        <v>18</v>
      </c>
      <c r="U294" s="79">
        <v>19</v>
      </c>
      <c r="V294" s="80">
        <v>20</v>
      </c>
      <c r="W294" s="79">
        <v>21</v>
      </c>
      <c r="X294" s="80">
        <v>22</v>
      </c>
      <c r="Y294" s="79">
        <v>23</v>
      </c>
      <c r="Z294" s="80">
        <v>24</v>
      </c>
      <c r="AA294" s="79">
        <v>25</v>
      </c>
      <c r="AB294" s="80">
        <v>26</v>
      </c>
      <c r="AC294" s="79">
        <v>27</v>
      </c>
      <c r="AD294" s="80">
        <v>28</v>
      </c>
      <c r="AE294" s="79">
        <v>29</v>
      </c>
      <c r="AF294" s="80">
        <v>30</v>
      </c>
      <c r="AG294" s="79">
        <v>31</v>
      </c>
      <c r="AH294" s="80">
        <v>32</v>
      </c>
      <c r="AI294" s="79">
        <v>33</v>
      </c>
      <c r="AJ294" s="80">
        <v>34</v>
      </c>
      <c r="AK294" s="79">
        <v>35</v>
      </c>
      <c r="AL294" s="80">
        <v>36</v>
      </c>
      <c r="AM294" s="79">
        <v>37</v>
      </c>
      <c r="AN294" s="80">
        <v>38</v>
      </c>
      <c r="AO294" s="79">
        <v>39</v>
      </c>
      <c r="AP294" s="80">
        <v>40</v>
      </c>
      <c r="AQ294" s="79">
        <v>41</v>
      </c>
      <c r="AR294" s="80">
        <v>42</v>
      </c>
      <c r="AS294" s="79">
        <v>43</v>
      </c>
      <c r="AT294" s="80">
        <v>44</v>
      </c>
      <c r="AU294" s="79">
        <v>45</v>
      </c>
      <c r="AV294" s="80">
        <v>46</v>
      </c>
      <c r="AW294" s="79">
        <v>47</v>
      </c>
      <c r="AX294" s="80">
        <v>48</v>
      </c>
      <c r="AY294" s="21"/>
      <c r="AZ294" s="21"/>
      <c r="BA294" s="21"/>
      <c r="BB294" s="21"/>
      <c r="BC294" s="21"/>
      <c r="BD294" s="21"/>
      <c r="BE294" s="21"/>
    </row>
    <row r="295" spans="1:57" x14ac:dyDescent="0.25">
      <c r="A295" s="21"/>
      <c r="B295" s="64"/>
      <c r="C295" s="88">
        <f>--_xlfn.XOR(C287,'Key Generator'!D410)</f>
        <v>1</v>
      </c>
      <c r="D295" s="88">
        <f>--_xlfn.XOR(D287,'Key Generator'!E410)</f>
        <v>1</v>
      </c>
      <c r="E295" s="88">
        <f>--_xlfn.XOR(E287,'Key Generator'!F410)</f>
        <v>1</v>
      </c>
      <c r="F295" s="88">
        <f>--_xlfn.XOR(F287,'Key Generator'!G410)</f>
        <v>0</v>
      </c>
      <c r="G295" s="88">
        <f>--_xlfn.XOR(G287,'Key Generator'!H410)</f>
        <v>0</v>
      </c>
      <c r="H295" s="88">
        <f>--_xlfn.XOR(H287,'Key Generator'!I410)</f>
        <v>1</v>
      </c>
      <c r="I295" s="87">
        <f>--_xlfn.XOR(I287,'Key Generator'!J410)</f>
        <v>0</v>
      </c>
      <c r="J295" s="87">
        <f>--_xlfn.XOR(J287,'Key Generator'!K410)</f>
        <v>0</v>
      </c>
      <c r="K295" s="87">
        <f>--_xlfn.XOR(K287,'Key Generator'!L410)</f>
        <v>0</v>
      </c>
      <c r="L295" s="87">
        <f>--_xlfn.XOR(L287,'Key Generator'!M410)</f>
        <v>0</v>
      </c>
      <c r="M295" s="87">
        <f>--_xlfn.XOR(M287,'Key Generator'!N410)</f>
        <v>1</v>
      </c>
      <c r="N295" s="87">
        <f>--_xlfn.XOR(N287,'Key Generator'!O410)</f>
        <v>1</v>
      </c>
      <c r="O295" s="89">
        <f>--_xlfn.XOR(O287,'Key Generator'!P410)</f>
        <v>1</v>
      </c>
      <c r="P295" s="89">
        <f>--_xlfn.XOR(P287,'Key Generator'!Q410)</f>
        <v>0</v>
      </c>
      <c r="Q295" s="89">
        <f>--_xlfn.XOR(Q287,'Key Generator'!R410)</f>
        <v>0</v>
      </c>
      <c r="R295" s="89">
        <f>--_xlfn.XOR(R287,'Key Generator'!S410)</f>
        <v>0</v>
      </c>
      <c r="S295" s="89">
        <f>--_xlfn.XOR(S287,'Key Generator'!T410)</f>
        <v>0</v>
      </c>
      <c r="T295" s="89">
        <f>--_xlfn.XOR(T287,'Key Generator'!U410)</f>
        <v>1</v>
      </c>
      <c r="U295" s="149">
        <f>--_xlfn.XOR(U287,'Key Generator'!V410)</f>
        <v>0</v>
      </c>
      <c r="V295" s="149">
        <f>--_xlfn.XOR(V287,'Key Generator'!W410)</f>
        <v>1</v>
      </c>
      <c r="W295" s="149">
        <f>--_xlfn.XOR(W287,'Key Generator'!X410)</f>
        <v>0</v>
      </c>
      <c r="X295" s="149">
        <f>--_xlfn.XOR(X287,'Key Generator'!Y410)</f>
        <v>0</v>
      </c>
      <c r="Y295" s="149">
        <f>--_xlfn.XOR(Y287,'Key Generator'!Z410)</f>
        <v>0</v>
      </c>
      <c r="Z295" s="149">
        <f>--_xlfn.XOR(Z287,'Key Generator'!AA410)</f>
        <v>0</v>
      </c>
      <c r="AA295" s="91">
        <f>--_xlfn.XOR(AA287,'Key Generator'!AB410)</f>
        <v>0</v>
      </c>
      <c r="AB295" s="91">
        <f>--_xlfn.XOR(AB287,'Key Generator'!AC410)</f>
        <v>0</v>
      </c>
      <c r="AC295" s="91">
        <f>--_xlfn.XOR(AC287,'Key Generator'!AD410)</f>
        <v>0</v>
      </c>
      <c r="AD295" s="91">
        <f>--_xlfn.XOR(AD287,'Key Generator'!AE410)</f>
        <v>0</v>
      </c>
      <c r="AE295" s="91">
        <f>--_xlfn.XOR(AE287,'Key Generator'!AF410)</f>
        <v>1</v>
      </c>
      <c r="AF295" s="91">
        <f>--_xlfn.XOR(AF287,'Key Generator'!AG410)</f>
        <v>1</v>
      </c>
      <c r="AG295" s="92">
        <f>--_xlfn.XOR(AG287,'Key Generator'!AH410)</f>
        <v>1</v>
      </c>
      <c r="AH295" s="92">
        <f>--_xlfn.XOR(AH287,'Key Generator'!AI410)</f>
        <v>1</v>
      </c>
      <c r="AI295" s="92">
        <f>--_xlfn.XOR(AI287,'Key Generator'!AJ410)</f>
        <v>1</v>
      </c>
      <c r="AJ295" s="92">
        <f>--_xlfn.XOR(AJ287,'Key Generator'!AK410)</f>
        <v>0</v>
      </c>
      <c r="AK295" s="92">
        <f>--_xlfn.XOR(AK287,'Key Generator'!AL410)</f>
        <v>1</v>
      </c>
      <c r="AL295" s="92">
        <f>--_xlfn.XOR(AL287,'Key Generator'!AM410)</f>
        <v>0</v>
      </c>
      <c r="AM295" s="86">
        <f>--_xlfn.XOR(AM287,'Key Generator'!AN410)</f>
        <v>0</v>
      </c>
      <c r="AN295" s="86">
        <f>--_xlfn.XOR(AN287,'Key Generator'!AO410)</f>
        <v>0</v>
      </c>
      <c r="AO295" s="86">
        <f>--_xlfn.XOR(AO287,'Key Generator'!AP410)</f>
        <v>0</v>
      </c>
      <c r="AP295" s="86">
        <f>--_xlfn.XOR(AP287,'Key Generator'!AQ410)</f>
        <v>1</v>
      </c>
      <c r="AQ295" s="86">
        <f>--_xlfn.XOR(AQ287,'Key Generator'!AR410)</f>
        <v>0</v>
      </c>
      <c r="AR295" s="86">
        <f>--_xlfn.XOR(AR287,'Key Generator'!AS410)</f>
        <v>1</v>
      </c>
      <c r="AS295" s="81">
        <f>--_xlfn.XOR(AS287,'Key Generator'!AT410)</f>
        <v>0</v>
      </c>
      <c r="AT295" s="81">
        <f>--_xlfn.XOR(AT287,'Key Generator'!AU410)</f>
        <v>1</v>
      </c>
      <c r="AU295" s="81">
        <f>--_xlfn.XOR(AU287,'Key Generator'!AV410)</f>
        <v>1</v>
      </c>
      <c r="AV295" s="81">
        <f>--_xlfn.XOR(AV287,'Key Generator'!AW410)</f>
        <v>1</v>
      </c>
      <c r="AW295" s="81">
        <f>--_xlfn.XOR(AW287,'Key Generator'!AX410)</f>
        <v>0</v>
      </c>
      <c r="AX295" s="81">
        <f>--_xlfn.XOR(AX287,'Key Generator'!AY410)</f>
        <v>0</v>
      </c>
      <c r="AY295" s="21"/>
      <c r="AZ295" s="21"/>
      <c r="BA295" s="21"/>
      <c r="BB295" s="21"/>
      <c r="BC295" s="21"/>
      <c r="BD295" s="21"/>
      <c r="BE295" s="21"/>
    </row>
    <row r="296" spans="1:57" x14ac:dyDescent="0.25">
      <c r="A296" s="21"/>
      <c r="B296" s="64"/>
      <c r="C296" s="93"/>
      <c r="D296" s="94"/>
      <c r="E296" s="94"/>
      <c r="F296" s="94"/>
      <c r="G296" s="94"/>
      <c r="H296" s="94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</row>
    <row r="297" spans="1:57" x14ac:dyDescent="0.25">
      <c r="A297" s="96" t="s">
        <v>545</v>
      </c>
      <c r="B297" s="97"/>
      <c r="C297" s="161">
        <f>D295*8+E295*4+F295*2+G295</f>
        <v>12</v>
      </c>
      <c r="D297" s="97" t="s">
        <v>536</v>
      </c>
      <c r="E297" s="97"/>
      <c r="F297" s="97"/>
      <c r="G297" s="97"/>
      <c r="H297" s="97"/>
      <c r="I297" s="161">
        <f>J295*8+K295*4+L295*2+M295</f>
        <v>1</v>
      </c>
      <c r="J297" s="97" t="s">
        <v>537</v>
      </c>
      <c r="K297" s="97"/>
      <c r="L297" s="97"/>
      <c r="M297" s="97"/>
      <c r="N297" s="97"/>
      <c r="O297" s="161">
        <f>P295*8+Q295*4+R295*2+S295</f>
        <v>0</v>
      </c>
      <c r="P297" s="97" t="s">
        <v>538</v>
      </c>
      <c r="Q297" s="97"/>
      <c r="R297" s="97"/>
      <c r="S297" s="97"/>
      <c r="T297" s="97"/>
      <c r="U297" s="161">
        <f>V295*8+W295*4+X295*2+Y295</f>
        <v>8</v>
      </c>
      <c r="V297" s="97" t="s">
        <v>539</v>
      </c>
      <c r="W297" s="97"/>
      <c r="X297" s="97"/>
      <c r="Y297" s="97"/>
      <c r="Z297" s="97"/>
      <c r="AA297" s="161">
        <f>AB295*8+AC295*4+AD295*2+AE295</f>
        <v>1</v>
      </c>
      <c r="AB297" s="97" t="s">
        <v>540</v>
      </c>
      <c r="AC297" s="97"/>
      <c r="AD297" s="97"/>
      <c r="AE297" s="97"/>
      <c r="AF297" s="97"/>
      <c r="AG297" s="161">
        <f>AH295*8+AI295*4+AJ295*2+AK295</f>
        <v>13</v>
      </c>
      <c r="AH297" s="97" t="s">
        <v>541</v>
      </c>
      <c r="AI297" s="97"/>
      <c r="AJ297" s="97"/>
      <c r="AK297" s="97"/>
      <c r="AL297" s="97"/>
      <c r="AM297" s="161">
        <f>AN295*8+AO295*4+AP295*2+AQ295</f>
        <v>2</v>
      </c>
      <c r="AN297" s="97" t="s">
        <v>542</v>
      </c>
      <c r="AO297" s="97"/>
      <c r="AP297" s="97"/>
      <c r="AQ297" s="97"/>
      <c r="AR297" s="97"/>
      <c r="AS297" s="161">
        <f>AT295*8+AU295*4+AV295*2+AW295</f>
        <v>14</v>
      </c>
      <c r="AT297" s="97" t="s">
        <v>543</v>
      </c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</row>
    <row r="298" spans="1:57" x14ac:dyDescent="0.25">
      <c r="A298" s="100" t="s">
        <v>546</v>
      </c>
      <c r="B298" s="99"/>
      <c r="C298" s="87">
        <f>C295*2+H295</f>
        <v>3</v>
      </c>
      <c r="D298" s="98"/>
      <c r="E298" s="98"/>
      <c r="F298" s="99"/>
      <c r="G298" s="99"/>
      <c r="H298" s="99"/>
      <c r="I298" s="87">
        <f>I295*2+N295</f>
        <v>1</v>
      </c>
      <c r="J298" s="99"/>
      <c r="K298" s="99"/>
      <c r="L298" s="99"/>
      <c r="M298" s="99"/>
      <c r="N298" s="99"/>
      <c r="O298" s="87">
        <f>O295*2+T295</f>
        <v>3</v>
      </c>
      <c r="P298" s="99"/>
      <c r="Q298" s="99"/>
      <c r="R298" s="99"/>
      <c r="S298" s="99"/>
      <c r="T298" s="99"/>
      <c r="U298" s="87">
        <f>U295*2+Z295</f>
        <v>0</v>
      </c>
      <c r="V298" s="99"/>
      <c r="W298" s="99"/>
      <c r="X298" s="99"/>
      <c r="Y298" s="99"/>
      <c r="Z298" s="99"/>
      <c r="AA298" s="87">
        <f>AA295*2+AF295</f>
        <v>1</v>
      </c>
      <c r="AB298" s="99"/>
      <c r="AC298" s="99"/>
      <c r="AD298" s="99"/>
      <c r="AE298" s="99"/>
      <c r="AF298" s="99"/>
      <c r="AG298" s="87">
        <f>AG295*2+AL295</f>
        <v>2</v>
      </c>
      <c r="AH298" s="99"/>
      <c r="AI298" s="99"/>
      <c r="AJ298" s="99"/>
      <c r="AK298" s="99"/>
      <c r="AL298" s="99"/>
      <c r="AM298" s="87">
        <f>AM295*2+AR295</f>
        <v>1</v>
      </c>
      <c r="AN298" s="99"/>
      <c r="AO298" s="99"/>
      <c r="AP298" s="99"/>
      <c r="AQ298" s="99"/>
      <c r="AR298" s="99"/>
      <c r="AS298" s="87">
        <f>AS295*2+AX295</f>
        <v>0</v>
      </c>
      <c r="AT298" s="99"/>
      <c r="AU298" s="99"/>
      <c r="AV298" s="99"/>
      <c r="AW298" s="99"/>
      <c r="AX298" s="99"/>
      <c r="AY298" s="99"/>
      <c r="AZ298" s="99"/>
      <c r="BA298" s="99"/>
      <c r="BB298" s="99"/>
      <c r="BC298" s="99"/>
      <c r="BD298" s="99"/>
      <c r="BE298" s="99"/>
    </row>
    <row r="299" spans="1:57" x14ac:dyDescent="0.25">
      <c r="A299" s="21"/>
      <c r="B299" s="64"/>
      <c r="C299" s="62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</row>
    <row r="300" spans="1:57" x14ac:dyDescent="0.25">
      <c r="A300" s="117" t="s">
        <v>547</v>
      </c>
      <c r="B300" s="64"/>
      <c r="C300" s="72">
        <f>INDEX('S-Box'!D3:S6,'DES-Dec'!C298+1,'DES-Dec'!C297+1)</f>
        <v>10</v>
      </c>
      <c r="D300" s="21"/>
      <c r="E300" s="21"/>
      <c r="F300" s="21"/>
      <c r="G300" s="21"/>
      <c r="H300" s="21"/>
      <c r="I300" s="168">
        <f>INDEX('S-Box'!D9:S12,'DES-Dec'!I298+1,'DES-Dec'!I297+1)</f>
        <v>13</v>
      </c>
      <c r="J300" s="21"/>
      <c r="K300" s="21"/>
      <c r="L300" s="21"/>
      <c r="M300" s="21"/>
      <c r="N300" s="21"/>
      <c r="O300" s="168">
        <f>INDEX('S-Box'!D15:S18,'DES-Dec'!O298+1,'DES-Dec'!O297+1)</f>
        <v>1</v>
      </c>
      <c r="P300" s="21"/>
      <c r="Q300" s="21"/>
      <c r="R300" s="21"/>
      <c r="S300" s="21"/>
      <c r="T300" s="21"/>
      <c r="U300" s="168">
        <f>INDEX('S-Box'!D21:S24,'DES-Dec'!U298+1,'DES-Dec'!U297+1)</f>
        <v>1</v>
      </c>
      <c r="V300" s="21"/>
      <c r="W300" s="21"/>
      <c r="X300" s="21"/>
      <c r="Y300" s="21"/>
      <c r="Z300" s="21"/>
      <c r="AA300" s="168">
        <f>INDEX('S-Box'!D27:S30,'DES-Dec'!AA298+1,'DES-Dec'!AA297+1)</f>
        <v>11</v>
      </c>
      <c r="AB300" s="21"/>
      <c r="AC300" s="21"/>
      <c r="AD300" s="21"/>
      <c r="AE300" s="21"/>
      <c r="AF300" s="21"/>
      <c r="AG300" s="168">
        <f>INDEX('S-Box'!D33:S36,'DES-Dec'!AG298+1,'DES-Dec'!AG297+1)</f>
        <v>13</v>
      </c>
      <c r="AH300" s="21"/>
      <c r="AI300" s="21"/>
      <c r="AJ300" s="21"/>
      <c r="AK300" s="21"/>
      <c r="AL300" s="21"/>
      <c r="AM300" s="168">
        <f>INDEX('S-Box'!D39:S42,'DES-Dec'!AM298+1,'DES-Dec'!AM297+1)</f>
        <v>11</v>
      </c>
      <c r="AN300" s="21"/>
      <c r="AO300" s="21"/>
      <c r="AP300" s="21"/>
      <c r="AQ300" s="21"/>
      <c r="AR300" s="21"/>
      <c r="AS300" s="168">
        <f>INDEX('S-Box'!D45:S48,'DES-Dec'!AS298+1,'DES-Dec'!AS297+1)</f>
        <v>12</v>
      </c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</row>
    <row r="301" spans="1:57" x14ac:dyDescent="0.25">
      <c r="A301" s="21"/>
      <c r="B301" s="64"/>
      <c r="C301" s="104"/>
      <c r="D301" s="21"/>
      <c r="E301" s="21"/>
      <c r="F301" s="21"/>
      <c r="G301" s="21"/>
      <c r="H301" s="21"/>
      <c r="I301" s="95"/>
      <c r="J301" s="21"/>
      <c r="K301" s="21"/>
      <c r="L301" s="21"/>
      <c r="M301" s="21"/>
      <c r="N301" s="21"/>
      <c r="O301" s="95"/>
      <c r="P301" s="21"/>
      <c r="Q301" s="21"/>
      <c r="R301" s="21"/>
      <c r="S301" s="21"/>
      <c r="T301" s="21"/>
      <c r="U301" s="95"/>
      <c r="V301" s="21"/>
      <c r="W301" s="21"/>
      <c r="X301" s="21"/>
      <c r="Y301" s="21"/>
      <c r="Z301" s="21"/>
      <c r="AA301" s="95"/>
      <c r="AB301" s="21"/>
      <c r="AC301" s="21"/>
      <c r="AD301" s="21"/>
      <c r="AE301" s="21"/>
      <c r="AF301" s="21"/>
      <c r="AG301" s="95"/>
      <c r="AH301" s="21"/>
      <c r="AI301" s="21"/>
      <c r="AJ301" s="21"/>
      <c r="AK301" s="21"/>
      <c r="AL301" s="21"/>
      <c r="AM301" s="95"/>
      <c r="AN301" s="21"/>
      <c r="AO301" s="21"/>
      <c r="AP301" s="21"/>
      <c r="AQ301" s="21"/>
      <c r="AR301" s="21"/>
      <c r="AS301" s="95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</row>
    <row r="302" spans="1:57" x14ac:dyDescent="0.25">
      <c r="A302" s="21"/>
      <c r="B302" s="64"/>
      <c r="C302" s="105" t="str">
        <f>MID(DEC2BIN(C300,4),1,1)</f>
        <v>1</v>
      </c>
      <c r="D302" s="106" t="str">
        <f>MID(DEC2BIN(C300,4),2,1)</f>
        <v>0</v>
      </c>
      <c r="E302" s="106" t="str">
        <f>MID(DEC2BIN(C300,4),3,1)</f>
        <v>1</v>
      </c>
      <c r="F302" s="107" t="str">
        <f>MID(DEC2BIN(C300,4),4,1)</f>
        <v>0</v>
      </c>
      <c r="G302" s="21"/>
      <c r="H302" s="21"/>
      <c r="I302" s="105" t="str">
        <f>MID(DEC2BIN(I300,4),1,1)</f>
        <v>1</v>
      </c>
      <c r="J302" s="106" t="str">
        <f>MID(DEC2BIN(I300,4),2,1)</f>
        <v>1</v>
      </c>
      <c r="K302" s="106" t="str">
        <f>MID(DEC2BIN(I300,4),3,1)</f>
        <v>0</v>
      </c>
      <c r="L302" s="107" t="str">
        <f>MID(DEC2BIN(I300,4),4,1)</f>
        <v>1</v>
      </c>
      <c r="M302" s="21"/>
      <c r="N302" s="21"/>
      <c r="O302" s="105" t="str">
        <f>MID(DEC2BIN(O300,4),1,1)</f>
        <v>0</v>
      </c>
      <c r="P302" s="106" t="str">
        <f>MID(DEC2BIN(O300,4),2,1)</f>
        <v>0</v>
      </c>
      <c r="Q302" s="106" t="str">
        <f>MID(DEC2BIN(O300,4),3,1)</f>
        <v>0</v>
      </c>
      <c r="R302" s="107" t="str">
        <f>MID(DEC2BIN(O300,4),4,1)</f>
        <v>1</v>
      </c>
      <c r="S302" s="21"/>
      <c r="T302" s="21"/>
      <c r="U302" s="105" t="str">
        <f>MID(DEC2BIN(U300,4),1,1)</f>
        <v>0</v>
      </c>
      <c r="V302" s="106" t="str">
        <f>MID(DEC2BIN(U300,4),2,1)</f>
        <v>0</v>
      </c>
      <c r="W302" s="106" t="str">
        <f>MID(DEC2BIN(U300,4),3,1)</f>
        <v>0</v>
      </c>
      <c r="X302" s="107" t="str">
        <f>MID(DEC2BIN(U300,4),4,1)</f>
        <v>1</v>
      </c>
      <c r="Y302" s="21"/>
      <c r="Z302" s="21"/>
      <c r="AA302" s="105" t="str">
        <f>MID(DEC2BIN(AA300,4),1,1)</f>
        <v>1</v>
      </c>
      <c r="AB302" s="106" t="str">
        <f>MID(DEC2BIN(AA300,4),2,1)</f>
        <v>0</v>
      </c>
      <c r="AC302" s="106" t="str">
        <f>MID(DEC2BIN(AA300,4),3,1)</f>
        <v>1</v>
      </c>
      <c r="AD302" s="107" t="str">
        <f>MID(DEC2BIN(AA300,4),4,1)</f>
        <v>1</v>
      </c>
      <c r="AE302" s="21"/>
      <c r="AF302" s="21"/>
      <c r="AG302" s="105" t="str">
        <f>MID(DEC2BIN(AG300,4),1,1)</f>
        <v>1</v>
      </c>
      <c r="AH302" s="106" t="str">
        <f>MID(DEC2BIN(AG300,4),2,1)</f>
        <v>1</v>
      </c>
      <c r="AI302" s="106" t="str">
        <f>MID(DEC2BIN(AG300,4),3,1)</f>
        <v>0</v>
      </c>
      <c r="AJ302" s="107" t="str">
        <f>MID(DEC2BIN(AG300,4),4,1)</f>
        <v>1</v>
      </c>
      <c r="AK302" s="21"/>
      <c r="AL302" s="21"/>
      <c r="AM302" s="105" t="str">
        <f>MID(DEC2BIN(AM300,4),1,1)</f>
        <v>1</v>
      </c>
      <c r="AN302" s="106" t="str">
        <f>MID(DEC2BIN(AM300,4),2,1)</f>
        <v>0</v>
      </c>
      <c r="AO302" s="106" t="str">
        <f>MID(DEC2BIN(AM300,4),3,1)</f>
        <v>1</v>
      </c>
      <c r="AP302" s="107" t="str">
        <f>MID(DEC2BIN(AM300,4),4,1)</f>
        <v>1</v>
      </c>
      <c r="AQ302" s="21"/>
      <c r="AR302" s="21"/>
      <c r="AS302" s="105" t="str">
        <f>MID(DEC2BIN(AS300,4),1,1)</f>
        <v>1</v>
      </c>
      <c r="AT302" s="106" t="str">
        <f>MID(DEC2BIN(AS300,4),2,1)</f>
        <v>1</v>
      </c>
      <c r="AU302" s="106" t="str">
        <f>MID(DEC2BIN(AS300,4),3,1)</f>
        <v>0</v>
      </c>
      <c r="AV302" s="107" t="str">
        <f>MID(DEC2BIN(AS300,4),4,1)</f>
        <v>0</v>
      </c>
      <c r="AW302" s="21"/>
      <c r="AX302" s="21"/>
      <c r="AY302" s="21"/>
      <c r="AZ302" s="21"/>
      <c r="BA302" s="21"/>
      <c r="BB302" s="21"/>
      <c r="BC302" s="21"/>
      <c r="BD302" s="21"/>
      <c r="BE302" s="21"/>
    </row>
    <row r="303" spans="1:57" s="21" customFormat="1" ht="24.95" customHeight="1" x14ac:dyDescent="0.25">
      <c r="B303" s="64"/>
      <c r="C303" s="21">
        <f>VALUE(C302)</f>
        <v>1</v>
      </c>
      <c r="D303" s="21">
        <f t="shared" ref="D303" si="876">VALUE(D302)</f>
        <v>0</v>
      </c>
      <c r="E303" s="21">
        <f t="shared" ref="E303" si="877">VALUE(E302)</f>
        <v>1</v>
      </c>
      <c r="F303" s="21">
        <f t="shared" ref="F303" si="878">VALUE(F302)</f>
        <v>0</v>
      </c>
      <c r="I303" s="21">
        <f t="shared" ref="I303" si="879">VALUE(I302)</f>
        <v>1</v>
      </c>
      <c r="J303" s="21">
        <f t="shared" ref="J303" si="880">VALUE(J302)</f>
        <v>1</v>
      </c>
      <c r="K303" s="21">
        <f t="shared" ref="K303" si="881">VALUE(K302)</f>
        <v>0</v>
      </c>
      <c r="L303" s="21">
        <f t="shared" ref="L303" si="882">VALUE(L302)</f>
        <v>1</v>
      </c>
      <c r="O303" s="21">
        <f>VALUE(O302)</f>
        <v>0</v>
      </c>
      <c r="P303" s="21">
        <f t="shared" ref="P303" si="883">VALUE(P302)</f>
        <v>0</v>
      </c>
      <c r="Q303" s="21">
        <f t="shared" ref="Q303" si="884">VALUE(Q302)</f>
        <v>0</v>
      </c>
      <c r="R303" s="21">
        <f t="shared" ref="R303" si="885">VALUE(R302)</f>
        <v>1</v>
      </c>
      <c r="U303" s="21">
        <f>VALUE(U302)</f>
        <v>0</v>
      </c>
      <c r="V303" s="21">
        <f t="shared" ref="V303" si="886">VALUE(V302)</f>
        <v>0</v>
      </c>
      <c r="W303" s="21">
        <f t="shared" ref="W303" si="887">VALUE(W302)</f>
        <v>0</v>
      </c>
      <c r="X303" s="21">
        <f t="shared" ref="X303" si="888">VALUE(X302)</f>
        <v>1</v>
      </c>
      <c r="AA303" s="21">
        <f>VALUE(AA302)</f>
        <v>1</v>
      </c>
      <c r="AB303" s="21">
        <f t="shared" ref="AB303" si="889">VALUE(AB302)</f>
        <v>0</v>
      </c>
      <c r="AC303" s="21">
        <f t="shared" ref="AC303" si="890">VALUE(AC302)</f>
        <v>1</v>
      </c>
      <c r="AD303" s="21">
        <f t="shared" ref="AD303" si="891">VALUE(AD302)</f>
        <v>1</v>
      </c>
      <c r="AG303" s="21">
        <f>VALUE(AG302)</f>
        <v>1</v>
      </c>
      <c r="AH303" s="21">
        <f t="shared" ref="AH303" si="892">VALUE(AH302)</f>
        <v>1</v>
      </c>
      <c r="AI303" s="21">
        <f t="shared" ref="AI303" si="893">VALUE(AI302)</f>
        <v>0</v>
      </c>
      <c r="AJ303" s="21">
        <f t="shared" ref="AJ303" si="894">VALUE(AJ302)</f>
        <v>1</v>
      </c>
      <c r="AM303" s="21">
        <f>VALUE(AM302)</f>
        <v>1</v>
      </c>
      <c r="AN303" s="21">
        <f t="shared" ref="AN303" si="895">VALUE(AN302)</f>
        <v>0</v>
      </c>
      <c r="AO303" s="21">
        <f t="shared" ref="AO303" si="896">VALUE(AO302)</f>
        <v>1</v>
      </c>
      <c r="AP303" s="21">
        <f t="shared" ref="AP303" si="897">VALUE(AP302)</f>
        <v>1</v>
      </c>
      <c r="AS303" s="21">
        <f>VALUE(AS302)</f>
        <v>1</v>
      </c>
      <c r="AT303" s="21">
        <f t="shared" ref="AT303" si="898">VALUE(AT302)</f>
        <v>1</v>
      </c>
      <c r="AU303" s="21">
        <f t="shared" ref="AU303" si="899">VALUE(AU302)</f>
        <v>0</v>
      </c>
      <c r="AV303" s="21">
        <f t="shared" ref="AV303" si="900">VALUE(AV302)</f>
        <v>0</v>
      </c>
    </row>
    <row r="304" spans="1:57" s="21" customFormat="1" ht="24.95" customHeight="1" x14ac:dyDescent="0.25">
      <c r="A304" s="111" t="s">
        <v>588</v>
      </c>
      <c r="B304" s="111"/>
      <c r="C304" s="111">
        <v>1</v>
      </c>
      <c r="D304" s="76">
        <v>2</v>
      </c>
      <c r="E304" s="111">
        <v>3</v>
      </c>
      <c r="F304" s="76">
        <v>4</v>
      </c>
      <c r="G304" s="111">
        <v>5</v>
      </c>
      <c r="H304" s="76">
        <v>6</v>
      </c>
      <c r="I304" s="111">
        <v>7</v>
      </c>
      <c r="J304" s="76">
        <v>8</v>
      </c>
      <c r="K304" s="111">
        <v>9</v>
      </c>
      <c r="L304" s="76">
        <v>10</v>
      </c>
      <c r="M304" s="111">
        <v>11</v>
      </c>
      <c r="N304" s="76">
        <v>12</v>
      </c>
      <c r="O304" s="111">
        <v>13</v>
      </c>
      <c r="P304" s="76">
        <v>14</v>
      </c>
      <c r="Q304" s="111">
        <v>15</v>
      </c>
      <c r="R304" s="76">
        <v>16</v>
      </c>
      <c r="S304" s="111">
        <v>17</v>
      </c>
      <c r="T304" s="76">
        <v>18</v>
      </c>
      <c r="U304" s="111">
        <v>19</v>
      </c>
      <c r="V304" s="76">
        <v>20</v>
      </c>
      <c r="W304" s="111">
        <v>21</v>
      </c>
      <c r="X304" s="76">
        <v>22</v>
      </c>
      <c r="Y304" s="111">
        <v>23</v>
      </c>
      <c r="Z304" s="76">
        <v>24</v>
      </c>
      <c r="AA304" s="111">
        <v>25</v>
      </c>
      <c r="AB304" s="76">
        <v>26</v>
      </c>
      <c r="AC304" s="111">
        <v>27</v>
      </c>
      <c r="AD304" s="76">
        <v>28</v>
      </c>
      <c r="AE304" s="111">
        <v>29</v>
      </c>
      <c r="AF304" s="76">
        <v>30</v>
      </c>
      <c r="AG304" s="111">
        <v>31</v>
      </c>
      <c r="AH304" s="76">
        <v>32</v>
      </c>
    </row>
    <row r="305" spans="1:57" s="21" customFormat="1" ht="24.95" customHeight="1" x14ac:dyDescent="0.25">
      <c r="B305" s="64"/>
      <c r="C305" s="108">
        <f>C303</f>
        <v>1</v>
      </c>
      <c r="D305" s="108">
        <f t="shared" ref="D305:F305" si="901">D303</f>
        <v>0</v>
      </c>
      <c r="E305" s="108">
        <f t="shared" si="901"/>
        <v>1</v>
      </c>
      <c r="F305" s="108">
        <f t="shared" si="901"/>
        <v>0</v>
      </c>
      <c r="G305" s="23">
        <f>I303</f>
        <v>1</v>
      </c>
      <c r="H305" s="23">
        <f t="shared" ref="H305" si="902">J303</f>
        <v>1</v>
      </c>
      <c r="I305" s="23">
        <f t="shared" ref="I305" si="903">K303</f>
        <v>0</v>
      </c>
      <c r="J305" s="23">
        <f t="shared" ref="J305" si="904">L303</f>
        <v>1</v>
      </c>
      <c r="K305" s="23">
        <f>O303</f>
        <v>0</v>
      </c>
      <c r="L305" s="23">
        <f t="shared" ref="L305" si="905">P303</f>
        <v>0</v>
      </c>
      <c r="M305" s="23">
        <f t="shared" ref="M305" si="906">Q303</f>
        <v>0</v>
      </c>
      <c r="N305" s="23">
        <f t="shared" ref="N305" si="907">R303</f>
        <v>1</v>
      </c>
      <c r="O305" s="23">
        <f>U303</f>
        <v>0</v>
      </c>
      <c r="P305" s="23">
        <f t="shared" ref="P305" si="908">V303</f>
        <v>0</v>
      </c>
      <c r="Q305" s="23">
        <f t="shared" ref="Q305" si="909">W303</f>
        <v>0</v>
      </c>
      <c r="R305" s="23">
        <f t="shared" ref="R305" si="910">X303</f>
        <v>1</v>
      </c>
      <c r="S305" s="23">
        <f>AA303</f>
        <v>1</v>
      </c>
      <c r="T305" s="23">
        <f t="shared" ref="T305" si="911">AB303</f>
        <v>0</v>
      </c>
      <c r="U305" s="23">
        <f t="shared" ref="U305" si="912">AC303</f>
        <v>1</v>
      </c>
      <c r="V305" s="23">
        <f t="shared" ref="V305" si="913">AD303</f>
        <v>1</v>
      </c>
      <c r="W305" s="23">
        <f>AG303</f>
        <v>1</v>
      </c>
      <c r="X305" s="23">
        <f t="shared" ref="X305" si="914">AH303</f>
        <v>1</v>
      </c>
      <c r="Y305" s="23">
        <f t="shared" ref="Y305" si="915">AI303</f>
        <v>0</v>
      </c>
      <c r="Z305" s="23">
        <f t="shared" ref="Z305" si="916">AJ303</f>
        <v>1</v>
      </c>
      <c r="AA305" s="23">
        <f>AM303</f>
        <v>1</v>
      </c>
      <c r="AB305" s="23">
        <f t="shared" ref="AB305" si="917">AN303</f>
        <v>0</v>
      </c>
      <c r="AC305" s="23">
        <f t="shared" ref="AC305" si="918">AO303</f>
        <v>1</v>
      </c>
      <c r="AD305" s="23">
        <f t="shared" ref="AD305" si="919">AP303</f>
        <v>1</v>
      </c>
      <c r="AE305" s="23">
        <f>AS303</f>
        <v>1</v>
      </c>
      <c r="AF305" s="23">
        <f t="shared" ref="AF305" si="920">AT303</f>
        <v>1</v>
      </c>
      <c r="AG305" s="23">
        <f t="shared" ref="AG305" si="921">AU303</f>
        <v>0</v>
      </c>
      <c r="AH305" s="23">
        <f t="shared" ref="AH305" si="922">AV303</f>
        <v>0</v>
      </c>
    </row>
    <row r="306" spans="1:57" x14ac:dyDescent="0.25">
      <c r="A306" s="21"/>
      <c r="B306" s="64"/>
      <c r="C306" s="62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</row>
    <row r="307" spans="1:57" x14ac:dyDescent="0.25">
      <c r="A307" s="110" t="s">
        <v>548</v>
      </c>
      <c r="B307" s="110"/>
      <c r="C307" s="109">
        <v>16</v>
      </c>
      <c r="D307" s="110">
        <v>7</v>
      </c>
      <c r="E307" s="110">
        <v>20</v>
      </c>
      <c r="F307" s="110">
        <v>21</v>
      </c>
      <c r="G307" s="110">
        <v>29</v>
      </c>
      <c r="H307" s="110">
        <v>12</v>
      </c>
      <c r="I307" s="110">
        <v>28</v>
      </c>
      <c r="J307" s="110">
        <v>17</v>
      </c>
      <c r="K307" s="110">
        <v>1</v>
      </c>
      <c r="L307" s="110">
        <v>15</v>
      </c>
      <c r="M307" s="110">
        <v>23</v>
      </c>
      <c r="N307" s="110">
        <v>26</v>
      </c>
      <c r="O307" s="110">
        <v>5</v>
      </c>
      <c r="P307" s="110">
        <v>18</v>
      </c>
      <c r="Q307" s="110">
        <v>31</v>
      </c>
      <c r="R307" s="110">
        <v>10</v>
      </c>
      <c r="S307" s="110">
        <v>2</v>
      </c>
      <c r="T307" s="110">
        <v>8</v>
      </c>
      <c r="U307" s="110">
        <v>24</v>
      </c>
      <c r="V307" s="110">
        <v>14</v>
      </c>
      <c r="W307" s="110">
        <v>32</v>
      </c>
      <c r="X307" s="110">
        <v>27</v>
      </c>
      <c r="Y307" s="110">
        <v>3</v>
      </c>
      <c r="Z307" s="110">
        <v>9</v>
      </c>
      <c r="AA307" s="110">
        <v>19</v>
      </c>
      <c r="AB307" s="110">
        <v>13</v>
      </c>
      <c r="AC307" s="110">
        <v>30</v>
      </c>
      <c r="AD307" s="110">
        <v>6</v>
      </c>
      <c r="AE307" s="110">
        <v>22</v>
      </c>
      <c r="AF307" s="110">
        <v>11</v>
      </c>
      <c r="AG307" s="110">
        <v>4</v>
      </c>
      <c r="AH307" s="110">
        <v>25</v>
      </c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</row>
    <row r="308" spans="1:57" x14ac:dyDescent="0.25">
      <c r="A308" s="21"/>
      <c r="B308" s="64"/>
      <c r="C308" s="103">
        <f>K305</f>
        <v>0</v>
      </c>
      <c r="D308" s="103">
        <f>S305</f>
        <v>1</v>
      </c>
      <c r="E308" s="103">
        <f>Y305</f>
        <v>0</v>
      </c>
      <c r="F308" s="112">
        <f>AG305</f>
        <v>0</v>
      </c>
      <c r="G308" s="103">
        <f>O305</f>
        <v>0</v>
      </c>
      <c r="H308" s="103">
        <f>AD305</f>
        <v>1</v>
      </c>
      <c r="I308" s="103">
        <f>D305</f>
        <v>0</v>
      </c>
      <c r="J308" s="103">
        <f>T305</f>
        <v>0</v>
      </c>
      <c r="K308" s="103">
        <f>Z305</f>
        <v>1</v>
      </c>
      <c r="L308" s="103">
        <f>R305</f>
        <v>1</v>
      </c>
      <c r="M308" s="103">
        <f>AF305</f>
        <v>1</v>
      </c>
      <c r="N308" s="103">
        <f>H305</f>
        <v>1</v>
      </c>
      <c r="O308" s="103">
        <f>AB305</f>
        <v>0</v>
      </c>
      <c r="P308" s="103">
        <f>V305</f>
        <v>1</v>
      </c>
      <c r="Q308" s="103">
        <f>L305</f>
        <v>0</v>
      </c>
      <c r="R308" s="103">
        <f>C305</f>
        <v>1</v>
      </c>
      <c r="S308" s="103">
        <f>J305</f>
        <v>1</v>
      </c>
      <c r="T308" s="103">
        <f>P305</f>
        <v>0</v>
      </c>
      <c r="U308" s="103">
        <f>AA305</f>
        <v>1</v>
      </c>
      <c r="V308" s="103">
        <f>E305</f>
        <v>1</v>
      </c>
      <c r="W308" s="103">
        <f>F305</f>
        <v>0</v>
      </c>
      <c r="X308" s="103">
        <f>AE305</f>
        <v>1</v>
      </c>
      <c r="Y308" s="103">
        <f>M305</f>
        <v>0</v>
      </c>
      <c r="Z308" s="103">
        <f>U305</f>
        <v>1</v>
      </c>
      <c r="AA308" s="103">
        <f>AH305</f>
        <v>0</v>
      </c>
      <c r="AB308" s="103">
        <f>N305</f>
        <v>1</v>
      </c>
      <c r="AC308" s="103">
        <f>X305</f>
        <v>1</v>
      </c>
      <c r="AD308" s="103">
        <f>I305</f>
        <v>0</v>
      </c>
      <c r="AE308" s="103">
        <f>G305</f>
        <v>1</v>
      </c>
      <c r="AF308" s="103">
        <f>AC305</f>
        <v>1</v>
      </c>
      <c r="AG308" s="103">
        <f>Q305</f>
        <v>0</v>
      </c>
      <c r="AH308" s="103">
        <f>W305</f>
        <v>1</v>
      </c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</row>
    <row r="309" spans="1:57" x14ac:dyDescent="0.25">
      <c r="A309" s="21"/>
      <c r="B309" s="64"/>
      <c r="C309" s="130">
        <v>1</v>
      </c>
      <c r="D309" s="131">
        <v>2</v>
      </c>
      <c r="E309" s="130">
        <v>3</v>
      </c>
      <c r="F309" s="131">
        <v>4</v>
      </c>
      <c r="G309" s="130">
        <v>5</v>
      </c>
      <c r="H309" s="131">
        <v>6</v>
      </c>
      <c r="I309" s="130">
        <v>7</v>
      </c>
      <c r="J309" s="131">
        <v>8</v>
      </c>
      <c r="K309" s="130">
        <v>9</v>
      </c>
      <c r="L309" s="131">
        <v>10</v>
      </c>
      <c r="M309" s="130">
        <v>11</v>
      </c>
      <c r="N309" s="131">
        <v>12</v>
      </c>
      <c r="O309" s="130">
        <v>13</v>
      </c>
      <c r="P309" s="131">
        <v>14</v>
      </c>
      <c r="Q309" s="130">
        <v>15</v>
      </c>
      <c r="R309" s="131">
        <v>16</v>
      </c>
      <c r="S309" s="130">
        <v>17</v>
      </c>
      <c r="T309" s="131">
        <v>18</v>
      </c>
      <c r="U309" s="130">
        <v>19</v>
      </c>
      <c r="V309" s="131">
        <v>20</v>
      </c>
      <c r="W309" s="130">
        <v>21</v>
      </c>
      <c r="X309" s="131">
        <v>22</v>
      </c>
      <c r="Y309" s="130">
        <v>23</v>
      </c>
      <c r="Z309" s="131">
        <v>24</v>
      </c>
      <c r="AA309" s="130">
        <v>25</v>
      </c>
      <c r="AB309" s="131">
        <v>26</v>
      </c>
      <c r="AC309" s="130">
        <v>27</v>
      </c>
      <c r="AD309" s="131">
        <v>28</v>
      </c>
      <c r="AE309" s="130">
        <v>29</v>
      </c>
      <c r="AF309" s="131">
        <v>30</v>
      </c>
      <c r="AG309" s="130">
        <v>31</v>
      </c>
      <c r="AH309" s="131">
        <v>32</v>
      </c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</row>
    <row r="310" spans="1:57" x14ac:dyDescent="0.25">
      <c r="A310" s="21"/>
      <c r="B310" s="64"/>
      <c r="C310" s="62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</row>
    <row r="311" spans="1:57" x14ac:dyDescent="0.25">
      <c r="A311" s="21"/>
      <c r="B311" s="64"/>
      <c r="C311" s="62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</row>
    <row r="312" spans="1:57" x14ac:dyDescent="0.25">
      <c r="A312" s="21"/>
      <c r="B312" s="64"/>
      <c r="C312" s="62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</row>
    <row r="313" spans="1:57" x14ac:dyDescent="0.25">
      <c r="A313" s="114" t="s">
        <v>554</v>
      </c>
      <c r="B313" s="114"/>
      <c r="C313" s="114"/>
      <c r="D313" s="68">
        <v>1</v>
      </c>
      <c r="E313" s="68">
        <v>2</v>
      </c>
      <c r="F313" s="68">
        <v>3</v>
      </c>
      <c r="G313" s="68">
        <v>4</v>
      </c>
      <c r="H313" s="68">
        <v>5</v>
      </c>
      <c r="I313" s="68">
        <v>6</v>
      </c>
      <c r="J313" s="68">
        <v>7</v>
      </c>
      <c r="K313" s="68">
        <v>8</v>
      </c>
      <c r="L313" s="68">
        <v>9</v>
      </c>
      <c r="M313" s="68">
        <v>10</v>
      </c>
      <c r="N313" s="68">
        <v>11</v>
      </c>
      <c r="O313" s="68">
        <v>12</v>
      </c>
      <c r="P313" s="68">
        <v>13</v>
      </c>
      <c r="Q313" s="68">
        <v>14</v>
      </c>
      <c r="R313" s="68">
        <v>15</v>
      </c>
      <c r="S313" s="68">
        <v>16</v>
      </c>
      <c r="T313" s="68">
        <v>17</v>
      </c>
      <c r="U313" s="68">
        <v>18</v>
      </c>
      <c r="V313" s="68">
        <v>19</v>
      </c>
      <c r="W313" s="68">
        <v>20</v>
      </c>
      <c r="X313" s="68">
        <v>21</v>
      </c>
      <c r="Y313" s="68">
        <v>22</v>
      </c>
      <c r="Z313" s="68">
        <v>23</v>
      </c>
      <c r="AA313" s="68">
        <v>24</v>
      </c>
      <c r="AB313" s="68">
        <v>25</v>
      </c>
      <c r="AC313" s="68">
        <v>26</v>
      </c>
      <c r="AD313" s="68">
        <v>27</v>
      </c>
      <c r="AE313" s="68">
        <v>28</v>
      </c>
      <c r="AF313" s="68">
        <v>29</v>
      </c>
      <c r="AG313" s="68">
        <v>30</v>
      </c>
      <c r="AH313" s="68">
        <v>31</v>
      </c>
      <c r="AI313" s="68">
        <v>32</v>
      </c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</row>
    <row r="314" spans="1:57" x14ac:dyDescent="0.25">
      <c r="A314" s="64" t="s">
        <v>549</v>
      </c>
      <c r="B314" s="64"/>
      <c r="C314" s="62"/>
      <c r="D314" s="68">
        <f>C272</f>
        <v>1</v>
      </c>
      <c r="E314" s="68">
        <f t="shared" ref="E314" si="923">D272</f>
        <v>1</v>
      </c>
      <c r="F314" s="68">
        <f t="shared" ref="F314" si="924">E272</f>
        <v>1</v>
      </c>
      <c r="G314" s="68">
        <f t="shared" ref="G314" si="925">F272</f>
        <v>0</v>
      </c>
      <c r="H314" s="68">
        <f t="shared" ref="H314" si="926">G272</f>
        <v>0</v>
      </c>
      <c r="I314" s="68">
        <f t="shared" ref="I314" si="927">H272</f>
        <v>0</v>
      </c>
      <c r="J314" s="68">
        <f t="shared" ref="J314" si="928">I272</f>
        <v>0</v>
      </c>
      <c r="K314" s="68">
        <f t="shared" ref="K314" si="929">J272</f>
        <v>0</v>
      </c>
      <c r="L314" s="68">
        <f t="shared" ref="L314" si="930">K272</f>
        <v>1</v>
      </c>
      <c r="M314" s="68">
        <f t="shared" ref="M314" si="931">L272</f>
        <v>0</v>
      </c>
      <c r="N314" s="68">
        <f t="shared" ref="N314" si="932">M272</f>
        <v>0</v>
      </c>
      <c r="O314" s="68">
        <f t="shared" ref="O314" si="933">N272</f>
        <v>0</v>
      </c>
      <c r="P314" s="68">
        <f t="shared" ref="P314" si="934">O272</f>
        <v>1</v>
      </c>
      <c r="Q314" s="68">
        <f t="shared" ref="Q314" si="935">P272</f>
        <v>0</v>
      </c>
      <c r="R314" s="68">
        <f t="shared" ref="R314" si="936">Q272</f>
        <v>1</v>
      </c>
      <c r="S314" s="68">
        <f t="shared" ref="S314" si="937">R272</f>
        <v>1</v>
      </c>
      <c r="T314" s="68">
        <f t="shared" ref="T314" si="938">S272</f>
        <v>0</v>
      </c>
      <c r="U314" s="68">
        <f t="shared" ref="U314" si="939">T272</f>
        <v>0</v>
      </c>
      <c r="V314" s="68">
        <f t="shared" ref="V314" si="940">U272</f>
        <v>1</v>
      </c>
      <c r="W314" s="68">
        <f t="shared" ref="W314" si="941">V272</f>
        <v>0</v>
      </c>
      <c r="X314" s="68">
        <f t="shared" ref="X314" si="942">W272</f>
        <v>1</v>
      </c>
      <c r="Y314" s="68">
        <f t="shared" ref="Y314" si="943">X272</f>
        <v>0</v>
      </c>
      <c r="Z314" s="68">
        <f t="shared" ref="Z314" si="944">Y272</f>
        <v>1</v>
      </c>
      <c r="AA314" s="68">
        <f t="shared" ref="AA314" si="945">Z272</f>
        <v>1</v>
      </c>
      <c r="AB314" s="68">
        <f t="shared" ref="AB314" si="946">AA272</f>
        <v>0</v>
      </c>
      <c r="AC314" s="68">
        <f t="shared" ref="AC314" si="947">AB272</f>
        <v>1</v>
      </c>
      <c r="AD314" s="68">
        <f t="shared" ref="AD314" si="948">AC272</f>
        <v>1</v>
      </c>
      <c r="AE314" s="68">
        <f t="shared" ref="AE314" si="949">AD272</f>
        <v>0</v>
      </c>
      <c r="AF314" s="68">
        <f t="shared" ref="AF314" si="950">AE272</f>
        <v>0</v>
      </c>
      <c r="AG314" s="68">
        <f t="shared" ref="AG314" si="951">AF272</f>
        <v>0</v>
      </c>
      <c r="AH314" s="68">
        <f t="shared" ref="AH314" si="952">AG272</f>
        <v>1</v>
      </c>
      <c r="AI314" s="68">
        <f t="shared" ref="AI314" si="953">AH272</f>
        <v>1</v>
      </c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</row>
    <row r="315" spans="1:57" x14ac:dyDescent="0.25">
      <c r="A315" s="21"/>
      <c r="B315" s="64"/>
      <c r="C315" s="62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</row>
    <row r="316" spans="1:57" x14ac:dyDescent="0.25">
      <c r="A316" s="114" t="s">
        <v>553</v>
      </c>
      <c r="B316" s="114"/>
      <c r="C316" s="114"/>
      <c r="D316" s="70">
        <v>1</v>
      </c>
      <c r="E316" s="70">
        <v>2</v>
      </c>
      <c r="F316" s="70">
        <v>3</v>
      </c>
      <c r="G316" s="70">
        <v>4</v>
      </c>
      <c r="H316" s="70">
        <v>5</v>
      </c>
      <c r="I316" s="70">
        <v>6</v>
      </c>
      <c r="J316" s="70">
        <v>7</v>
      </c>
      <c r="K316" s="70">
        <v>8</v>
      </c>
      <c r="L316" s="70">
        <v>9</v>
      </c>
      <c r="M316" s="70">
        <v>10</v>
      </c>
      <c r="N316" s="70">
        <v>11</v>
      </c>
      <c r="O316" s="70">
        <v>12</v>
      </c>
      <c r="P316" s="70">
        <v>13</v>
      </c>
      <c r="Q316" s="70">
        <v>14</v>
      </c>
      <c r="R316" s="70">
        <v>15</v>
      </c>
      <c r="S316" s="70">
        <v>16</v>
      </c>
      <c r="T316" s="70">
        <v>17</v>
      </c>
      <c r="U316" s="70">
        <v>18</v>
      </c>
      <c r="V316" s="70">
        <v>19</v>
      </c>
      <c r="W316" s="70">
        <v>20</v>
      </c>
      <c r="X316" s="70">
        <v>21</v>
      </c>
      <c r="Y316" s="70">
        <v>22</v>
      </c>
      <c r="Z316" s="70">
        <v>23</v>
      </c>
      <c r="AA316" s="70">
        <v>24</v>
      </c>
      <c r="AB316" s="70">
        <v>25</v>
      </c>
      <c r="AC316" s="70">
        <v>26</v>
      </c>
      <c r="AD316" s="70">
        <v>27</v>
      </c>
      <c r="AE316" s="70">
        <v>28</v>
      </c>
      <c r="AF316" s="70">
        <v>29</v>
      </c>
      <c r="AG316" s="70">
        <v>30</v>
      </c>
      <c r="AH316" s="70">
        <v>31</v>
      </c>
      <c r="AI316" s="70">
        <v>32</v>
      </c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</row>
    <row r="317" spans="1:57" x14ac:dyDescent="0.25">
      <c r="A317" s="64" t="s">
        <v>551</v>
      </c>
      <c r="B317" s="64"/>
      <c r="C317" s="62"/>
      <c r="D317" s="70">
        <f>--_xlfn.XOR(C308,D265)</f>
        <v>1</v>
      </c>
      <c r="E317" s="70">
        <f t="shared" ref="E317:AI317" si="954">--_xlfn.XOR(D308,E265)</f>
        <v>0</v>
      </c>
      <c r="F317" s="70">
        <f t="shared" si="954"/>
        <v>1</v>
      </c>
      <c r="G317" s="70">
        <f t="shared" si="954"/>
        <v>1</v>
      </c>
      <c r="H317" s="70">
        <f t="shared" si="954"/>
        <v>0</v>
      </c>
      <c r="I317" s="70">
        <f t="shared" si="954"/>
        <v>0</v>
      </c>
      <c r="J317" s="70">
        <f t="shared" si="954"/>
        <v>1</v>
      </c>
      <c r="K317" s="70">
        <f t="shared" si="954"/>
        <v>1</v>
      </c>
      <c r="L317" s="70">
        <f t="shared" si="954"/>
        <v>1</v>
      </c>
      <c r="M317" s="70">
        <f t="shared" si="954"/>
        <v>1</v>
      </c>
      <c r="N317" s="70">
        <f t="shared" si="954"/>
        <v>0</v>
      </c>
      <c r="O317" s="70">
        <f t="shared" si="954"/>
        <v>1</v>
      </c>
      <c r="P317" s="70">
        <f t="shared" si="954"/>
        <v>0</v>
      </c>
      <c r="Q317" s="70">
        <f t="shared" si="954"/>
        <v>0</v>
      </c>
      <c r="R317" s="70">
        <f t="shared" si="954"/>
        <v>1</v>
      </c>
      <c r="S317" s="70">
        <f t="shared" si="954"/>
        <v>1</v>
      </c>
      <c r="T317" s="70">
        <f t="shared" si="954"/>
        <v>1</v>
      </c>
      <c r="U317" s="70">
        <f t="shared" si="954"/>
        <v>0</v>
      </c>
      <c r="V317" s="70">
        <f t="shared" si="954"/>
        <v>0</v>
      </c>
      <c r="W317" s="70">
        <f t="shared" si="954"/>
        <v>1</v>
      </c>
      <c r="X317" s="70">
        <f t="shared" si="954"/>
        <v>1</v>
      </c>
      <c r="Y317" s="70">
        <f t="shared" si="954"/>
        <v>1</v>
      </c>
      <c r="Z317" s="70">
        <f t="shared" si="954"/>
        <v>0</v>
      </c>
      <c r="AA317" s="70">
        <f t="shared" si="954"/>
        <v>1</v>
      </c>
      <c r="AB317" s="70">
        <f t="shared" si="954"/>
        <v>1</v>
      </c>
      <c r="AC317" s="70">
        <f t="shared" si="954"/>
        <v>0</v>
      </c>
      <c r="AD317" s="70">
        <f t="shared" si="954"/>
        <v>1</v>
      </c>
      <c r="AE317" s="70">
        <f t="shared" si="954"/>
        <v>0</v>
      </c>
      <c r="AF317" s="70">
        <f t="shared" si="954"/>
        <v>1</v>
      </c>
      <c r="AG317" s="70">
        <f t="shared" si="954"/>
        <v>0</v>
      </c>
      <c r="AH317" s="70">
        <f t="shared" si="954"/>
        <v>0</v>
      </c>
      <c r="AI317" s="70">
        <f t="shared" si="954"/>
        <v>0</v>
      </c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</row>
    <row r="318" spans="1:57" x14ac:dyDescent="0.25">
      <c r="A318" s="132" t="s">
        <v>636</v>
      </c>
      <c r="B318" s="64"/>
      <c r="C318" s="62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</row>
    <row r="319" spans="1:57" x14ac:dyDescent="0.25">
      <c r="A319" s="132"/>
      <c r="B319" s="133"/>
      <c r="C319" s="134"/>
      <c r="D319" s="132"/>
      <c r="E319" s="132"/>
      <c r="F319" s="132"/>
      <c r="G319" s="132"/>
      <c r="H319" s="132"/>
      <c r="I319" s="132"/>
      <c r="J319" s="132"/>
      <c r="K319" s="132"/>
      <c r="L319" s="132"/>
      <c r="M319" s="132"/>
      <c r="N319" s="132"/>
      <c r="O319" s="132"/>
      <c r="P319" s="132"/>
      <c r="Q319" s="132"/>
      <c r="R319" s="132"/>
      <c r="S319" s="132"/>
      <c r="T319" s="132"/>
      <c r="U319" s="132"/>
      <c r="V319" s="132"/>
      <c r="W319" s="132"/>
      <c r="X319" s="132"/>
      <c r="Y319" s="132"/>
      <c r="Z319" s="132"/>
      <c r="AA319" s="132"/>
      <c r="AB319" s="132"/>
      <c r="AC319" s="132"/>
      <c r="AD319" s="132"/>
      <c r="AE319" s="132"/>
      <c r="AF319" s="132"/>
      <c r="AG319" s="132"/>
      <c r="AH319" s="132"/>
      <c r="AI319" s="132"/>
      <c r="AJ319" s="132"/>
      <c r="AK319" s="132"/>
      <c r="AL319" s="132"/>
      <c r="AM319" s="132"/>
      <c r="AN319" s="132"/>
      <c r="AO319" s="132"/>
      <c r="AP319" s="132"/>
      <c r="AQ319" s="132"/>
      <c r="AR319" s="132"/>
      <c r="AS319" s="132"/>
      <c r="AT319" s="132"/>
      <c r="AU319" s="132"/>
      <c r="AV319" s="132"/>
      <c r="AW319" s="132"/>
      <c r="AX319" s="132"/>
      <c r="AY319" s="132"/>
      <c r="AZ319" s="132"/>
      <c r="BA319" s="132"/>
      <c r="BB319" s="132"/>
      <c r="BC319" s="132"/>
      <c r="BD319" s="132"/>
      <c r="BE319" s="132"/>
    </row>
    <row r="320" spans="1:57" x14ac:dyDescent="0.25">
      <c r="A320" s="21"/>
      <c r="B320" s="21"/>
      <c r="C320" s="70">
        <v>1</v>
      </c>
      <c r="D320" s="70">
        <v>2</v>
      </c>
      <c r="E320" s="70">
        <v>3</v>
      </c>
      <c r="F320" s="70">
        <v>4</v>
      </c>
      <c r="G320" s="70">
        <v>5</v>
      </c>
      <c r="H320" s="70">
        <v>6</v>
      </c>
      <c r="I320" s="70">
        <v>7</v>
      </c>
      <c r="J320" s="70">
        <v>8</v>
      </c>
      <c r="K320" s="70">
        <v>9</v>
      </c>
      <c r="L320" s="70">
        <v>10</v>
      </c>
      <c r="M320" s="70">
        <v>11</v>
      </c>
      <c r="N320" s="70">
        <v>12</v>
      </c>
      <c r="O320" s="70">
        <v>13</v>
      </c>
      <c r="P320" s="70">
        <v>14</v>
      </c>
      <c r="Q320" s="70">
        <v>15</v>
      </c>
      <c r="R320" s="70">
        <v>16</v>
      </c>
      <c r="S320" s="70">
        <v>17</v>
      </c>
      <c r="T320" s="70">
        <v>18</v>
      </c>
      <c r="U320" s="70">
        <v>19</v>
      </c>
      <c r="V320" s="70">
        <v>20</v>
      </c>
      <c r="W320" s="70">
        <v>21</v>
      </c>
      <c r="X320" s="70">
        <v>22</v>
      </c>
      <c r="Y320" s="70">
        <v>23</v>
      </c>
      <c r="Z320" s="70">
        <v>24</v>
      </c>
      <c r="AA320" s="70">
        <v>25</v>
      </c>
      <c r="AB320" s="70">
        <v>26</v>
      </c>
      <c r="AC320" s="70">
        <v>27</v>
      </c>
      <c r="AD320" s="70">
        <v>28</v>
      </c>
      <c r="AE320" s="70">
        <v>29</v>
      </c>
      <c r="AF320" s="70">
        <v>30</v>
      </c>
      <c r="AG320" s="70">
        <v>31</v>
      </c>
      <c r="AH320" s="70">
        <v>32</v>
      </c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</row>
    <row r="321" spans="1:57" x14ac:dyDescent="0.25">
      <c r="A321" s="114" t="s">
        <v>553</v>
      </c>
      <c r="B321" s="114"/>
      <c r="C321" s="70">
        <f>D317</f>
        <v>1</v>
      </c>
      <c r="D321" s="70">
        <f t="shared" ref="D321" si="955">E317</f>
        <v>0</v>
      </c>
      <c r="E321" s="70">
        <f t="shared" ref="E321" si="956">F317</f>
        <v>1</v>
      </c>
      <c r="F321" s="70">
        <f t="shared" ref="F321" si="957">G317</f>
        <v>1</v>
      </c>
      <c r="G321" s="70">
        <f t="shared" ref="G321" si="958">H317</f>
        <v>0</v>
      </c>
      <c r="H321" s="70">
        <f t="shared" ref="H321" si="959">I317</f>
        <v>0</v>
      </c>
      <c r="I321" s="70">
        <f t="shared" ref="I321" si="960">J317</f>
        <v>1</v>
      </c>
      <c r="J321" s="70">
        <f t="shared" ref="J321" si="961">K317</f>
        <v>1</v>
      </c>
      <c r="K321" s="70">
        <f t="shared" ref="K321" si="962">L317</f>
        <v>1</v>
      </c>
      <c r="L321" s="70">
        <f t="shared" ref="L321" si="963">M317</f>
        <v>1</v>
      </c>
      <c r="M321" s="70">
        <f t="shared" ref="M321" si="964">N317</f>
        <v>0</v>
      </c>
      <c r="N321" s="70">
        <f t="shared" ref="N321" si="965">O317</f>
        <v>1</v>
      </c>
      <c r="O321" s="70">
        <f t="shared" ref="O321" si="966">P317</f>
        <v>0</v>
      </c>
      <c r="P321" s="70">
        <f t="shared" ref="P321" si="967">Q317</f>
        <v>0</v>
      </c>
      <c r="Q321" s="70">
        <f t="shared" ref="Q321" si="968">R317</f>
        <v>1</v>
      </c>
      <c r="R321" s="70">
        <f t="shared" ref="R321" si="969">S317</f>
        <v>1</v>
      </c>
      <c r="S321" s="70">
        <f t="shared" ref="S321" si="970">T317</f>
        <v>1</v>
      </c>
      <c r="T321" s="70">
        <f t="shared" ref="T321" si="971">U317</f>
        <v>0</v>
      </c>
      <c r="U321" s="70">
        <f t="shared" ref="U321" si="972">V317</f>
        <v>0</v>
      </c>
      <c r="V321" s="70">
        <f t="shared" ref="V321" si="973">W317</f>
        <v>1</v>
      </c>
      <c r="W321" s="70">
        <f t="shared" ref="W321" si="974">X317</f>
        <v>1</v>
      </c>
      <c r="X321" s="70">
        <f t="shared" ref="X321" si="975">Y317</f>
        <v>1</v>
      </c>
      <c r="Y321" s="70">
        <f t="shared" ref="Y321" si="976">Z317</f>
        <v>0</v>
      </c>
      <c r="Z321" s="70">
        <f t="shared" ref="Z321" si="977">AA317</f>
        <v>1</v>
      </c>
      <c r="AA321" s="70">
        <f t="shared" ref="AA321" si="978">AB317</f>
        <v>1</v>
      </c>
      <c r="AB321" s="70">
        <f t="shared" ref="AB321" si="979">AC317</f>
        <v>0</v>
      </c>
      <c r="AC321" s="70">
        <f t="shared" ref="AC321" si="980">AD317</f>
        <v>1</v>
      </c>
      <c r="AD321" s="70">
        <f t="shared" ref="AD321" si="981">AE317</f>
        <v>0</v>
      </c>
      <c r="AE321" s="70">
        <f t="shared" ref="AE321" si="982">AF317</f>
        <v>1</v>
      </c>
      <c r="AF321" s="70">
        <f t="shared" ref="AF321" si="983">AG317</f>
        <v>0</v>
      </c>
      <c r="AG321" s="70">
        <f t="shared" ref="AG321" si="984">AH317</f>
        <v>0</v>
      </c>
      <c r="AH321" s="70">
        <f t="shared" ref="AH321" si="985">AI317</f>
        <v>0</v>
      </c>
      <c r="AI321" s="135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</row>
    <row r="322" spans="1:57" x14ac:dyDescent="0.25">
      <c r="A322" s="21"/>
      <c r="B322" s="64"/>
      <c r="C322" s="62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</row>
    <row r="323" spans="1:57" x14ac:dyDescent="0.25">
      <c r="A323" s="132"/>
      <c r="B323" s="133"/>
      <c r="C323" s="134"/>
      <c r="D323" s="132"/>
      <c r="E323" s="132"/>
      <c r="F323" s="132"/>
      <c r="G323" s="132"/>
      <c r="H323" s="132"/>
      <c r="I323" s="132"/>
      <c r="J323" s="132"/>
      <c r="K323" s="132"/>
      <c r="L323" s="132"/>
      <c r="M323" s="132"/>
      <c r="N323" s="132"/>
      <c r="O323" s="132"/>
      <c r="P323" s="132"/>
      <c r="Q323" s="132"/>
      <c r="R323" s="132"/>
      <c r="S323" s="132"/>
      <c r="T323" s="132"/>
      <c r="U323" s="132"/>
      <c r="V323" s="132"/>
      <c r="W323" s="132"/>
      <c r="X323" s="132"/>
      <c r="Y323" s="132"/>
      <c r="Z323" s="132"/>
      <c r="AA323" s="132"/>
      <c r="AB323" s="132"/>
      <c r="AC323" s="132"/>
      <c r="AD323" s="132"/>
      <c r="AE323" s="132"/>
      <c r="AF323" s="132"/>
      <c r="AG323" s="132"/>
      <c r="AH323" s="132"/>
      <c r="AI323" s="132"/>
      <c r="AJ323" s="132"/>
      <c r="AK323" s="132"/>
      <c r="AL323" s="132"/>
      <c r="AM323" s="132"/>
      <c r="AN323" s="132"/>
      <c r="AO323" s="132"/>
      <c r="AP323" s="132"/>
      <c r="AQ323" s="132"/>
      <c r="AR323" s="132"/>
      <c r="AS323" s="132"/>
      <c r="AT323" s="132"/>
      <c r="AU323" s="132"/>
      <c r="AV323" s="132"/>
      <c r="AW323" s="132"/>
      <c r="AX323" s="132"/>
      <c r="AY323" s="132"/>
      <c r="AZ323" s="21"/>
      <c r="BA323" s="21"/>
      <c r="BB323" s="21"/>
      <c r="BC323" s="21"/>
      <c r="BD323" s="21"/>
      <c r="BE323" s="21"/>
    </row>
    <row r="324" spans="1:57" x14ac:dyDescent="0.25">
      <c r="A324" s="21"/>
      <c r="B324" s="64"/>
      <c r="C324" s="62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</row>
    <row r="325" spans="1:57" x14ac:dyDescent="0.25">
      <c r="A325" s="118" t="s">
        <v>532</v>
      </c>
      <c r="B325" s="118"/>
      <c r="C325" s="75">
        <v>32</v>
      </c>
      <c r="D325" s="74">
        <v>1</v>
      </c>
      <c r="E325" s="74">
        <v>2</v>
      </c>
      <c r="F325" s="74">
        <v>3</v>
      </c>
      <c r="G325" s="74">
        <v>4</v>
      </c>
      <c r="H325" s="73">
        <v>5</v>
      </c>
      <c r="I325" s="122"/>
      <c r="J325" s="118">
        <f>AH321</f>
        <v>0</v>
      </c>
      <c r="K325" s="118">
        <f>C321</f>
        <v>1</v>
      </c>
      <c r="L325" s="118">
        <f>D321</f>
        <v>0</v>
      </c>
      <c r="M325" s="118">
        <f>E321</f>
        <v>1</v>
      </c>
      <c r="N325" s="69">
        <f>F321</f>
        <v>1</v>
      </c>
      <c r="O325" s="119">
        <f>G321</f>
        <v>0</v>
      </c>
      <c r="P325" s="122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</row>
    <row r="326" spans="1:57" x14ac:dyDescent="0.25">
      <c r="A326" s="21"/>
      <c r="B326" s="64"/>
      <c r="C326" s="75">
        <v>4</v>
      </c>
      <c r="D326" s="74">
        <v>5</v>
      </c>
      <c r="E326" s="74">
        <v>6</v>
      </c>
      <c r="F326" s="74">
        <v>7</v>
      </c>
      <c r="G326" s="74">
        <v>8</v>
      </c>
      <c r="H326" s="73">
        <v>9</v>
      </c>
      <c r="I326" s="122"/>
      <c r="J326" s="118">
        <f t="shared" ref="J326" si="986">F321</f>
        <v>1</v>
      </c>
      <c r="K326" s="69">
        <f t="shared" ref="K326" si="987">G321</f>
        <v>0</v>
      </c>
      <c r="L326" s="69">
        <f t="shared" ref="L326" si="988">H321</f>
        <v>0</v>
      </c>
      <c r="M326" s="69">
        <f t="shared" ref="M326" si="989">I321</f>
        <v>1</v>
      </c>
      <c r="N326" s="69">
        <f t="shared" ref="N326" si="990">J321</f>
        <v>1</v>
      </c>
      <c r="O326" s="119">
        <f t="shared" ref="O326" si="991">K321</f>
        <v>1</v>
      </c>
      <c r="P326" s="122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</row>
    <row r="327" spans="1:57" x14ac:dyDescent="0.25">
      <c r="A327" s="21"/>
      <c r="B327" s="64"/>
      <c r="C327" s="75">
        <v>8</v>
      </c>
      <c r="D327" s="74">
        <v>9</v>
      </c>
      <c r="E327" s="74">
        <v>10</v>
      </c>
      <c r="F327" s="74">
        <v>11</v>
      </c>
      <c r="G327" s="74">
        <v>12</v>
      </c>
      <c r="H327" s="73">
        <v>13</v>
      </c>
      <c r="I327" s="123"/>
      <c r="J327" s="120">
        <f t="shared" ref="J327:O327" si="992">J321</f>
        <v>1</v>
      </c>
      <c r="K327" s="69">
        <f t="shared" si="992"/>
        <v>1</v>
      </c>
      <c r="L327" s="69">
        <f t="shared" si="992"/>
        <v>1</v>
      </c>
      <c r="M327" s="69">
        <f t="shared" si="992"/>
        <v>0</v>
      </c>
      <c r="N327" s="69">
        <f t="shared" si="992"/>
        <v>1</v>
      </c>
      <c r="O327" s="119">
        <f t="shared" si="992"/>
        <v>0</v>
      </c>
      <c r="P327" s="123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</row>
    <row r="328" spans="1:57" x14ac:dyDescent="0.25">
      <c r="A328" s="21"/>
      <c r="B328" s="64"/>
      <c r="C328" s="75">
        <v>12</v>
      </c>
      <c r="D328" s="74">
        <v>13</v>
      </c>
      <c r="E328" s="74">
        <v>14</v>
      </c>
      <c r="F328" s="74">
        <v>15</v>
      </c>
      <c r="G328" s="74">
        <v>16</v>
      </c>
      <c r="H328" s="73">
        <v>17</v>
      </c>
      <c r="I328" s="122"/>
      <c r="J328" s="118">
        <f t="shared" ref="J328" si="993">N321</f>
        <v>1</v>
      </c>
      <c r="K328" s="69">
        <f t="shared" ref="K328" si="994">O321</f>
        <v>0</v>
      </c>
      <c r="L328" s="69">
        <f t="shared" ref="L328" si="995">P321</f>
        <v>0</v>
      </c>
      <c r="M328" s="69">
        <f t="shared" ref="M328" si="996">Q321</f>
        <v>1</v>
      </c>
      <c r="N328" s="69">
        <f t="shared" ref="N328" si="997">R321</f>
        <v>1</v>
      </c>
      <c r="O328" s="119">
        <f t="shared" ref="O328" si="998">S321</f>
        <v>1</v>
      </c>
      <c r="P328" s="122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</row>
    <row r="329" spans="1:57" x14ac:dyDescent="0.25">
      <c r="A329" s="21"/>
      <c r="B329" s="64"/>
      <c r="C329" s="75">
        <v>16</v>
      </c>
      <c r="D329" s="74">
        <v>17</v>
      </c>
      <c r="E329" s="74">
        <v>18</v>
      </c>
      <c r="F329" s="74">
        <v>19</v>
      </c>
      <c r="G329" s="74">
        <v>20</v>
      </c>
      <c r="H329" s="73">
        <v>21</v>
      </c>
      <c r="I329" s="122"/>
      <c r="J329" s="118">
        <f t="shared" ref="J329" si="999">R321</f>
        <v>1</v>
      </c>
      <c r="K329" s="69">
        <f t="shared" ref="K329" si="1000">S321</f>
        <v>1</v>
      </c>
      <c r="L329" s="69">
        <f t="shared" ref="L329" si="1001">T321</f>
        <v>0</v>
      </c>
      <c r="M329" s="69">
        <f t="shared" ref="M329" si="1002">U321</f>
        <v>0</v>
      </c>
      <c r="N329" s="69">
        <f t="shared" ref="N329" si="1003">V321</f>
        <v>1</v>
      </c>
      <c r="O329" s="119">
        <f t="shared" ref="O329" si="1004">W321</f>
        <v>1</v>
      </c>
      <c r="P329" s="122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</row>
    <row r="330" spans="1:57" x14ac:dyDescent="0.25">
      <c r="A330" s="21"/>
      <c r="B330" s="64"/>
      <c r="C330" s="75">
        <v>20</v>
      </c>
      <c r="D330" s="74">
        <v>21</v>
      </c>
      <c r="E330" s="74">
        <v>22</v>
      </c>
      <c r="F330" s="74">
        <v>23</v>
      </c>
      <c r="G330" s="74">
        <v>24</v>
      </c>
      <c r="H330" s="73">
        <v>25</v>
      </c>
      <c r="I330" s="122"/>
      <c r="J330" s="118">
        <f t="shared" ref="J330" si="1005">V321</f>
        <v>1</v>
      </c>
      <c r="K330" s="69">
        <f t="shared" ref="K330" si="1006">W321</f>
        <v>1</v>
      </c>
      <c r="L330" s="69">
        <f t="shared" ref="L330" si="1007">X321</f>
        <v>1</v>
      </c>
      <c r="M330" s="69">
        <f t="shared" ref="M330" si="1008">Y321</f>
        <v>0</v>
      </c>
      <c r="N330" s="69">
        <f t="shared" ref="N330" si="1009">Z321</f>
        <v>1</v>
      </c>
      <c r="O330" s="119">
        <f t="shared" ref="O330" si="1010">AA321</f>
        <v>1</v>
      </c>
      <c r="P330" s="122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</row>
    <row r="331" spans="1:57" x14ac:dyDescent="0.25">
      <c r="A331" s="21"/>
      <c r="B331" s="64"/>
      <c r="C331" s="75">
        <v>24</v>
      </c>
      <c r="D331" s="74">
        <v>25</v>
      </c>
      <c r="E331" s="74">
        <v>26</v>
      </c>
      <c r="F331" s="74">
        <v>27</v>
      </c>
      <c r="G331" s="74">
        <v>28</v>
      </c>
      <c r="H331" s="73">
        <v>29</v>
      </c>
      <c r="I331" s="122"/>
      <c r="J331" s="118">
        <f t="shared" ref="J331" si="1011">Z321</f>
        <v>1</v>
      </c>
      <c r="K331" s="69">
        <f t="shared" ref="K331" si="1012">AA321</f>
        <v>1</v>
      </c>
      <c r="L331" s="69">
        <f t="shared" ref="L331" si="1013">AB321</f>
        <v>0</v>
      </c>
      <c r="M331" s="69">
        <f t="shared" ref="M331" si="1014">AC321</f>
        <v>1</v>
      </c>
      <c r="N331" s="69">
        <f t="shared" ref="N331" si="1015">AD321</f>
        <v>0</v>
      </c>
      <c r="O331" s="119">
        <f t="shared" ref="O331" si="1016">AE321</f>
        <v>1</v>
      </c>
      <c r="P331" s="122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</row>
    <row r="332" spans="1:57" x14ac:dyDescent="0.25">
      <c r="A332" s="21"/>
      <c r="B332" s="64"/>
      <c r="C332" s="75">
        <v>28</v>
      </c>
      <c r="D332" s="74">
        <v>29</v>
      </c>
      <c r="E332" s="74">
        <v>30</v>
      </c>
      <c r="F332" s="74">
        <v>31</v>
      </c>
      <c r="G332" s="74">
        <v>32</v>
      </c>
      <c r="H332" s="73">
        <v>1</v>
      </c>
      <c r="I332" s="122"/>
      <c r="J332" s="70">
        <f>AD321</f>
        <v>0</v>
      </c>
      <c r="K332" s="71">
        <f>AE321</f>
        <v>1</v>
      </c>
      <c r="L332" s="71">
        <f>AF321</f>
        <v>0</v>
      </c>
      <c r="M332" s="71">
        <f>AG321</f>
        <v>0</v>
      </c>
      <c r="N332" s="71">
        <f>AH321</f>
        <v>0</v>
      </c>
      <c r="O332" s="121">
        <f>C321</f>
        <v>1</v>
      </c>
      <c r="P332" s="122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</row>
    <row r="333" spans="1:57" x14ac:dyDescent="0.25">
      <c r="A333" s="21"/>
      <c r="B333" s="64"/>
      <c r="C333" s="62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</row>
    <row r="334" spans="1:57" x14ac:dyDescent="0.25">
      <c r="A334" s="21"/>
      <c r="B334" s="64"/>
      <c r="C334" s="62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</row>
    <row r="335" spans="1:57" x14ac:dyDescent="0.25">
      <c r="A335" s="124" t="s">
        <v>533</v>
      </c>
      <c r="B335" s="124"/>
      <c r="C335" s="125">
        <v>1</v>
      </c>
      <c r="D335" s="126">
        <v>2</v>
      </c>
      <c r="E335" s="125">
        <v>3</v>
      </c>
      <c r="F335" s="126">
        <v>4</v>
      </c>
      <c r="G335" s="125">
        <v>5</v>
      </c>
      <c r="H335" s="126">
        <v>6</v>
      </c>
      <c r="I335" s="125">
        <v>7</v>
      </c>
      <c r="J335" s="126">
        <v>8</v>
      </c>
      <c r="K335" s="125">
        <v>9</v>
      </c>
      <c r="L335" s="126">
        <v>10</v>
      </c>
      <c r="M335" s="125">
        <v>11</v>
      </c>
      <c r="N335" s="126">
        <v>12</v>
      </c>
      <c r="O335" s="125">
        <v>13</v>
      </c>
      <c r="P335" s="126">
        <v>14</v>
      </c>
      <c r="Q335" s="125">
        <v>15</v>
      </c>
      <c r="R335" s="126">
        <v>16</v>
      </c>
      <c r="S335" s="125">
        <v>17</v>
      </c>
      <c r="T335" s="126">
        <v>18</v>
      </c>
      <c r="U335" s="125">
        <v>19</v>
      </c>
      <c r="V335" s="126">
        <v>20</v>
      </c>
      <c r="W335" s="125">
        <v>21</v>
      </c>
      <c r="X335" s="126">
        <v>22</v>
      </c>
      <c r="Y335" s="125">
        <v>23</v>
      </c>
      <c r="Z335" s="126">
        <v>24</v>
      </c>
      <c r="AA335" s="125">
        <v>25</v>
      </c>
      <c r="AB335" s="126">
        <v>26</v>
      </c>
      <c r="AC335" s="125">
        <v>27</v>
      </c>
      <c r="AD335" s="126">
        <v>28</v>
      </c>
      <c r="AE335" s="125">
        <v>29</v>
      </c>
      <c r="AF335" s="126">
        <v>30</v>
      </c>
      <c r="AG335" s="125">
        <v>31</v>
      </c>
      <c r="AH335" s="126">
        <v>32</v>
      </c>
      <c r="AI335" s="125">
        <v>33</v>
      </c>
      <c r="AJ335" s="126">
        <v>34</v>
      </c>
      <c r="AK335" s="125">
        <v>35</v>
      </c>
      <c r="AL335" s="126">
        <v>36</v>
      </c>
      <c r="AM335" s="125">
        <v>37</v>
      </c>
      <c r="AN335" s="126">
        <v>38</v>
      </c>
      <c r="AO335" s="125">
        <v>39</v>
      </c>
      <c r="AP335" s="126">
        <v>40</v>
      </c>
      <c r="AQ335" s="125">
        <v>41</v>
      </c>
      <c r="AR335" s="126">
        <v>42</v>
      </c>
      <c r="AS335" s="125">
        <v>43</v>
      </c>
      <c r="AT335" s="126">
        <v>44</v>
      </c>
      <c r="AU335" s="125">
        <v>45</v>
      </c>
      <c r="AV335" s="126">
        <v>46</v>
      </c>
      <c r="AW335" s="125">
        <v>47</v>
      </c>
      <c r="AX335" s="126">
        <v>48</v>
      </c>
      <c r="AY335" s="21"/>
      <c r="AZ335" s="21"/>
      <c r="BA335" s="21"/>
      <c r="BB335" s="21"/>
      <c r="BC335" s="21"/>
      <c r="BD335" s="21"/>
      <c r="BE335" s="21"/>
    </row>
    <row r="336" spans="1:57" x14ac:dyDescent="0.25">
      <c r="A336" s="21"/>
      <c r="B336" s="64"/>
      <c r="C336" s="125">
        <f t="shared" ref="C336" si="1017">J325</f>
        <v>0</v>
      </c>
      <c r="D336" s="125">
        <f t="shared" ref="D336" si="1018">K325</f>
        <v>1</v>
      </c>
      <c r="E336" s="125">
        <f t="shared" ref="E336" si="1019">L325</f>
        <v>0</v>
      </c>
      <c r="F336" s="125">
        <f t="shared" ref="F336" si="1020">M325</f>
        <v>1</v>
      </c>
      <c r="G336" s="126">
        <f t="shared" ref="G336" si="1021">N325</f>
        <v>1</v>
      </c>
      <c r="H336" s="126">
        <f t="shared" ref="H336" si="1022">O325</f>
        <v>0</v>
      </c>
      <c r="I336" s="125">
        <f t="shared" ref="I336" si="1023">J326</f>
        <v>1</v>
      </c>
      <c r="J336" s="125">
        <f t="shared" ref="J336" si="1024">K326</f>
        <v>0</v>
      </c>
      <c r="K336" s="125">
        <f t="shared" ref="K336" si="1025">L326</f>
        <v>0</v>
      </c>
      <c r="L336" s="125">
        <f t="shared" ref="L336" si="1026">M326</f>
        <v>1</v>
      </c>
      <c r="M336" s="125">
        <f t="shared" ref="M336" si="1027">N326</f>
        <v>1</v>
      </c>
      <c r="N336" s="125">
        <f t="shared" ref="N336" si="1028">O326</f>
        <v>1</v>
      </c>
      <c r="O336" s="126">
        <f t="shared" ref="O336" si="1029">J327</f>
        <v>1</v>
      </c>
      <c r="P336" s="126">
        <f t="shared" ref="P336" si="1030">K327</f>
        <v>1</v>
      </c>
      <c r="Q336" s="126">
        <f t="shared" ref="Q336" si="1031">L327</f>
        <v>1</v>
      </c>
      <c r="R336" s="126">
        <f t="shared" ref="R336" si="1032">M327</f>
        <v>0</v>
      </c>
      <c r="S336" s="126">
        <f t="shared" ref="S336" si="1033">N327</f>
        <v>1</v>
      </c>
      <c r="T336" s="126">
        <f t="shared" ref="T336" si="1034">O327</f>
        <v>0</v>
      </c>
      <c r="U336" s="125">
        <f t="shared" ref="U336" si="1035">J328</f>
        <v>1</v>
      </c>
      <c r="V336" s="126">
        <f t="shared" ref="V336" si="1036">K328</f>
        <v>0</v>
      </c>
      <c r="W336" s="125">
        <f t="shared" ref="W336" si="1037">L328</f>
        <v>0</v>
      </c>
      <c r="X336" s="126">
        <f t="shared" ref="X336" si="1038">M328</f>
        <v>1</v>
      </c>
      <c r="Y336" s="125">
        <f t="shared" ref="Y336" si="1039">N328</f>
        <v>1</v>
      </c>
      <c r="Z336" s="126">
        <f t="shared" ref="Z336" si="1040">O328</f>
        <v>1</v>
      </c>
      <c r="AA336" s="125">
        <f t="shared" ref="AA336" si="1041">J329</f>
        <v>1</v>
      </c>
      <c r="AB336" s="126">
        <f t="shared" ref="AB336" si="1042">K329</f>
        <v>1</v>
      </c>
      <c r="AC336" s="125">
        <f>L329</f>
        <v>0</v>
      </c>
      <c r="AD336" s="126">
        <f t="shared" ref="AD336" si="1043">M329</f>
        <v>0</v>
      </c>
      <c r="AE336" s="125">
        <f t="shared" ref="AE336" si="1044">N329</f>
        <v>1</v>
      </c>
      <c r="AF336" s="126">
        <f t="shared" ref="AF336" si="1045">O329</f>
        <v>1</v>
      </c>
      <c r="AG336" s="125">
        <f t="shared" ref="AG336" si="1046">J330</f>
        <v>1</v>
      </c>
      <c r="AH336" s="126">
        <f t="shared" ref="AH336" si="1047">K330</f>
        <v>1</v>
      </c>
      <c r="AI336" s="125">
        <f t="shared" ref="AI336" si="1048">L330</f>
        <v>1</v>
      </c>
      <c r="AJ336" s="126">
        <f t="shared" ref="AJ336" si="1049">M330</f>
        <v>0</v>
      </c>
      <c r="AK336" s="125">
        <f t="shared" ref="AK336" si="1050">N330</f>
        <v>1</v>
      </c>
      <c r="AL336" s="126">
        <f t="shared" ref="AL336" si="1051">O330</f>
        <v>1</v>
      </c>
      <c r="AM336" s="125">
        <f t="shared" ref="AM336" si="1052">J331</f>
        <v>1</v>
      </c>
      <c r="AN336" s="126">
        <f t="shared" ref="AN336" si="1053">K331</f>
        <v>1</v>
      </c>
      <c r="AO336" s="125">
        <f t="shared" ref="AO336" si="1054">L331</f>
        <v>0</v>
      </c>
      <c r="AP336" s="126">
        <f t="shared" ref="AP336" si="1055">M331</f>
        <v>1</v>
      </c>
      <c r="AQ336" s="125">
        <f t="shared" ref="AQ336" si="1056">N331</f>
        <v>0</v>
      </c>
      <c r="AR336" s="126">
        <f t="shared" ref="AR336" si="1057">O331</f>
        <v>1</v>
      </c>
      <c r="AS336" s="125">
        <f t="shared" ref="AS336" si="1058">J332</f>
        <v>0</v>
      </c>
      <c r="AT336" s="126">
        <f t="shared" ref="AT336" si="1059">K332</f>
        <v>1</v>
      </c>
      <c r="AU336" s="125">
        <f t="shared" ref="AU336" si="1060">L332</f>
        <v>0</v>
      </c>
      <c r="AV336" s="126">
        <f t="shared" ref="AV336" si="1061">M332</f>
        <v>0</v>
      </c>
      <c r="AW336" s="125">
        <f t="shared" ref="AW336" si="1062">N332</f>
        <v>0</v>
      </c>
      <c r="AX336" s="126">
        <f t="shared" ref="AX336" si="1063">O332</f>
        <v>1</v>
      </c>
      <c r="AY336" s="21"/>
      <c r="AZ336" s="21"/>
      <c r="BA336" s="21"/>
      <c r="BB336" s="21"/>
      <c r="BC336" s="21"/>
      <c r="BD336" s="21"/>
      <c r="BE336" s="21"/>
    </row>
    <row r="337" spans="1:57" x14ac:dyDescent="0.25">
      <c r="A337" s="21"/>
      <c r="B337" s="64"/>
      <c r="C337" s="62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</row>
    <row r="338" spans="1:57" x14ac:dyDescent="0.25">
      <c r="A338" s="21"/>
      <c r="B338" s="64"/>
      <c r="C338" s="62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</row>
    <row r="339" spans="1:57" x14ac:dyDescent="0.25">
      <c r="A339" s="127" t="s">
        <v>612</v>
      </c>
      <c r="B339" s="127"/>
      <c r="C339" s="77">
        <f>'Key Generator'!D374</f>
        <v>1</v>
      </c>
      <c r="D339" s="77">
        <f>'Key Generator'!E374</f>
        <v>2</v>
      </c>
      <c r="E339" s="77">
        <f>'Key Generator'!F374</f>
        <v>3</v>
      </c>
      <c r="F339" s="77">
        <f>'Key Generator'!G374</f>
        <v>4</v>
      </c>
      <c r="G339" s="77">
        <f>'Key Generator'!H374</f>
        <v>5</v>
      </c>
      <c r="H339" s="77">
        <f>'Key Generator'!I374</f>
        <v>6</v>
      </c>
      <c r="I339" s="77">
        <f>'Key Generator'!J374</f>
        <v>7</v>
      </c>
      <c r="J339" s="77">
        <f>'Key Generator'!K374</f>
        <v>8</v>
      </c>
      <c r="K339" s="77">
        <f>'Key Generator'!L374</f>
        <v>9</v>
      </c>
      <c r="L339" s="77">
        <f>'Key Generator'!M374</f>
        <v>10</v>
      </c>
      <c r="M339" s="77">
        <f>'Key Generator'!N374</f>
        <v>11</v>
      </c>
      <c r="N339" s="77">
        <f>'Key Generator'!O374</f>
        <v>12</v>
      </c>
      <c r="O339" s="77">
        <f>'Key Generator'!P374</f>
        <v>13</v>
      </c>
      <c r="P339" s="77">
        <f>'Key Generator'!Q374</f>
        <v>14</v>
      </c>
      <c r="Q339" s="77">
        <f>'Key Generator'!R374</f>
        <v>15</v>
      </c>
      <c r="R339" s="77">
        <f>'Key Generator'!S374</f>
        <v>16</v>
      </c>
      <c r="S339" s="77">
        <f>'Key Generator'!T374</f>
        <v>17</v>
      </c>
      <c r="T339" s="77">
        <f>'Key Generator'!U374</f>
        <v>18</v>
      </c>
      <c r="U339" s="77">
        <f>'Key Generator'!V374</f>
        <v>19</v>
      </c>
      <c r="V339" s="77">
        <f>'Key Generator'!W374</f>
        <v>20</v>
      </c>
      <c r="W339" s="77">
        <f>'Key Generator'!X374</f>
        <v>21</v>
      </c>
      <c r="X339" s="77">
        <f>'Key Generator'!Y374</f>
        <v>22</v>
      </c>
      <c r="Y339" s="77">
        <f>'Key Generator'!Z374</f>
        <v>23</v>
      </c>
      <c r="Z339" s="77">
        <f>'Key Generator'!AA374</f>
        <v>24</v>
      </c>
      <c r="AA339" s="77">
        <f>'Key Generator'!AB374</f>
        <v>25</v>
      </c>
      <c r="AB339" s="77">
        <f>'Key Generator'!AC374</f>
        <v>26</v>
      </c>
      <c r="AC339" s="77">
        <f>'Key Generator'!AD374</f>
        <v>27</v>
      </c>
      <c r="AD339" s="77">
        <f>'Key Generator'!AE374</f>
        <v>28</v>
      </c>
      <c r="AE339" s="77">
        <f>'Key Generator'!AF374</f>
        <v>29</v>
      </c>
      <c r="AF339" s="77">
        <f>'Key Generator'!AG374</f>
        <v>30</v>
      </c>
      <c r="AG339" s="77">
        <f>'Key Generator'!AH374</f>
        <v>31</v>
      </c>
      <c r="AH339" s="77">
        <f>'Key Generator'!AI374</f>
        <v>32</v>
      </c>
      <c r="AI339" s="77">
        <f>'Key Generator'!AJ374</f>
        <v>33</v>
      </c>
      <c r="AJ339" s="77">
        <f>'Key Generator'!AK374</f>
        <v>34</v>
      </c>
      <c r="AK339" s="77">
        <f>'Key Generator'!AL374</f>
        <v>35</v>
      </c>
      <c r="AL339" s="77">
        <f>'Key Generator'!AM374</f>
        <v>36</v>
      </c>
      <c r="AM339" s="77">
        <f>'Key Generator'!AN374</f>
        <v>37</v>
      </c>
      <c r="AN339" s="77">
        <f>'Key Generator'!AO374</f>
        <v>38</v>
      </c>
      <c r="AO339" s="77">
        <f>'Key Generator'!AP374</f>
        <v>39</v>
      </c>
      <c r="AP339" s="77">
        <f>'Key Generator'!AQ374</f>
        <v>40</v>
      </c>
      <c r="AQ339" s="77">
        <f>'Key Generator'!AR374</f>
        <v>41</v>
      </c>
      <c r="AR339" s="77">
        <f>'Key Generator'!AS374</f>
        <v>42</v>
      </c>
      <c r="AS339" s="77">
        <f>'Key Generator'!AT374</f>
        <v>43</v>
      </c>
      <c r="AT339" s="77">
        <f>'Key Generator'!AU374</f>
        <v>44</v>
      </c>
      <c r="AU339" s="77">
        <f>'Key Generator'!AV374</f>
        <v>45</v>
      </c>
      <c r="AV339" s="77">
        <f>'Key Generator'!AW374</f>
        <v>46</v>
      </c>
      <c r="AW339" s="77">
        <f>'Key Generator'!AX374</f>
        <v>47</v>
      </c>
      <c r="AX339" s="77">
        <f>'Key Generator'!AY374</f>
        <v>48</v>
      </c>
      <c r="AY339" s="21"/>
      <c r="AZ339" s="21"/>
      <c r="BA339" s="21"/>
      <c r="BB339" s="21"/>
      <c r="BC339" s="21"/>
      <c r="BD339" s="21"/>
      <c r="BE339" s="21"/>
    </row>
    <row r="340" spans="1:57" x14ac:dyDescent="0.25">
      <c r="A340" s="21"/>
      <c r="B340" s="64"/>
      <c r="C340" s="77">
        <f>'Key Generator'!D375</f>
        <v>0</v>
      </c>
      <c r="D340" s="77">
        <f>'Key Generator'!E375</f>
        <v>1</v>
      </c>
      <c r="E340" s="77">
        <f>'Key Generator'!F375</f>
        <v>0</v>
      </c>
      <c r="F340" s="77">
        <f>'Key Generator'!G375</f>
        <v>1</v>
      </c>
      <c r="G340" s="77">
        <f>'Key Generator'!H375</f>
        <v>0</v>
      </c>
      <c r="H340" s="77">
        <f>'Key Generator'!I375</f>
        <v>0</v>
      </c>
      <c r="I340" s="77">
        <f>'Key Generator'!J375</f>
        <v>0</v>
      </c>
      <c r="J340" s="77">
        <f>'Key Generator'!K375</f>
        <v>0</v>
      </c>
      <c r="K340" s="77">
        <f>'Key Generator'!L375</f>
        <v>1</v>
      </c>
      <c r="L340" s="77">
        <f>'Key Generator'!M375</f>
        <v>0</v>
      </c>
      <c r="M340" s="77">
        <f>'Key Generator'!N375</f>
        <v>1</v>
      </c>
      <c r="N340" s="77">
        <f>'Key Generator'!O375</f>
        <v>0</v>
      </c>
      <c r="O340" s="77">
        <f>'Key Generator'!P375</f>
        <v>1</v>
      </c>
      <c r="P340" s="77">
        <f>'Key Generator'!Q375</f>
        <v>0</v>
      </c>
      <c r="Q340" s="77">
        <f>'Key Generator'!R375</f>
        <v>0</v>
      </c>
      <c r="R340" s="77">
        <f>'Key Generator'!S375</f>
        <v>0</v>
      </c>
      <c r="S340" s="77">
        <f>'Key Generator'!T375</f>
        <v>0</v>
      </c>
      <c r="T340" s="77">
        <f>'Key Generator'!U375</f>
        <v>0</v>
      </c>
      <c r="U340" s="77">
        <f>'Key Generator'!V375</f>
        <v>0</v>
      </c>
      <c r="V340" s="77">
        <f>'Key Generator'!W375</f>
        <v>1</v>
      </c>
      <c r="W340" s="77">
        <f>'Key Generator'!X375</f>
        <v>1</v>
      </c>
      <c r="X340" s="77">
        <f>'Key Generator'!Y375</f>
        <v>1</v>
      </c>
      <c r="Y340" s="77">
        <f>'Key Generator'!Z375</f>
        <v>0</v>
      </c>
      <c r="Z340" s="77">
        <f>'Key Generator'!AA375</f>
        <v>0</v>
      </c>
      <c r="AA340" s="77">
        <f>'Key Generator'!AB375</f>
        <v>1</v>
      </c>
      <c r="AB340" s="77">
        <f>'Key Generator'!AC375</f>
        <v>1</v>
      </c>
      <c r="AC340" s="77">
        <f>'Key Generator'!AD375</f>
        <v>1</v>
      </c>
      <c r="AD340" s="77">
        <f>'Key Generator'!AE375</f>
        <v>1</v>
      </c>
      <c r="AE340" s="77">
        <f>'Key Generator'!AF375</f>
        <v>1</v>
      </c>
      <c r="AF340" s="77">
        <f>'Key Generator'!AG375</f>
        <v>1</v>
      </c>
      <c r="AG340" s="77">
        <f>'Key Generator'!AH375</f>
        <v>1</v>
      </c>
      <c r="AH340" s="77">
        <f>'Key Generator'!AI375</f>
        <v>0</v>
      </c>
      <c r="AI340" s="77">
        <f>'Key Generator'!AJ375</f>
        <v>0</v>
      </c>
      <c r="AJ340" s="77">
        <f>'Key Generator'!AK375</f>
        <v>1</v>
      </c>
      <c r="AK340" s="77">
        <f>'Key Generator'!AL375</f>
        <v>1</v>
      </c>
      <c r="AL340" s="77">
        <f>'Key Generator'!AM375</f>
        <v>0</v>
      </c>
      <c r="AM340" s="77">
        <f>'Key Generator'!AN375</f>
        <v>1</v>
      </c>
      <c r="AN340" s="77">
        <f>'Key Generator'!AO375</f>
        <v>1</v>
      </c>
      <c r="AO340" s="77">
        <f>'Key Generator'!AP375</f>
        <v>1</v>
      </c>
      <c r="AP340" s="77">
        <f>'Key Generator'!AQ375</f>
        <v>0</v>
      </c>
      <c r="AQ340" s="77">
        <f>'Key Generator'!AR375</f>
        <v>0</v>
      </c>
      <c r="AR340" s="77">
        <f>'Key Generator'!AS375</f>
        <v>0</v>
      </c>
      <c r="AS340" s="77">
        <f>'Key Generator'!AT375</f>
        <v>0</v>
      </c>
      <c r="AT340" s="77">
        <f>'Key Generator'!AU375</f>
        <v>1</v>
      </c>
      <c r="AU340" s="77">
        <f>'Key Generator'!AV375</f>
        <v>0</v>
      </c>
      <c r="AV340" s="77">
        <f>'Key Generator'!AW375</f>
        <v>0</v>
      </c>
      <c r="AW340" s="77">
        <f>'Key Generator'!AX375</f>
        <v>0</v>
      </c>
      <c r="AX340" s="77">
        <f>'Key Generator'!AY375</f>
        <v>1</v>
      </c>
      <c r="AY340" s="21"/>
      <c r="AZ340" s="21"/>
      <c r="BA340" s="21"/>
      <c r="BB340" s="21"/>
      <c r="BC340" s="21"/>
      <c r="BD340" s="21"/>
      <c r="BE340" s="21"/>
    </row>
    <row r="341" spans="1:57" x14ac:dyDescent="0.25">
      <c r="A341" s="21"/>
      <c r="B341" s="64"/>
      <c r="C341" s="62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</row>
    <row r="342" spans="1:57" x14ac:dyDescent="0.25">
      <c r="A342" s="21"/>
      <c r="B342" s="64"/>
      <c r="C342" s="62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</row>
    <row r="343" spans="1:57" x14ac:dyDescent="0.25">
      <c r="A343" s="128" t="s">
        <v>535</v>
      </c>
      <c r="B343" s="129"/>
      <c r="C343" s="79">
        <v>1</v>
      </c>
      <c r="D343" s="80">
        <v>2</v>
      </c>
      <c r="E343" s="79">
        <v>3</v>
      </c>
      <c r="F343" s="80">
        <v>4</v>
      </c>
      <c r="G343" s="79">
        <v>5</v>
      </c>
      <c r="H343" s="80">
        <v>6</v>
      </c>
      <c r="I343" s="79">
        <v>7</v>
      </c>
      <c r="J343" s="80">
        <v>8</v>
      </c>
      <c r="K343" s="79">
        <v>9</v>
      </c>
      <c r="L343" s="80">
        <v>10</v>
      </c>
      <c r="M343" s="79">
        <v>11</v>
      </c>
      <c r="N343" s="80">
        <v>12</v>
      </c>
      <c r="O343" s="79">
        <v>13</v>
      </c>
      <c r="P343" s="80">
        <v>14</v>
      </c>
      <c r="Q343" s="79">
        <v>15</v>
      </c>
      <c r="R343" s="80">
        <v>16</v>
      </c>
      <c r="S343" s="79">
        <v>17</v>
      </c>
      <c r="T343" s="80">
        <v>18</v>
      </c>
      <c r="U343" s="79">
        <v>19</v>
      </c>
      <c r="V343" s="80">
        <v>20</v>
      </c>
      <c r="W343" s="79">
        <v>21</v>
      </c>
      <c r="X343" s="80">
        <v>22</v>
      </c>
      <c r="Y343" s="79">
        <v>23</v>
      </c>
      <c r="Z343" s="80">
        <v>24</v>
      </c>
      <c r="AA343" s="79">
        <v>25</v>
      </c>
      <c r="AB343" s="80">
        <v>26</v>
      </c>
      <c r="AC343" s="79">
        <v>27</v>
      </c>
      <c r="AD343" s="80">
        <v>28</v>
      </c>
      <c r="AE343" s="79">
        <v>29</v>
      </c>
      <c r="AF343" s="80">
        <v>30</v>
      </c>
      <c r="AG343" s="79">
        <v>31</v>
      </c>
      <c r="AH343" s="80">
        <v>32</v>
      </c>
      <c r="AI343" s="79">
        <v>33</v>
      </c>
      <c r="AJ343" s="80">
        <v>34</v>
      </c>
      <c r="AK343" s="79">
        <v>35</v>
      </c>
      <c r="AL343" s="80">
        <v>36</v>
      </c>
      <c r="AM343" s="79">
        <v>37</v>
      </c>
      <c r="AN343" s="80">
        <v>38</v>
      </c>
      <c r="AO343" s="79">
        <v>39</v>
      </c>
      <c r="AP343" s="80">
        <v>40</v>
      </c>
      <c r="AQ343" s="79">
        <v>41</v>
      </c>
      <c r="AR343" s="80">
        <v>42</v>
      </c>
      <c r="AS343" s="79">
        <v>43</v>
      </c>
      <c r="AT343" s="80">
        <v>44</v>
      </c>
      <c r="AU343" s="79">
        <v>45</v>
      </c>
      <c r="AV343" s="80">
        <v>46</v>
      </c>
      <c r="AW343" s="79">
        <v>47</v>
      </c>
      <c r="AX343" s="80">
        <v>48</v>
      </c>
      <c r="AY343" s="21"/>
      <c r="AZ343" s="21"/>
      <c r="BA343" s="21"/>
      <c r="BB343" s="21"/>
      <c r="BC343" s="21"/>
      <c r="BD343" s="21"/>
      <c r="BE343" s="21"/>
    </row>
    <row r="344" spans="1:57" x14ac:dyDescent="0.25">
      <c r="A344" s="21"/>
      <c r="B344" s="64"/>
      <c r="C344" s="88">
        <f>--_xlfn.XOR(C336,'Key Generator'!D375)</f>
        <v>0</v>
      </c>
      <c r="D344" s="88">
        <f>--_xlfn.XOR(D336,'Key Generator'!E375)</f>
        <v>0</v>
      </c>
      <c r="E344" s="88">
        <f>--_xlfn.XOR(E336,'Key Generator'!F375)</f>
        <v>0</v>
      </c>
      <c r="F344" s="88">
        <f>--_xlfn.XOR(F336,'Key Generator'!G375)</f>
        <v>0</v>
      </c>
      <c r="G344" s="88">
        <f>--_xlfn.XOR(G336,'Key Generator'!H375)</f>
        <v>1</v>
      </c>
      <c r="H344" s="88">
        <f>--_xlfn.XOR(H336,'Key Generator'!I375)</f>
        <v>0</v>
      </c>
      <c r="I344" s="87">
        <f>--_xlfn.XOR(I336,'Key Generator'!J375)</f>
        <v>1</v>
      </c>
      <c r="J344" s="87">
        <f>--_xlfn.XOR(J336,'Key Generator'!K375)</f>
        <v>0</v>
      </c>
      <c r="K344" s="87">
        <f>--_xlfn.XOR(K336,'Key Generator'!L375)</f>
        <v>1</v>
      </c>
      <c r="L344" s="87">
        <f>--_xlfn.XOR(L336,'Key Generator'!M375)</f>
        <v>1</v>
      </c>
      <c r="M344" s="87">
        <f>--_xlfn.XOR(M336,'Key Generator'!N375)</f>
        <v>0</v>
      </c>
      <c r="N344" s="87">
        <f>--_xlfn.XOR(N336,'Key Generator'!O375)</f>
        <v>1</v>
      </c>
      <c r="O344" s="89">
        <f>--_xlfn.XOR(O336,'Key Generator'!P375)</f>
        <v>0</v>
      </c>
      <c r="P344" s="89">
        <f>--_xlfn.XOR(P336,'Key Generator'!Q375)</f>
        <v>1</v>
      </c>
      <c r="Q344" s="89">
        <f>--_xlfn.XOR(Q336,'Key Generator'!R375)</f>
        <v>1</v>
      </c>
      <c r="R344" s="89">
        <f>--_xlfn.XOR(R336,'Key Generator'!S375)</f>
        <v>0</v>
      </c>
      <c r="S344" s="89">
        <f>--_xlfn.XOR(S336,'Key Generator'!T375)</f>
        <v>1</v>
      </c>
      <c r="T344" s="89">
        <f>--_xlfn.XOR(T336,'Key Generator'!U375)</f>
        <v>0</v>
      </c>
      <c r="U344" s="149">
        <f>--_xlfn.XOR(U336,'Key Generator'!V375)</f>
        <v>1</v>
      </c>
      <c r="V344" s="149">
        <f>--_xlfn.XOR(V336,'Key Generator'!W375)</f>
        <v>1</v>
      </c>
      <c r="W344" s="149">
        <f>--_xlfn.XOR(W336,'Key Generator'!X375)</f>
        <v>1</v>
      </c>
      <c r="X344" s="149">
        <f>--_xlfn.XOR(X336,'Key Generator'!Y375)</f>
        <v>0</v>
      </c>
      <c r="Y344" s="149">
        <f>--_xlfn.XOR(Y336,'Key Generator'!Z375)</f>
        <v>1</v>
      </c>
      <c r="Z344" s="149">
        <f>--_xlfn.XOR(Z336,'Key Generator'!AA375)</f>
        <v>1</v>
      </c>
      <c r="AA344" s="91">
        <f>--_xlfn.XOR(AA336,'Key Generator'!AB375)</f>
        <v>0</v>
      </c>
      <c r="AB344" s="91">
        <f>--_xlfn.XOR(AB336,'Key Generator'!AC375)</f>
        <v>0</v>
      </c>
      <c r="AC344" s="91">
        <f>--_xlfn.XOR(AC336,'Key Generator'!AD375)</f>
        <v>1</v>
      </c>
      <c r="AD344" s="91">
        <f>--_xlfn.XOR(AD336,'Key Generator'!AE375)</f>
        <v>1</v>
      </c>
      <c r="AE344" s="91">
        <f>--_xlfn.XOR(AE336,'Key Generator'!AF375)</f>
        <v>0</v>
      </c>
      <c r="AF344" s="91">
        <f>--_xlfn.XOR(AF336,'Key Generator'!AG375)</f>
        <v>0</v>
      </c>
      <c r="AG344" s="92">
        <f>--_xlfn.XOR(AG336,'Key Generator'!AH375)</f>
        <v>0</v>
      </c>
      <c r="AH344" s="92">
        <f>--_xlfn.XOR(AH336,'Key Generator'!AI375)</f>
        <v>1</v>
      </c>
      <c r="AI344" s="92">
        <f>--_xlfn.XOR(AI336,'Key Generator'!AJ375)</f>
        <v>1</v>
      </c>
      <c r="AJ344" s="92">
        <f>--_xlfn.XOR(AJ336,'Key Generator'!AK375)</f>
        <v>1</v>
      </c>
      <c r="AK344" s="92">
        <f>--_xlfn.XOR(AK336,'Key Generator'!AL375)</f>
        <v>0</v>
      </c>
      <c r="AL344" s="92">
        <f>--_xlfn.XOR(AL336,'Key Generator'!AM375)</f>
        <v>1</v>
      </c>
      <c r="AM344" s="86">
        <f>--_xlfn.XOR(AM336,'Key Generator'!AN375)</f>
        <v>0</v>
      </c>
      <c r="AN344" s="86">
        <f>--_xlfn.XOR(AN336,'Key Generator'!AO375)</f>
        <v>0</v>
      </c>
      <c r="AO344" s="86">
        <f>--_xlfn.XOR(AO336,'Key Generator'!AP375)</f>
        <v>1</v>
      </c>
      <c r="AP344" s="86">
        <f>--_xlfn.XOR(AP336,'Key Generator'!AQ375)</f>
        <v>1</v>
      </c>
      <c r="AQ344" s="86">
        <f>--_xlfn.XOR(AQ336,'Key Generator'!AR375)</f>
        <v>0</v>
      </c>
      <c r="AR344" s="86">
        <f>--_xlfn.XOR(AR336,'Key Generator'!AS375)</f>
        <v>1</v>
      </c>
      <c r="AS344" s="81">
        <f>--_xlfn.XOR(AS336,'Key Generator'!AT375)</f>
        <v>0</v>
      </c>
      <c r="AT344" s="81">
        <f>--_xlfn.XOR(AT336,'Key Generator'!AU375)</f>
        <v>0</v>
      </c>
      <c r="AU344" s="81">
        <f>--_xlfn.XOR(AU336,'Key Generator'!AV375)</f>
        <v>0</v>
      </c>
      <c r="AV344" s="81">
        <f>--_xlfn.XOR(AV336,'Key Generator'!AW375)</f>
        <v>0</v>
      </c>
      <c r="AW344" s="81">
        <f>--_xlfn.XOR(AW336,'Key Generator'!AX375)</f>
        <v>0</v>
      </c>
      <c r="AX344" s="81">
        <f>--_xlfn.XOR(AX336,'Key Generator'!AY375)</f>
        <v>0</v>
      </c>
      <c r="AY344" s="21"/>
      <c r="AZ344" s="21"/>
      <c r="BA344" s="21"/>
      <c r="BB344" s="21"/>
      <c r="BC344" s="21"/>
      <c r="BD344" s="21"/>
      <c r="BE344" s="21"/>
    </row>
    <row r="345" spans="1:57" x14ac:dyDescent="0.25">
      <c r="A345" s="21"/>
      <c r="B345" s="64"/>
      <c r="C345" s="93"/>
      <c r="D345" s="94"/>
      <c r="E345" s="94"/>
      <c r="F345" s="94"/>
      <c r="G345" s="94"/>
      <c r="H345" s="94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</row>
    <row r="346" spans="1:57" x14ac:dyDescent="0.25">
      <c r="A346" s="96" t="s">
        <v>545</v>
      </c>
      <c r="B346" s="97"/>
      <c r="C346" s="161">
        <f>D344*8+E344*4+F344*2+G344</f>
        <v>1</v>
      </c>
      <c r="D346" s="97" t="s">
        <v>536</v>
      </c>
      <c r="E346" s="97"/>
      <c r="F346" s="97"/>
      <c r="G346" s="97"/>
      <c r="H346" s="97"/>
      <c r="I346" s="161">
        <f>J344*8+K344*4+L344*2+M344</f>
        <v>6</v>
      </c>
      <c r="J346" s="97" t="s">
        <v>537</v>
      </c>
      <c r="K346" s="97"/>
      <c r="L346" s="97"/>
      <c r="M346" s="97"/>
      <c r="N346" s="97"/>
      <c r="O346" s="161">
        <f>P344*8+Q344*4+R344*2+S344</f>
        <v>13</v>
      </c>
      <c r="P346" s="97" t="s">
        <v>538</v>
      </c>
      <c r="Q346" s="97"/>
      <c r="R346" s="97"/>
      <c r="S346" s="97"/>
      <c r="T346" s="97"/>
      <c r="U346" s="161">
        <f>V344*8+W344*4+X344*2+Y344</f>
        <v>13</v>
      </c>
      <c r="V346" s="97" t="s">
        <v>539</v>
      </c>
      <c r="W346" s="97"/>
      <c r="X346" s="97"/>
      <c r="Y346" s="97"/>
      <c r="Z346" s="97"/>
      <c r="AA346" s="161">
        <f>AB344*8+AC344*4+AD344*2+AE344</f>
        <v>6</v>
      </c>
      <c r="AB346" s="97" t="s">
        <v>540</v>
      </c>
      <c r="AC346" s="97"/>
      <c r="AD346" s="97"/>
      <c r="AE346" s="97"/>
      <c r="AF346" s="97"/>
      <c r="AG346" s="161">
        <f>AH344*8+AI344*4+AJ344*2+AK344</f>
        <v>14</v>
      </c>
      <c r="AH346" s="97" t="s">
        <v>541</v>
      </c>
      <c r="AI346" s="97"/>
      <c r="AJ346" s="97"/>
      <c r="AK346" s="97"/>
      <c r="AL346" s="97"/>
      <c r="AM346" s="161">
        <f>AN344*8+AO344*4+AP344*2+AQ344</f>
        <v>6</v>
      </c>
      <c r="AN346" s="97" t="s">
        <v>542</v>
      </c>
      <c r="AO346" s="97"/>
      <c r="AP346" s="97"/>
      <c r="AQ346" s="97"/>
      <c r="AR346" s="97"/>
      <c r="AS346" s="161">
        <f>AT344*8+AU344*4+AV344*2+AW344</f>
        <v>0</v>
      </c>
      <c r="AT346" s="97" t="s">
        <v>543</v>
      </c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</row>
    <row r="347" spans="1:57" x14ac:dyDescent="0.25">
      <c r="A347" s="100" t="s">
        <v>546</v>
      </c>
      <c r="B347" s="99"/>
      <c r="C347" s="87">
        <f>C344*2+H344</f>
        <v>0</v>
      </c>
      <c r="D347" s="98"/>
      <c r="E347" s="98"/>
      <c r="F347" s="99"/>
      <c r="G347" s="99"/>
      <c r="H347" s="99"/>
      <c r="I347" s="87">
        <f>I344*2+N344</f>
        <v>3</v>
      </c>
      <c r="J347" s="99"/>
      <c r="K347" s="99"/>
      <c r="L347" s="99"/>
      <c r="M347" s="99"/>
      <c r="N347" s="99"/>
      <c r="O347" s="87">
        <f>O344*2+T344</f>
        <v>0</v>
      </c>
      <c r="P347" s="99"/>
      <c r="Q347" s="99"/>
      <c r="R347" s="99"/>
      <c r="S347" s="99"/>
      <c r="T347" s="99"/>
      <c r="U347" s="87">
        <f>U344*2+Z344</f>
        <v>3</v>
      </c>
      <c r="V347" s="99"/>
      <c r="W347" s="99"/>
      <c r="X347" s="99"/>
      <c r="Y347" s="99"/>
      <c r="Z347" s="99"/>
      <c r="AA347" s="87">
        <f>AA344*2+AF344</f>
        <v>0</v>
      </c>
      <c r="AB347" s="99"/>
      <c r="AC347" s="99"/>
      <c r="AD347" s="99"/>
      <c r="AE347" s="99"/>
      <c r="AF347" s="99"/>
      <c r="AG347" s="87">
        <f>AG344*2+AL344</f>
        <v>1</v>
      </c>
      <c r="AH347" s="99"/>
      <c r="AI347" s="99"/>
      <c r="AJ347" s="99"/>
      <c r="AK347" s="99"/>
      <c r="AL347" s="99"/>
      <c r="AM347" s="87">
        <f>AM344*2+AR344</f>
        <v>1</v>
      </c>
      <c r="AN347" s="99"/>
      <c r="AO347" s="99"/>
      <c r="AP347" s="99"/>
      <c r="AQ347" s="99"/>
      <c r="AR347" s="99"/>
      <c r="AS347" s="87">
        <f>AS344*2+AX344</f>
        <v>0</v>
      </c>
      <c r="AT347" s="99"/>
      <c r="AU347" s="99"/>
      <c r="AV347" s="99"/>
      <c r="AW347" s="99"/>
      <c r="AX347" s="99"/>
      <c r="AY347" s="99"/>
      <c r="AZ347" s="99"/>
      <c r="BA347" s="99"/>
      <c r="BB347" s="99"/>
      <c r="BC347" s="99"/>
      <c r="BD347" s="99"/>
      <c r="BE347" s="99"/>
    </row>
    <row r="348" spans="1:57" x14ac:dyDescent="0.25">
      <c r="A348" s="21"/>
      <c r="B348" s="64"/>
      <c r="C348" s="62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</row>
    <row r="349" spans="1:57" x14ac:dyDescent="0.25">
      <c r="A349" s="117" t="s">
        <v>547</v>
      </c>
      <c r="B349" s="64"/>
      <c r="C349" s="72">
        <f>INDEX('S-Box'!D3:S6,'DES-Dec'!C347+1,'DES-Dec'!C346+1)</f>
        <v>4</v>
      </c>
      <c r="D349" s="21"/>
      <c r="E349" s="21"/>
      <c r="F349" s="21"/>
      <c r="G349" s="21"/>
      <c r="H349" s="21"/>
      <c r="I349" s="168">
        <f>INDEX('S-Box'!D9:S12,'DES-Dec'!I347+1,'DES-Dec'!I346+1)</f>
        <v>4</v>
      </c>
      <c r="J349" s="21"/>
      <c r="K349" s="21"/>
      <c r="L349" s="21"/>
      <c r="M349" s="21"/>
      <c r="N349" s="21"/>
      <c r="O349" s="168">
        <f>INDEX('S-Box'!D15:S18,'DES-Dec'!O347+1,'DES-Dec'!O346+1)</f>
        <v>4</v>
      </c>
      <c r="P349" s="21"/>
      <c r="Q349" s="21"/>
      <c r="R349" s="21"/>
      <c r="S349" s="21"/>
      <c r="T349" s="21"/>
      <c r="U349" s="168">
        <f>INDEX('S-Box'!D21:S24,'DES-Dec'!U347+1,'DES-Dec'!U346+1)</f>
        <v>7</v>
      </c>
      <c r="V349" s="21"/>
      <c r="W349" s="21"/>
      <c r="X349" s="21"/>
      <c r="Y349" s="21"/>
      <c r="Z349" s="21"/>
      <c r="AA349" s="168">
        <f>INDEX('S-Box'!D27:S30,'DES-Dec'!AA347+1,'DES-Dec'!AA346+1)</f>
        <v>11</v>
      </c>
      <c r="AB349" s="21"/>
      <c r="AC349" s="21"/>
      <c r="AD349" s="21"/>
      <c r="AE349" s="21"/>
      <c r="AF349" s="21"/>
      <c r="AG349" s="168">
        <f>INDEX('S-Box'!D33:S36,'DES-Dec'!AG347+1,'DES-Dec'!AG346+1)</f>
        <v>3</v>
      </c>
      <c r="AH349" s="21"/>
      <c r="AI349" s="21"/>
      <c r="AJ349" s="21"/>
      <c r="AK349" s="21"/>
      <c r="AL349" s="21"/>
      <c r="AM349" s="168">
        <f>INDEX('S-Box'!D39:S42,'DES-Dec'!AM347+1,'DES-Dec'!AM346+1)</f>
        <v>1</v>
      </c>
      <c r="AN349" s="21"/>
      <c r="AO349" s="21"/>
      <c r="AP349" s="21"/>
      <c r="AQ349" s="21"/>
      <c r="AR349" s="21"/>
      <c r="AS349" s="168">
        <f>INDEX('S-Box'!D45:S48,'DES-Dec'!AS347+1,'DES-Dec'!AS346+1)</f>
        <v>13</v>
      </c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</row>
    <row r="350" spans="1:57" x14ac:dyDescent="0.25">
      <c r="A350" s="21"/>
      <c r="B350" s="64"/>
      <c r="C350" s="104"/>
      <c r="D350" s="21"/>
      <c r="E350" s="21"/>
      <c r="F350" s="21"/>
      <c r="G350" s="21"/>
      <c r="H350" s="21"/>
      <c r="I350" s="95"/>
      <c r="J350" s="21"/>
      <c r="K350" s="21"/>
      <c r="L350" s="21"/>
      <c r="M350" s="21"/>
      <c r="N350" s="21"/>
      <c r="O350" s="95"/>
      <c r="P350" s="21"/>
      <c r="Q350" s="21"/>
      <c r="R350" s="21"/>
      <c r="S350" s="21"/>
      <c r="T350" s="21"/>
      <c r="U350" s="95"/>
      <c r="V350" s="21"/>
      <c r="W350" s="21"/>
      <c r="X350" s="21"/>
      <c r="Y350" s="21"/>
      <c r="Z350" s="21"/>
      <c r="AA350" s="95"/>
      <c r="AB350" s="21"/>
      <c r="AC350" s="21"/>
      <c r="AD350" s="21"/>
      <c r="AE350" s="21"/>
      <c r="AF350" s="21"/>
      <c r="AG350" s="95"/>
      <c r="AH350" s="21"/>
      <c r="AI350" s="21"/>
      <c r="AJ350" s="21"/>
      <c r="AK350" s="21"/>
      <c r="AL350" s="21"/>
      <c r="AM350" s="95"/>
      <c r="AN350" s="21"/>
      <c r="AO350" s="21"/>
      <c r="AP350" s="21"/>
      <c r="AQ350" s="21"/>
      <c r="AR350" s="21"/>
      <c r="AS350" s="95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</row>
    <row r="351" spans="1:57" x14ac:dyDescent="0.25">
      <c r="A351" s="21"/>
      <c r="B351" s="64"/>
      <c r="C351" s="105" t="str">
        <f>MID(DEC2BIN(C349,4),1,1)</f>
        <v>0</v>
      </c>
      <c r="D351" s="106" t="str">
        <f>MID(DEC2BIN(C349,4),2,1)</f>
        <v>1</v>
      </c>
      <c r="E351" s="106" t="str">
        <f>MID(DEC2BIN(C349,4),3,1)</f>
        <v>0</v>
      </c>
      <c r="F351" s="107" t="str">
        <f>MID(DEC2BIN(C349,4),4,1)</f>
        <v>0</v>
      </c>
      <c r="G351" s="21"/>
      <c r="H351" s="21"/>
      <c r="I351" s="105" t="str">
        <f>MID(DEC2BIN(I349,4),1,1)</f>
        <v>0</v>
      </c>
      <c r="J351" s="106" t="str">
        <f>MID(DEC2BIN(I349,4),2,1)</f>
        <v>1</v>
      </c>
      <c r="K351" s="106" t="str">
        <f>MID(DEC2BIN(I349,4),3,1)</f>
        <v>0</v>
      </c>
      <c r="L351" s="107" t="str">
        <f>MID(DEC2BIN(I349,4),4,1)</f>
        <v>0</v>
      </c>
      <c r="M351" s="21"/>
      <c r="N351" s="21"/>
      <c r="O351" s="105" t="str">
        <f>MID(DEC2BIN(O349,4),1,1)</f>
        <v>0</v>
      </c>
      <c r="P351" s="106" t="str">
        <f>MID(DEC2BIN(O349,4),2,1)</f>
        <v>1</v>
      </c>
      <c r="Q351" s="106" t="str">
        <f>MID(DEC2BIN(O349,4),3,1)</f>
        <v>0</v>
      </c>
      <c r="R351" s="107" t="str">
        <f>MID(DEC2BIN(O349,4),4,1)</f>
        <v>0</v>
      </c>
      <c r="S351" s="21"/>
      <c r="T351" s="21"/>
      <c r="U351" s="105" t="str">
        <f>MID(DEC2BIN(U349,4),1,1)</f>
        <v>0</v>
      </c>
      <c r="V351" s="106" t="str">
        <f>MID(DEC2BIN(U349,4),2,1)</f>
        <v>1</v>
      </c>
      <c r="W351" s="106" t="str">
        <f>MID(DEC2BIN(U349,4),3,1)</f>
        <v>1</v>
      </c>
      <c r="X351" s="107" t="str">
        <f>MID(DEC2BIN(U349,4),4,1)</f>
        <v>1</v>
      </c>
      <c r="Y351" s="21"/>
      <c r="Z351" s="21"/>
      <c r="AA351" s="105" t="str">
        <f>MID(DEC2BIN(AA349,4),1,1)</f>
        <v>1</v>
      </c>
      <c r="AB351" s="106" t="str">
        <f>MID(DEC2BIN(AA349,4),2,1)</f>
        <v>0</v>
      </c>
      <c r="AC351" s="106" t="str">
        <f>MID(DEC2BIN(AA349,4),3,1)</f>
        <v>1</v>
      </c>
      <c r="AD351" s="107" t="str">
        <f>MID(DEC2BIN(AA349,4),4,1)</f>
        <v>1</v>
      </c>
      <c r="AE351" s="21"/>
      <c r="AF351" s="21"/>
      <c r="AG351" s="105" t="str">
        <f>MID(DEC2BIN(AG349,4),1,1)</f>
        <v>0</v>
      </c>
      <c r="AH351" s="106" t="str">
        <f>MID(DEC2BIN(AG349,4),2,1)</f>
        <v>0</v>
      </c>
      <c r="AI351" s="106" t="str">
        <f>MID(DEC2BIN(AG349,4),3,1)</f>
        <v>1</v>
      </c>
      <c r="AJ351" s="107" t="str">
        <f>MID(DEC2BIN(AG349,4),4,1)</f>
        <v>1</v>
      </c>
      <c r="AK351" s="21"/>
      <c r="AL351" s="21"/>
      <c r="AM351" s="105" t="str">
        <f>MID(DEC2BIN(AM349,4),1,1)</f>
        <v>0</v>
      </c>
      <c r="AN351" s="106" t="str">
        <f>MID(DEC2BIN(AM349,4),2,1)</f>
        <v>0</v>
      </c>
      <c r="AO351" s="106" t="str">
        <f>MID(DEC2BIN(AM349,4),3,1)</f>
        <v>0</v>
      </c>
      <c r="AP351" s="107" t="str">
        <f>MID(DEC2BIN(AM349,4),4,1)</f>
        <v>1</v>
      </c>
      <c r="AQ351" s="21"/>
      <c r="AR351" s="21"/>
      <c r="AS351" s="105" t="str">
        <f>MID(DEC2BIN(AS349,4),1,1)</f>
        <v>1</v>
      </c>
      <c r="AT351" s="106" t="str">
        <f>MID(DEC2BIN(AS349,4),2,1)</f>
        <v>1</v>
      </c>
      <c r="AU351" s="106" t="str">
        <f>MID(DEC2BIN(AS349,4),3,1)</f>
        <v>0</v>
      </c>
      <c r="AV351" s="107" t="str">
        <f>MID(DEC2BIN(AS349,4),4,1)</f>
        <v>1</v>
      </c>
      <c r="AW351" s="21"/>
      <c r="AX351" s="21"/>
      <c r="AY351" s="21"/>
      <c r="AZ351" s="21"/>
      <c r="BA351" s="21"/>
      <c r="BB351" s="21"/>
      <c r="BC351" s="21"/>
      <c r="BD351" s="21"/>
      <c r="BE351" s="21"/>
    </row>
    <row r="352" spans="1:57" s="21" customFormat="1" ht="24.95" customHeight="1" x14ac:dyDescent="0.25">
      <c r="B352" s="64"/>
      <c r="C352" s="21">
        <f>VALUE(C351)</f>
        <v>0</v>
      </c>
      <c r="D352" s="21">
        <f t="shared" ref="D352" si="1064">VALUE(D351)</f>
        <v>1</v>
      </c>
      <c r="E352" s="21">
        <f t="shared" ref="E352" si="1065">VALUE(E351)</f>
        <v>0</v>
      </c>
      <c r="F352" s="21">
        <f t="shared" ref="F352" si="1066">VALUE(F351)</f>
        <v>0</v>
      </c>
      <c r="I352" s="21">
        <f t="shared" ref="I352" si="1067">VALUE(I351)</f>
        <v>0</v>
      </c>
      <c r="J352" s="21">
        <f t="shared" ref="J352" si="1068">VALUE(J351)</f>
        <v>1</v>
      </c>
      <c r="K352" s="21">
        <f t="shared" ref="K352" si="1069">VALUE(K351)</f>
        <v>0</v>
      </c>
      <c r="L352" s="21">
        <f t="shared" ref="L352" si="1070">VALUE(L351)</f>
        <v>0</v>
      </c>
      <c r="O352" s="21">
        <f>VALUE(O351)</f>
        <v>0</v>
      </c>
      <c r="P352" s="21">
        <f t="shared" ref="P352" si="1071">VALUE(P351)</f>
        <v>1</v>
      </c>
      <c r="Q352" s="21">
        <f t="shared" ref="Q352" si="1072">VALUE(Q351)</f>
        <v>0</v>
      </c>
      <c r="R352" s="21">
        <f t="shared" ref="R352" si="1073">VALUE(R351)</f>
        <v>0</v>
      </c>
      <c r="U352" s="21">
        <f>VALUE(U351)</f>
        <v>0</v>
      </c>
      <c r="V352" s="21">
        <f t="shared" ref="V352" si="1074">VALUE(V351)</f>
        <v>1</v>
      </c>
      <c r="W352" s="21">
        <f t="shared" ref="W352" si="1075">VALUE(W351)</f>
        <v>1</v>
      </c>
      <c r="X352" s="21">
        <f t="shared" ref="X352" si="1076">VALUE(X351)</f>
        <v>1</v>
      </c>
      <c r="AA352" s="21">
        <f>VALUE(AA351)</f>
        <v>1</v>
      </c>
      <c r="AB352" s="21">
        <f t="shared" ref="AB352" si="1077">VALUE(AB351)</f>
        <v>0</v>
      </c>
      <c r="AC352" s="21">
        <f t="shared" ref="AC352" si="1078">VALUE(AC351)</f>
        <v>1</v>
      </c>
      <c r="AD352" s="21">
        <f t="shared" ref="AD352" si="1079">VALUE(AD351)</f>
        <v>1</v>
      </c>
      <c r="AG352" s="21">
        <f>VALUE(AG351)</f>
        <v>0</v>
      </c>
      <c r="AH352" s="21">
        <f t="shared" ref="AH352" si="1080">VALUE(AH351)</f>
        <v>0</v>
      </c>
      <c r="AI352" s="21">
        <f t="shared" ref="AI352" si="1081">VALUE(AI351)</f>
        <v>1</v>
      </c>
      <c r="AJ352" s="21">
        <f t="shared" ref="AJ352" si="1082">VALUE(AJ351)</f>
        <v>1</v>
      </c>
      <c r="AM352" s="21">
        <f>VALUE(AM351)</f>
        <v>0</v>
      </c>
      <c r="AN352" s="21">
        <f t="shared" ref="AN352" si="1083">VALUE(AN351)</f>
        <v>0</v>
      </c>
      <c r="AO352" s="21">
        <f t="shared" ref="AO352" si="1084">VALUE(AO351)</f>
        <v>0</v>
      </c>
      <c r="AP352" s="21">
        <f t="shared" ref="AP352" si="1085">VALUE(AP351)</f>
        <v>1</v>
      </c>
      <c r="AS352" s="21">
        <f>VALUE(AS351)</f>
        <v>1</v>
      </c>
      <c r="AT352" s="21">
        <f t="shared" ref="AT352" si="1086">VALUE(AT351)</f>
        <v>1</v>
      </c>
      <c r="AU352" s="21">
        <f t="shared" ref="AU352" si="1087">VALUE(AU351)</f>
        <v>0</v>
      </c>
      <c r="AV352" s="21">
        <f t="shared" ref="AV352" si="1088">VALUE(AV351)</f>
        <v>1</v>
      </c>
    </row>
    <row r="353" spans="1:57" s="21" customFormat="1" ht="24.95" customHeight="1" x14ac:dyDescent="0.25">
      <c r="A353" s="111" t="s">
        <v>588</v>
      </c>
      <c r="B353" s="111"/>
      <c r="C353" s="111">
        <v>1</v>
      </c>
      <c r="D353" s="76">
        <v>2</v>
      </c>
      <c r="E353" s="111">
        <v>3</v>
      </c>
      <c r="F353" s="76">
        <v>4</v>
      </c>
      <c r="G353" s="111">
        <v>5</v>
      </c>
      <c r="H353" s="76">
        <v>6</v>
      </c>
      <c r="I353" s="111">
        <v>7</v>
      </c>
      <c r="J353" s="76">
        <v>8</v>
      </c>
      <c r="K353" s="111">
        <v>9</v>
      </c>
      <c r="L353" s="76">
        <v>10</v>
      </c>
      <c r="M353" s="111">
        <v>11</v>
      </c>
      <c r="N353" s="76">
        <v>12</v>
      </c>
      <c r="O353" s="111">
        <v>13</v>
      </c>
      <c r="P353" s="76">
        <v>14</v>
      </c>
      <c r="Q353" s="111">
        <v>15</v>
      </c>
      <c r="R353" s="76">
        <v>16</v>
      </c>
      <c r="S353" s="111">
        <v>17</v>
      </c>
      <c r="T353" s="76">
        <v>18</v>
      </c>
      <c r="U353" s="111">
        <v>19</v>
      </c>
      <c r="V353" s="76">
        <v>20</v>
      </c>
      <c r="W353" s="111">
        <v>21</v>
      </c>
      <c r="X353" s="76">
        <v>22</v>
      </c>
      <c r="Y353" s="111">
        <v>23</v>
      </c>
      <c r="Z353" s="76">
        <v>24</v>
      </c>
      <c r="AA353" s="111">
        <v>25</v>
      </c>
      <c r="AB353" s="76">
        <v>26</v>
      </c>
      <c r="AC353" s="111">
        <v>27</v>
      </c>
      <c r="AD353" s="76">
        <v>28</v>
      </c>
      <c r="AE353" s="111">
        <v>29</v>
      </c>
      <c r="AF353" s="76">
        <v>30</v>
      </c>
      <c r="AG353" s="111">
        <v>31</v>
      </c>
      <c r="AH353" s="76">
        <v>32</v>
      </c>
    </row>
    <row r="354" spans="1:57" s="21" customFormat="1" ht="24.95" customHeight="1" x14ac:dyDescent="0.25">
      <c r="B354" s="64"/>
      <c r="C354" s="108">
        <f>C352</f>
        <v>0</v>
      </c>
      <c r="D354" s="108">
        <f t="shared" ref="D354:F354" si="1089">D352</f>
        <v>1</v>
      </c>
      <c r="E354" s="108">
        <f t="shared" si="1089"/>
        <v>0</v>
      </c>
      <c r="F354" s="108">
        <f t="shared" si="1089"/>
        <v>0</v>
      </c>
      <c r="G354" s="23">
        <f>I352</f>
        <v>0</v>
      </c>
      <c r="H354" s="23">
        <f t="shared" ref="H354" si="1090">J352</f>
        <v>1</v>
      </c>
      <c r="I354" s="23">
        <f t="shared" ref="I354" si="1091">K352</f>
        <v>0</v>
      </c>
      <c r="J354" s="23">
        <f t="shared" ref="J354" si="1092">L352</f>
        <v>0</v>
      </c>
      <c r="K354" s="23">
        <f>O352</f>
        <v>0</v>
      </c>
      <c r="L354" s="23">
        <f t="shared" ref="L354" si="1093">P352</f>
        <v>1</v>
      </c>
      <c r="M354" s="23">
        <f t="shared" ref="M354" si="1094">Q352</f>
        <v>0</v>
      </c>
      <c r="N354" s="23">
        <f t="shared" ref="N354" si="1095">R352</f>
        <v>0</v>
      </c>
      <c r="O354" s="23">
        <f>U352</f>
        <v>0</v>
      </c>
      <c r="P354" s="23">
        <f t="shared" ref="P354" si="1096">V352</f>
        <v>1</v>
      </c>
      <c r="Q354" s="23">
        <f t="shared" ref="Q354" si="1097">W352</f>
        <v>1</v>
      </c>
      <c r="R354" s="23">
        <f t="shared" ref="R354" si="1098">X352</f>
        <v>1</v>
      </c>
      <c r="S354" s="23">
        <f>AA352</f>
        <v>1</v>
      </c>
      <c r="T354" s="23">
        <f t="shared" ref="T354" si="1099">AB352</f>
        <v>0</v>
      </c>
      <c r="U354" s="23">
        <f t="shared" ref="U354" si="1100">AC352</f>
        <v>1</v>
      </c>
      <c r="V354" s="23">
        <f t="shared" ref="V354" si="1101">AD352</f>
        <v>1</v>
      </c>
      <c r="W354" s="23">
        <f>AG352</f>
        <v>0</v>
      </c>
      <c r="X354" s="23">
        <f t="shared" ref="X354" si="1102">AH352</f>
        <v>0</v>
      </c>
      <c r="Y354" s="23">
        <f t="shared" ref="Y354" si="1103">AI352</f>
        <v>1</v>
      </c>
      <c r="Z354" s="23">
        <f t="shared" ref="Z354" si="1104">AJ352</f>
        <v>1</v>
      </c>
      <c r="AA354" s="23">
        <f>AM352</f>
        <v>0</v>
      </c>
      <c r="AB354" s="23">
        <f t="shared" ref="AB354" si="1105">AN352</f>
        <v>0</v>
      </c>
      <c r="AC354" s="23">
        <f t="shared" ref="AC354" si="1106">AO352</f>
        <v>0</v>
      </c>
      <c r="AD354" s="23">
        <f t="shared" ref="AD354" si="1107">AP352</f>
        <v>1</v>
      </c>
      <c r="AE354" s="23">
        <f>AS352</f>
        <v>1</v>
      </c>
      <c r="AF354" s="23">
        <f t="shared" ref="AF354" si="1108">AT352</f>
        <v>1</v>
      </c>
      <c r="AG354" s="23">
        <f t="shared" ref="AG354" si="1109">AU352</f>
        <v>0</v>
      </c>
      <c r="AH354" s="23">
        <f t="shared" ref="AH354" si="1110">AV352</f>
        <v>1</v>
      </c>
    </row>
    <row r="355" spans="1:57" x14ac:dyDescent="0.25">
      <c r="A355" s="21"/>
      <c r="B355" s="64"/>
      <c r="C355" s="62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</row>
    <row r="356" spans="1:57" x14ac:dyDescent="0.25">
      <c r="A356" s="110" t="s">
        <v>548</v>
      </c>
      <c r="B356" s="110"/>
      <c r="C356" s="109">
        <v>16</v>
      </c>
      <c r="D356" s="110">
        <v>7</v>
      </c>
      <c r="E356" s="110">
        <v>20</v>
      </c>
      <c r="F356" s="110">
        <v>21</v>
      </c>
      <c r="G356" s="110">
        <v>29</v>
      </c>
      <c r="H356" s="110">
        <v>12</v>
      </c>
      <c r="I356" s="110">
        <v>28</v>
      </c>
      <c r="J356" s="110">
        <v>17</v>
      </c>
      <c r="K356" s="110">
        <v>1</v>
      </c>
      <c r="L356" s="110">
        <v>15</v>
      </c>
      <c r="M356" s="110">
        <v>23</v>
      </c>
      <c r="N356" s="110">
        <v>26</v>
      </c>
      <c r="O356" s="110">
        <v>5</v>
      </c>
      <c r="P356" s="110">
        <v>18</v>
      </c>
      <c r="Q356" s="110">
        <v>31</v>
      </c>
      <c r="R356" s="110">
        <v>10</v>
      </c>
      <c r="S356" s="110">
        <v>2</v>
      </c>
      <c r="T356" s="110">
        <v>8</v>
      </c>
      <c r="U356" s="110">
        <v>24</v>
      </c>
      <c r="V356" s="110">
        <v>14</v>
      </c>
      <c r="W356" s="110">
        <v>32</v>
      </c>
      <c r="X356" s="110">
        <v>27</v>
      </c>
      <c r="Y356" s="110">
        <v>3</v>
      </c>
      <c r="Z356" s="110">
        <v>9</v>
      </c>
      <c r="AA356" s="110">
        <v>19</v>
      </c>
      <c r="AB356" s="110">
        <v>13</v>
      </c>
      <c r="AC356" s="110">
        <v>30</v>
      </c>
      <c r="AD356" s="110">
        <v>6</v>
      </c>
      <c r="AE356" s="110">
        <v>22</v>
      </c>
      <c r="AF356" s="110">
        <v>11</v>
      </c>
      <c r="AG356" s="110">
        <v>4</v>
      </c>
      <c r="AH356" s="110">
        <v>25</v>
      </c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</row>
    <row r="357" spans="1:57" x14ac:dyDescent="0.25">
      <c r="A357" s="21"/>
      <c r="B357" s="64"/>
      <c r="C357" s="103">
        <f>K354</f>
        <v>0</v>
      </c>
      <c r="D357" s="103">
        <f>S354</f>
        <v>1</v>
      </c>
      <c r="E357" s="103">
        <f>Y354</f>
        <v>1</v>
      </c>
      <c r="F357" s="112">
        <f>AG354</f>
        <v>0</v>
      </c>
      <c r="G357" s="103">
        <f>O354</f>
        <v>0</v>
      </c>
      <c r="H357" s="103">
        <f>AD354</f>
        <v>1</v>
      </c>
      <c r="I357" s="103">
        <f>D354</f>
        <v>1</v>
      </c>
      <c r="J357" s="103">
        <f>T354</f>
        <v>0</v>
      </c>
      <c r="K357" s="103">
        <f>Z354</f>
        <v>1</v>
      </c>
      <c r="L357" s="103">
        <f>R354</f>
        <v>1</v>
      </c>
      <c r="M357" s="103">
        <f>AF354</f>
        <v>1</v>
      </c>
      <c r="N357" s="103">
        <f>H354</f>
        <v>1</v>
      </c>
      <c r="O357" s="103">
        <f>AB354</f>
        <v>0</v>
      </c>
      <c r="P357" s="103">
        <f>V354</f>
        <v>1</v>
      </c>
      <c r="Q357" s="103">
        <f>L354</f>
        <v>1</v>
      </c>
      <c r="R357" s="103">
        <f>C354</f>
        <v>0</v>
      </c>
      <c r="S357" s="103">
        <f>J354</f>
        <v>0</v>
      </c>
      <c r="T357" s="103">
        <f>P354</f>
        <v>1</v>
      </c>
      <c r="U357" s="103">
        <f>AA354</f>
        <v>0</v>
      </c>
      <c r="V357" s="103">
        <f>E354</f>
        <v>0</v>
      </c>
      <c r="W357" s="103">
        <f>F354</f>
        <v>0</v>
      </c>
      <c r="X357" s="103">
        <f>AE354</f>
        <v>1</v>
      </c>
      <c r="Y357" s="103">
        <f>M354</f>
        <v>0</v>
      </c>
      <c r="Z357" s="103">
        <f>U354</f>
        <v>1</v>
      </c>
      <c r="AA357" s="103">
        <f>AH354</f>
        <v>1</v>
      </c>
      <c r="AB357" s="103">
        <f>N354</f>
        <v>0</v>
      </c>
      <c r="AC357" s="103">
        <f>X354</f>
        <v>0</v>
      </c>
      <c r="AD357" s="103">
        <f>I354</f>
        <v>0</v>
      </c>
      <c r="AE357" s="103">
        <f>G354</f>
        <v>0</v>
      </c>
      <c r="AF357" s="103">
        <f>AC354</f>
        <v>0</v>
      </c>
      <c r="AG357" s="103">
        <f>Q354</f>
        <v>1</v>
      </c>
      <c r="AH357" s="103">
        <f>W354</f>
        <v>0</v>
      </c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</row>
    <row r="358" spans="1:57" x14ac:dyDescent="0.25">
      <c r="A358" s="21"/>
      <c r="B358" s="64"/>
      <c r="C358" s="130">
        <v>1</v>
      </c>
      <c r="D358" s="131">
        <v>2</v>
      </c>
      <c r="E358" s="130">
        <v>3</v>
      </c>
      <c r="F358" s="131">
        <v>4</v>
      </c>
      <c r="G358" s="130">
        <v>5</v>
      </c>
      <c r="H358" s="131">
        <v>6</v>
      </c>
      <c r="I358" s="130">
        <v>7</v>
      </c>
      <c r="J358" s="131">
        <v>8</v>
      </c>
      <c r="K358" s="130">
        <v>9</v>
      </c>
      <c r="L358" s="131">
        <v>10</v>
      </c>
      <c r="M358" s="130">
        <v>11</v>
      </c>
      <c r="N358" s="131">
        <v>12</v>
      </c>
      <c r="O358" s="130">
        <v>13</v>
      </c>
      <c r="P358" s="131">
        <v>14</v>
      </c>
      <c r="Q358" s="130">
        <v>15</v>
      </c>
      <c r="R358" s="131">
        <v>16</v>
      </c>
      <c r="S358" s="130">
        <v>17</v>
      </c>
      <c r="T358" s="131">
        <v>18</v>
      </c>
      <c r="U358" s="130">
        <v>19</v>
      </c>
      <c r="V358" s="131">
        <v>20</v>
      </c>
      <c r="W358" s="130">
        <v>21</v>
      </c>
      <c r="X358" s="131">
        <v>22</v>
      </c>
      <c r="Y358" s="130">
        <v>23</v>
      </c>
      <c r="Z358" s="131">
        <v>24</v>
      </c>
      <c r="AA358" s="130">
        <v>25</v>
      </c>
      <c r="AB358" s="131">
        <v>26</v>
      </c>
      <c r="AC358" s="130">
        <v>27</v>
      </c>
      <c r="AD358" s="131">
        <v>28</v>
      </c>
      <c r="AE358" s="130">
        <v>29</v>
      </c>
      <c r="AF358" s="131">
        <v>30</v>
      </c>
      <c r="AG358" s="130">
        <v>31</v>
      </c>
      <c r="AH358" s="131">
        <v>32</v>
      </c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</row>
    <row r="359" spans="1:57" x14ac:dyDescent="0.25">
      <c r="A359" s="21"/>
      <c r="B359" s="64"/>
      <c r="C359" s="62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</row>
    <row r="360" spans="1:57" x14ac:dyDescent="0.25">
      <c r="A360" s="21"/>
      <c r="B360" s="64"/>
      <c r="C360" s="62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</row>
    <row r="361" spans="1:57" x14ac:dyDescent="0.25">
      <c r="A361" s="21"/>
      <c r="B361" s="64"/>
      <c r="C361" s="62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</row>
    <row r="362" spans="1:57" x14ac:dyDescent="0.25">
      <c r="A362" s="114" t="s">
        <v>557</v>
      </c>
      <c r="B362" s="114"/>
      <c r="C362" s="114"/>
      <c r="D362" s="68">
        <v>1</v>
      </c>
      <c r="E362" s="68">
        <v>2</v>
      </c>
      <c r="F362" s="68">
        <v>3</v>
      </c>
      <c r="G362" s="68">
        <v>4</v>
      </c>
      <c r="H362" s="68">
        <v>5</v>
      </c>
      <c r="I362" s="68">
        <v>6</v>
      </c>
      <c r="J362" s="68">
        <v>7</v>
      </c>
      <c r="K362" s="68">
        <v>8</v>
      </c>
      <c r="L362" s="68">
        <v>9</v>
      </c>
      <c r="M362" s="68">
        <v>10</v>
      </c>
      <c r="N362" s="68">
        <v>11</v>
      </c>
      <c r="O362" s="68">
        <v>12</v>
      </c>
      <c r="P362" s="68">
        <v>13</v>
      </c>
      <c r="Q362" s="68">
        <v>14</v>
      </c>
      <c r="R362" s="68">
        <v>15</v>
      </c>
      <c r="S362" s="68">
        <v>16</v>
      </c>
      <c r="T362" s="68">
        <v>17</v>
      </c>
      <c r="U362" s="68">
        <v>18</v>
      </c>
      <c r="V362" s="68">
        <v>19</v>
      </c>
      <c r="W362" s="68">
        <v>20</v>
      </c>
      <c r="X362" s="68">
        <v>21</v>
      </c>
      <c r="Y362" s="68">
        <v>22</v>
      </c>
      <c r="Z362" s="68">
        <v>23</v>
      </c>
      <c r="AA362" s="68">
        <v>24</v>
      </c>
      <c r="AB362" s="68">
        <v>25</v>
      </c>
      <c r="AC362" s="68">
        <v>26</v>
      </c>
      <c r="AD362" s="68">
        <v>27</v>
      </c>
      <c r="AE362" s="68">
        <v>28</v>
      </c>
      <c r="AF362" s="68">
        <v>29</v>
      </c>
      <c r="AG362" s="68">
        <v>30</v>
      </c>
      <c r="AH362" s="68">
        <v>31</v>
      </c>
      <c r="AI362" s="68">
        <v>32</v>
      </c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</row>
    <row r="363" spans="1:57" x14ac:dyDescent="0.25">
      <c r="A363" s="64" t="s">
        <v>549</v>
      </c>
      <c r="B363" s="64"/>
      <c r="C363" s="62"/>
      <c r="D363" s="68">
        <f>C321</f>
        <v>1</v>
      </c>
      <c r="E363" s="68">
        <f t="shared" ref="E363" si="1111">D321</f>
        <v>0</v>
      </c>
      <c r="F363" s="68">
        <f t="shared" ref="F363" si="1112">E321</f>
        <v>1</v>
      </c>
      <c r="G363" s="68">
        <f t="shared" ref="G363" si="1113">F321</f>
        <v>1</v>
      </c>
      <c r="H363" s="68">
        <f t="shared" ref="H363" si="1114">G321</f>
        <v>0</v>
      </c>
      <c r="I363" s="68">
        <f t="shared" ref="I363" si="1115">H321</f>
        <v>0</v>
      </c>
      <c r="J363" s="68">
        <f t="shared" ref="J363" si="1116">I321</f>
        <v>1</v>
      </c>
      <c r="K363" s="68">
        <f t="shared" ref="K363" si="1117">J321</f>
        <v>1</v>
      </c>
      <c r="L363" s="68">
        <f t="shared" ref="L363" si="1118">K321</f>
        <v>1</v>
      </c>
      <c r="M363" s="68">
        <f t="shared" ref="M363" si="1119">L321</f>
        <v>1</v>
      </c>
      <c r="N363" s="68">
        <f t="shared" ref="N363" si="1120">M321</f>
        <v>0</v>
      </c>
      <c r="O363" s="68">
        <f t="shared" ref="O363" si="1121">N321</f>
        <v>1</v>
      </c>
      <c r="P363" s="68">
        <f t="shared" ref="P363" si="1122">O321</f>
        <v>0</v>
      </c>
      <c r="Q363" s="68">
        <f t="shared" ref="Q363" si="1123">P321</f>
        <v>0</v>
      </c>
      <c r="R363" s="68">
        <f t="shared" ref="R363" si="1124">Q321</f>
        <v>1</v>
      </c>
      <c r="S363" s="68">
        <f t="shared" ref="S363" si="1125">R321</f>
        <v>1</v>
      </c>
      <c r="T363" s="68">
        <f t="shared" ref="T363" si="1126">S321</f>
        <v>1</v>
      </c>
      <c r="U363" s="68">
        <f t="shared" ref="U363" si="1127">T321</f>
        <v>0</v>
      </c>
      <c r="V363" s="68">
        <f t="shared" ref="V363" si="1128">U321</f>
        <v>0</v>
      </c>
      <c r="W363" s="68">
        <f t="shared" ref="W363" si="1129">V321</f>
        <v>1</v>
      </c>
      <c r="X363" s="68">
        <f t="shared" ref="X363" si="1130">W321</f>
        <v>1</v>
      </c>
      <c r="Y363" s="68">
        <f t="shared" ref="Y363" si="1131">X321</f>
        <v>1</v>
      </c>
      <c r="Z363" s="68">
        <f t="shared" ref="Z363" si="1132">Y321</f>
        <v>0</v>
      </c>
      <c r="AA363" s="68">
        <f t="shared" ref="AA363" si="1133">Z321</f>
        <v>1</v>
      </c>
      <c r="AB363" s="68">
        <f t="shared" ref="AB363" si="1134">AA321</f>
        <v>1</v>
      </c>
      <c r="AC363" s="68">
        <f t="shared" ref="AC363" si="1135">AB321</f>
        <v>0</v>
      </c>
      <c r="AD363" s="68">
        <f t="shared" ref="AD363" si="1136">AC321</f>
        <v>1</v>
      </c>
      <c r="AE363" s="68">
        <f t="shared" ref="AE363" si="1137">AD321</f>
        <v>0</v>
      </c>
      <c r="AF363" s="68">
        <f t="shared" ref="AF363" si="1138">AE321</f>
        <v>1</v>
      </c>
      <c r="AG363" s="68">
        <f t="shared" ref="AG363" si="1139">AF321</f>
        <v>0</v>
      </c>
      <c r="AH363" s="68">
        <f t="shared" ref="AH363" si="1140">AG321</f>
        <v>0</v>
      </c>
      <c r="AI363" s="68">
        <f t="shared" ref="AI363" si="1141">AH321</f>
        <v>0</v>
      </c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</row>
    <row r="364" spans="1:57" x14ac:dyDescent="0.25">
      <c r="A364" s="21"/>
      <c r="B364" s="64"/>
      <c r="C364" s="62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</row>
    <row r="365" spans="1:57" x14ac:dyDescent="0.25">
      <c r="A365" s="114" t="s">
        <v>558</v>
      </c>
      <c r="B365" s="114"/>
      <c r="C365" s="114"/>
      <c r="D365" s="70">
        <v>1</v>
      </c>
      <c r="E365" s="70">
        <v>2</v>
      </c>
      <c r="F365" s="70">
        <v>3</v>
      </c>
      <c r="G365" s="70">
        <v>4</v>
      </c>
      <c r="H365" s="70">
        <v>5</v>
      </c>
      <c r="I365" s="70">
        <v>6</v>
      </c>
      <c r="J365" s="70">
        <v>7</v>
      </c>
      <c r="K365" s="70">
        <v>8</v>
      </c>
      <c r="L365" s="70">
        <v>9</v>
      </c>
      <c r="M365" s="70">
        <v>10</v>
      </c>
      <c r="N365" s="70">
        <v>11</v>
      </c>
      <c r="O365" s="70">
        <v>12</v>
      </c>
      <c r="P365" s="70">
        <v>13</v>
      </c>
      <c r="Q365" s="70">
        <v>14</v>
      </c>
      <c r="R365" s="70">
        <v>15</v>
      </c>
      <c r="S365" s="70">
        <v>16</v>
      </c>
      <c r="T365" s="70">
        <v>17</v>
      </c>
      <c r="U365" s="70">
        <v>18</v>
      </c>
      <c r="V365" s="70">
        <v>19</v>
      </c>
      <c r="W365" s="70">
        <v>20</v>
      </c>
      <c r="X365" s="70">
        <v>21</v>
      </c>
      <c r="Y365" s="70">
        <v>22</v>
      </c>
      <c r="Z365" s="70">
        <v>23</v>
      </c>
      <c r="AA365" s="70">
        <v>24</v>
      </c>
      <c r="AB365" s="70">
        <v>25</v>
      </c>
      <c r="AC365" s="70">
        <v>26</v>
      </c>
      <c r="AD365" s="70">
        <v>27</v>
      </c>
      <c r="AE365" s="70">
        <v>28</v>
      </c>
      <c r="AF365" s="70">
        <v>29</v>
      </c>
      <c r="AG365" s="70">
        <v>30</v>
      </c>
      <c r="AH365" s="70">
        <v>31</v>
      </c>
      <c r="AI365" s="70">
        <v>32</v>
      </c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</row>
    <row r="366" spans="1:57" x14ac:dyDescent="0.25">
      <c r="A366" s="64" t="s">
        <v>551</v>
      </c>
      <c r="B366" s="64"/>
      <c r="C366" s="62"/>
      <c r="D366" s="70">
        <f>--_xlfn.XOR(C357,D314)</f>
        <v>1</v>
      </c>
      <c r="E366" s="70">
        <f t="shared" ref="E366:AI366" si="1142">--_xlfn.XOR(D357,E314)</f>
        <v>0</v>
      </c>
      <c r="F366" s="70">
        <f t="shared" si="1142"/>
        <v>0</v>
      </c>
      <c r="G366" s="70">
        <f t="shared" si="1142"/>
        <v>0</v>
      </c>
      <c r="H366" s="70">
        <f t="shared" si="1142"/>
        <v>0</v>
      </c>
      <c r="I366" s="70">
        <f t="shared" si="1142"/>
        <v>1</v>
      </c>
      <c r="J366" s="70">
        <f t="shared" si="1142"/>
        <v>1</v>
      </c>
      <c r="K366" s="70">
        <f t="shared" si="1142"/>
        <v>0</v>
      </c>
      <c r="L366" s="70">
        <f t="shared" si="1142"/>
        <v>0</v>
      </c>
      <c r="M366" s="70">
        <f t="shared" si="1142"/>
        <v>1</v>
      </c>
      <c r="N366" s="70">
        <f t="shared" si="1142"/>
        <v>1</v>
      </c>
      <c r="O366" s="70">
        <f t="shared" si="1142"/>
        <v>1</v>
      </c>
      <c r="P366" s="70">
        <f t="shared" si="1142"/>
        <v>1</v>
      </c>
      <c r="Q366" s="70">
        <f t="shared" si="1142"/>
        <v>1</v>
      </c>
      <c r="R366" s="70">
        <f t="shared" si="1142"/>
        <v>0</v>
      </c>
      <c r="S366" s="70">
        <f t="shared" si="1142"/>
        <v>1</v>
      </c>
      <c r="T366" s="70">
        <f t="shared" si="1142"/>
        <v>0</v>
      </c>
      <c r="U366" s="70">
        <f t="shared" si="1142"/>
        <v>1</v>
      </c>
      <c r="V366" s="70">
        <f t="shared" si="1142"/>
        <v>1</v>
      </c>
      <c r="W366" s="70">
        <f t="shared" si="1142"/>
        <v>0</v>
      </c>
      <c r="X366" s="70">
        <f t="shared" si="1142"/>
        <v>1</v>
      </c>
      <c r="Y366" s="70">
        <f t="shared" si="1142"/>
        <v>1</v>
      </c>
      <c r="Z366" s="70">
        <f t="shared" si="1142"/>
        <v>1</v>
      </c>
      <c r="AA366" s="70">
        <f t="shared" si="1142"/>
        <v>0</v>
      </c>
      <c r="AB366" s="70">
        <f t="shared" si="1142"/>
        <v>1</v>
      </c>
      <c r="AC366" s="70">
        <f t="shared" si="1142"/>
        <v>1</v>
      </c>
      <c r="AD366" s="70">
        <f t="shared" si="1142"/>
        <v>1</v>
      </c>
      <c r="AE366" s="70">
        <f t="shared" si="1142"/>
        <v>0</v>
      </c>
      <c r="AF366" s="70">
        <f t="shared" si="1142"/>
        <v>0</v>
      </c>
      <c r="AG366" s="70">
        <f t="shared" si="1142"/>
        <v>0</v>
      </c>
      <c r="AH366" s="70">
        <f t="shared" si="1142"/>
        <v>0</v>
      </c>
      <c r="AI366" s="70">
        <f t="shared" si="1142"/>
        <v>1</v>
      </c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</row>
    <row r="367" spans="1:57" x14ac:dyDescent="0.25">
      <c r="A367" s="132" t="s">
        <v>637</v>
      </c>
      <c r="B367" s="64"/>
      <c r="C367" s="62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</row>
    <row r="368" spans="1:57" x14ac:dyDescent="0.25">
      <c r="A368" s="132"/>
      <c r="B368" s="133"/>
      <c r="C368" s="134"/>
      <c r="D368" s="132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  <c r="Y368" s="132"/>
      <c r="Z368" s="132"/>
      <c r="AA368" s="132"/>
      <c r="AB368" s="132"/>
      <c r="AC368" s="132"/>
      <c r="AD368" s="132"/>
      <c r="AE368" s="132"/>
      <c r="AF368" s="132"/>
      <c r="AG368" s="132"/>
      <c r="AH368" s="132"/>
      <c r="AI368" s="132"/>
      <c r="AJ368" s="132"/>
      <c r="AK368" s="132"/>
      <c r="AL368" s="132"/>
      <c r="AM368" s="132"/>
      <c r="AN368" s="132"/>
      <c r="AO368" s="132"/>
      <c r="AP368" s="132"/>
      <c r="AQ368" s="132"/>
      <c r="AR368" s="132"/>
      <c r="AS368" s="132"/>
      <c r="AT368" s="132"/>
      <c r="AU368" s="132"/>
      <c r="AV368" s="132"/>
      <c r="AW368" s="132"/>
      <c r="AX368" s="132"/>
      <c r="AY368" s="132"/>
      <c r="AZ368" s="132"/>
      <c r="BA368" s="132"/>
      <c r="BB368" s="132"/>
      <c r="BC368" s="132"/>
      <c r="BD368" s="132"/>
      <c r="BE368" s="132"/>
    </row>
    <row r="369" spans="1:57" x14ac:dyDescent="0.25">
      <c r="A369" s="21"/>
      <c r="B369" s="21"/>
      <c r="C369" s="70">
        <v>1</v>
      </c>
      <c r="D369" s="70">
        <v>2</v>
      </c>
      <c r="E369" s="70">
        <v>3</v>
      </c>
      <c r="F369" s="70">
        <v>4</v>
      </c>
      <c r="G369" s="70">
        <v>5</v>
      </c>
      <c r="H369" s="70">
        <v>6</v>
      </c>
      <c r="I369" s="70">
        <v>7</v>
      </c>
      <c r="J369" s="70">
        <v>8</v>
      </c>
      <c r="K369" s="70">
        <v>9</v>
      </c>
      <c r="L369" s="70">
        <v>10</v>
      </c>
      <c r="M369" s="70">
        <v>11</v>
      </c>
      <c r="N369" s="70">
        <v>12</v>
      </c>
      <c r="O369" s="70">
        <v>13</v>
      </c>
      <c r="P369" s="70">
        <v>14</v>
      </c>
      <c r="Q369" s="70">
        <v>15</v>
      </c>
      <c r="R369" s="70">
        <v>16</v>
      </c>
      <c r="S369" s="70">
        <v>17</v>
      </c>
      <c r="T369" s="70">
        <v>18</v>
      </c>
      <c r="U369" s="70">
        <v>19</v>
      </c>
      <c r="V369" s="70">
        <v>20</v>
      </c>
      <c r="W369" s="70">
        <v>21</v>
      </c>
      <c r="X369" s="70">
        <v>22</v>
      </c>
      <c r="Y369" s="70">
        <v>23</v>
      </c>
      <c r="Z369" s="70">
        <v>24</v>
      </c>
      <c r="AA369" s="70">
        <v>25</v>
      </c>
      <c r="AB369" s="70">
        <v>26</v>
      </c>
      <c r="AC369" s="70">
        <v>27</v>
      </c>
      <c r="AD369" s="70">
        <v>28</v>
      </c>
      <c r="AE369" s="70">
        <v>29</v>
      </c>
      <c r="AF369" s="70">
        <v>30</v>
      </c>
      <c r="AG369" s="70">
        <v>31</v>
      </c>
      <c r="AH369" s="70">
        <v>32</v>
      </c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</row>
    <row r="370" spans="1:57" x14ac:dyDescent="0.25">
      <c r="A370" s="114" t="s">
        <v>558</v>
      </c>
      <c r="B370" s="114"/>
      <c r="C370" s="70">
        <f>D366</f>
        <v>1</v>
      </c>
      <c r="D370" s="70">
        <f t="shared" ref="D370" si="1143">E366</f>
        <v>0</v>
      </c>
      <c r="E370" s="70">
        <f t="shared" ref="E370" si="1144">F366</f>
        <v>0</v>
      </c>
      <c r="F370" s="70">
        <f t="shared" ref="F370" si="1145">G366</f>
        <v>0</v>
      </c>
      <c r="G370" s="70">
        <f t="shared" ref="G370" si="1146">H366</f>
        <v>0</v>
      </c>
      <c r="H370" s="70">
        <f t="shared" ref="H370" si="1147">I366</f>
        <v>1</v>
      </c>
      <c r="I370" s="70">
        <f t="shared" ref="I370" si="1148">J366</f>
        <v>1</v>
      </c>
      <c r="J370" s="70">
        <f t="shared" ref="J370" si="1149">K366</f>
        <v>0</v>
      </c>
      <c r="K370" s="70">
        <f t="shared" ref="K370" si="1150">L366</f>
        <v>0</v>
      </c>
      <c r="L370" s="70">
        <f t="shared" ref="L370" si="1151">M366</f>
        <v>1</v>
      </c>
      <c r="M370" s="70">
        <f t="shared" ref="M370" si="1152">N366</f>
        <v>1</v>
      </c>
      <c r="N370" s="70">
        <f t="shared" ref="N370" si="1153">O366</f>
        <v>1</v>
      </c>
      <c r="O370" s="70">
        <f t="shared" ref="O370" si="1154">P366</f>
        <v>1</v>
      </c>
      <c r="P370" s="70">
        <f t="shared" ref="P370" si="1155">Q366</f>
        <v>1</v>
      </c>
      <c r="Q370" s="70">
        <f t="shared" ref="Q370" si="1156">R366</f>
        <v>0</v>
      </c>
      <c r="R370" s="70">
        <f t="shared" ref="R370" si="1157">S366</f>
        <v>1</v>
      </c>
      <c r="S370" s="70">
        <f t="shared" ref="S370" si="1158">T366</f>
        <v>0</v>
      </c>
      <c r="T370" s="70">
        <f t="shared" ref="T370" si="1159">U366</f>
        <v>1</v>
      </c>
      <c r="U370" s="70">
        <f t="shared" ref="U370" si="1160">V366</f>
        <v>1</v>
      </c>
      <c r="V370" s="70">
        <f t="shared" ref="V370" si="1161">W366</f>
        <v>0</v>
      </c>
      <c r="W370" s="70">
        <f t="shared" ref="W370" si="1162">X366</f>
        <v>1</v>
      </c>
      <c r="X370" s="70">
        <f t="shared" ref="X370" si="1163">Y366</f>
        <v>1</v>
      </c>
      <c r="Y370" s="70">
        <f t="shared" ref="Y370" si="1164">Z366</f>
        <v>1</v>
      </c>
      <c r="Z370" s="70">
        <f t="shared" ref="Z370" si="1165">AA366</f>
        <v>0</v>
      </c>
      <c r="AA370" s="70">
        <f t="shared" ref="AA370" si="1166">AB366</f>
        <v>1</v>
      </c>
      <c r="AB370" s="70">
        <f t="shared" ref="AB370" si="1167">AC366</f>
        <v>1</v>
      </c>
      <c r="AC370" s="70">
        <f t="shared" ref="AC370" si="1168">AD366</f>
        <v>1</v>
      </c>
      <c r="AD370" s="70">
        <f t="shared" ref="AD370" si="1169">AE366</f>
        <v>0</v>
      </c>
      <c r="AE370" s="70">
        <f t="shared" ref="AE370" si="1170">AF366</f>
        <v>0</v>
      </c>
      <c r="AF370" s="70">
        <f t="shared" ref="AF370" si="1171">AG366</f>
        <v>0</v>
      </c>
      <c r="AG370" s="70">
        <f t="shared" ref="AG370" si="1172">AH366</f>
        <v>0</v>
      </c>
      <c r="AH370" s="70">
        <f t="shared" ref="AH370" si="1173">AI366</f>
        <v>1</v>
      </c>
      <c r="AI370" s="135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</row>
    <row r="371" spans="1:57" x14ac:dyDescent="0.25">
      <c r="A371" s="21"/>
      <c r="B371" s="64"/>
      <c r="C371" s="62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</row>
    <row r="372" spans="1:57" x14ac:dyDescent="0.25">
      <c r="A372" s="132"/>
      <c r="B372" s="133"/>
      <c r="C372" s="134"/>
      <c r="D372" s="132"/>
      <c r="E372" s="132"/>
      <c r="F372" s="132"/>
      <c r="G372" s="132"/>
      <c r="H372" s="132"/>
      <c r="I372" s="132"/>
      <c r="J372" s="132"/>
      <c r="K372" s="132"/>
      <c r="L372" s="132"/>
      <c r="M372" s="132"/>
      <c r="N372" s="132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  <c r="Y372" s="132"/>
      <c r="Z372" s="132"/>
      <c r="AA372" s="132"/>
      <c r="AB372" s="132"/>
      <c r="AC372" s="132"/>
      <c r="AD372" s="132"/>
      <c r="AE372" s="132"/>
      <c r="AF372" s="132"/>
      <c r="AG372" s="132"/>
      <c r="AH372" s="132"/>
      <c r="AI372" s="132"/>
      <c r="AJ372" s="132"/>
      <c r="AK372" s="132"/>
      <c r="AL372" s="132"/>
      <c r="AM372" s="132"/>
      <c r="AN372" s="132"/>
      <c r="AO372" s="132"/>
      <c r="AP372" s="132"/>
      <c r="AQ372" s="132"/>
      <c r="AR372" s="132"/>
      <c r="AS372" s="132"/>
      <c r="AT372" s="132"/>
      <c r="AU372" s="132"/>
      <c r="AV372" s="132"/>
      <c r="AW372" s="132"/>
      <c r="AX372" s="132"/>
      <c r="AY372" s="132"/>
      <c r="AZ372" s="21"/>
      <c r="BA372" s="21"/>
      <c r="BB372" s="21"/>
      <c r="BC372" s="21"/>
      <c r="BD372" s="21"/>
      <c r="BE372" s="21"/>
    </row>
    <row r="373" spans="1:57" x14ac:dyDescent="0.25">
      <c r="A373" s="21"/>
      <c r="B373" s="64"/>
      <c r="C373" s="62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</row>
    <row r="374" spans="1:57" x14ac:dyDescent="0.25">
      <c r="A374" s="118" t="s">
        <v>532</v>
      </c>
      <c r="B374" s="118"/>
      <c r="C374" s="75">
        <v>32</v>
      </c>
      <c r="D374" s="74">
        <v>1</v>
      </c>
      <c r="E374" s="74">
        <v>2</v>
      </c>
      <c r="F374" s="74">
        <v>3</v>
      </c>
      <c r="G374" s="74">
        <v>4</v>
      </c>
      <c r="H374" s="73">
        <v>5</v>
      </c>
      <c r="I374" s="122"/>
      <c r="J374" s="118">
        <f>AH370</f>
        <v>1</v>
      </c>
      <c r="K374" s="118">
        <f>C370</f>
        <v>1</v>
      </c>
      <c r="L374" s="118">
        <f>D370</f>
        <v>0</v>
      </c>
      <c r="M374" s="118">
        <f>E370</f>
        <v>0</v>
      </c>
      <c r="N374" s="69">
        <f>F370</f>
        <v>0</v>
      </c>
      <c r="O374" s="119">
        <f>G370</f>
        <v>0</v>
      </c>
      <c r="P374" s="122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</row>
    <row r="375" spans="1:57" x14ac:dyDescent="0.25">
      <c r="A375" s="21"/>
      <c r="B375" s="64"/>
      <c r="C375" s="75">
        <v>4</v>
      </c>
      <c r="D375" s="74">
        <v>5</v>
      </c>
      <c r="E375" s="74">
        <v>6</v>
      </c>
      <c r="F375" s="74">
        <v>7</v>
      </c>
      <c r="G375" s="74">
        <v>8</v>
      </c>
      <c r="H375" s="73">
        <v>9</v>
      </c>
      <c r="I375" s="122"/>
      <c r="J375" s="118">
        <f t="shared" ref="J375" si="1174">F370</f>
        <v>0</v>
      </c>
      <c r="K375" s="69">
        <f t="shared" ref="K375" si="1175">G370</f>
        <v>0</v>
      </c>
      <c r="L375" s="69">
        <f t="shared" ref="L375" si="1176">H370</f>
        <v>1</v>
      </c>
      <c r="M375" s="69">
        <f t="shared" ref="M375" si="1177">I370</f>
        <v>1</v>
      </c>
      <c r="N375" s="69">
        <f t="shared" ref="N375" si="1178">J370</f>
        <v>0</v>
      </c>
      <c r="O375" s="119">
        <f t="shared" ref="O375" si="1179">K370</f>
        <v>0</v>
      </c>
      <c r="P375" s="122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</row>
    <row r="376" spans="1:57" x14ac:dyDescent="0.25">
      <c r="A376" s="21"/>
      <c r="B376" s="64"/>
      <c r="C376" s="75">
        <v>8</v>
      </c>
      <c r="D376" s="74">
        <v>9</v>
      </c>
      <c r="E376" s="74">
        <v>10</v>
      </c>
      <c r="F376" s="74">
        <v>11</v>
      </c>
      <c r="G376" s="74">
        <v>12</v>
      </c>
      <c r="H376" s="73">
        <v>13</v>
      </c>
      <c r="I376" s="123"/>
      <c r="J376" s="120">
        <f t="shared" ref="J376:O376" si="1180">J370</f>
        <v>0</v>
      </c>
      <c r="K376" s="69">
        <f t="shared" si="1180"/>
        <v>0</v>
      </c>
      <c r="L376" s="69">
        <f t="shared" si="1180"/>
        <v>1</v>
      </c>
      <c r="M376" s="69">
        <f t="shared" si="1180"/>
        <v>1</v>
      </c>
      <c r="N376" s="69">
        <f t="shared" si="1180"/>
        <v>1</v>
      </c>
      <c r="O376" s="119">
        <f t="shared" si="1180"/>
        <v>1</v>
      </c>
      <c r="P376" s="123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</row>
    <row r="377" spans="1:57" x14ac:dyDescent="0.25">
      <c r="A377" s="21"/>
      <c r="B377" s="64"/>
      <c r="C377" s="75">
        <v>12</v>
      </c>
      <c r="D377" s="74">
        <v>13</v>
      </c>
      <c r="E377" s="74">
        <v>14</v>
      </c>
      <c r="F377" s="74">
        <v>15</v>
      </c>
      <c r="G377" s="74">
        <v>16</v>
      </c>
      <c r="H377" s="73">
        <v>17</v>
      </c>
      <c r="I377" s="122"/>
      <c r="J377" s="118">
        <f t="shared" ref="J377" si="1181">N370</f>
        <v>1</v>
      </c>
      <c r="K377" s="69">
        <f t="shared" ref="K377" si="1182">O370</f>
        <v>1</v>
      </c>
      <c r="L377" s="69">
        <f t="shared" ref="L377" si="1183">P370</f>
        <v>1</v>
      </c>
      <c r="M377" s="69">
        <f t="shared" ref="M377" si="1184">Q370</f>
        <v>0</v>
      </c>
      <c r="N377" s="69">
        <f t="shared" ref="N377" si="1185">R370</f>
        <v>1</v>
      </c>
      <c r="O377" s="119">
        <f t="shared" ref="O377" si="1186">S370</f>
        <v>0</v>
      </c>
      <c r="P377" s="122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</row>
    <row r="378" spans="1:57" x14ac:dyDescent="0.25">
      <c r="A378" s="21"/>
      <c r="B378" s="64"/>
      <c r="C378" s="75">
        <v>16</v>
      </c>
      <c r="D378" s="74">
        <v>17</v>
      </c>
      <c r="E378" s="74">
        <v>18</v>
      </c>
      <c r="F378" s="74">
        <v>19</v>
      </c>
      <c r="G378" s="74">
        <v>20</v>
      </c>
      <c r="H378" s="73">
        <v>21</v>
      </c>
      <c r="I378" s="122"/>
      <c r="J378" s="118">
        <f t="shared" ref="J378" si="1187">R370</f>
        <v>1</v>
      </c>
      <c r="K378" s="69">
        <f t="shared" ref="K378" si="1188">S370</f>
        <v>0</v>
      </c>
      <c r="L378" s="69">
        <f t="shared" ref="L378" si="1189">T370</f>
        <v>1</v>
      </c>
      <c r="M378" s="69">
        <f t="shared" ref="M378" si="1190">U370</f>
        <v>1</v>
      </c>
      <c r="N378" s="69">
        <f t="shared" ref="N378" si="1191">V370</f>
        <v>0</v>
      </c>
      <c r="O378" s="119">
        <f t="shared" ref="O378" si="1192">W370</f>
        <v>1</v>
      </c>
      <c r="P378" s="122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</row>
    <row r="379" spans="1:57" x14ac:dyDescent="0.25">
      <c r="A379" s="21"/>
      <c r="B379" s="64"/>
      <c r="C379" s="75">
        <v>20</v>
      </c>
      <c r="D379" s="74">
        <v>21</v>
      </c>
      <c r="E379" s="74">
        <v>22</v>
      </c>
      <c r="F379" s="74">
        <v>23</v>
      </c>
      <c r="G379" s="74">
        <v>24</v>
      </c>
      <c r="H379" s="73">
        <v>25</v>
      </c>
      <c r="I379" s="122"/>
      <c r="J379" s="118">
        <f t="shared" ref="J379" si="1193">V370</f>
        <v>0</v>
      </c>
      <c r="K379" s="69">
        <f t="shared" ref="K379" si="1194">W370</f>
        <v>1</v>
      </c>
      <c r="L379" s="69">
        <f t="shared" ref="L379" si="1195">X370</f>
        <v>1</v>
      </c>
      <c r="M379" s="69">
        <f t="shared" ref="M379" si="1196">Y370</f>
        <v>1</v>
      </c>
      <c r="N379" s="69">
        <f t="shared" ref="N379" si="1197">Z370</f>
        <v>0</v>
      </c>
      <c r="O379" s="119">
        <f t="shared" ref="O379" si="1198">AA370</f>
        <v>1</v>
      </c>
      <c r="P379" s="122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</row>
    <row r="380" spans="1:57" x14ac:dyDescent="0.25">
      <c r="A380" s="21"/>
      <c r="B380" s="64"/>
      <c r="C380" s="75">
        <v>24</v>
      </c>
      <c r="D380" s="74">
        <v>25</v>
      </c>
      <c r="E380" s="74">
        <v>26</v>
      </c>
      <c r="F380" s="74">
        <v>27</v>
      </c>
      <c r="G380" s="74">
        <v>28</v>
      </c>
      <c r="H380" s="73">
        <v>29</v>
      </c>
      <c r="I380" s="122"/>
      <c r="J380" s="118">
        <f t="shared" ref="J380" si="1199">Z370</f>
        <v>0</v>
      </c>
      <c r="K380" s="69">
        <f t="shared" ref="K380" si="1200">AA370</f>
        <v>1</v>
      </c>
      <c r="L380" s="69">
        <f t="shared" ref="L380" si="1201">AB370</f>
        <v>1</v>
      </c>
      <c r="M380" s="69">
        <f t="shared" ref="M380" si="1202">AC370</f>
        <v>1</v>
      </c>
      <c r="N380" s="69">
        <f t="shared" ref="N380" si="1203">AD370</f>
        <v>0</v>
      </c>
      <c r="O380" s="119">
        <f t="shared" ref="O380" si="1204">AE370</f>
        <v>0</v>
      </c>
      <c r="P380" s="122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</row>
    <row r="381" spans="1:57" x14ac:dyDescent="0.25">
      <c r="A381" s="21"/>
      <c r="B381" s="64"/>
      <c r="C381" s="75">
        <v>28</v>
      </c>
      <c r="D381" s="74">
        <v>29</v>
      </c>
      <c r="E381" s="74">
        <v>30</v>
      </c>
      <c r="F381" s="74">
        <v>31</v>
      </c>
      <c r="G381" s="74">
        <v>32</v>
      </c>
      <c r="H381" s="73">
        <v>1</v>
      </c>
      <c r="I381" s="122"/>
      <c r="J381" s="70">
        <f>AD370</f>
        <v>0</v>
      </c>
      <c r="K381" s="71">
        <f>AE370</f>
        <v>0</v>
      </c>
      <c r="L381" s="71">
        <f>AF370</f>
        <v>0</v>
      </c>
      <c r="M381" s="71">
        <f>AG370</f>
        <v>0</v>
      </c>
      <c r="N381" s="71">
        <f>AH370</f>
        <v>1</v>
      </c>
      <c r="O381" s="121">
        <f>C370</f>
        <v>1</v>
      </c>
      <c r="P381" s="122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</row>
    <row r="382" spans="1:57" x14ac:dyDescent="0.25">
      <c r="A382" s="21"/>
      <c r="B382" s="64"/>
      <c r="C382" s="62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</row>
    <row r="383" spans="1:57" x14ac:dyDescent="0.25">
      <c r="A383" s="21"/>
      <c r="B383" s="64"/>
      <c r="C383" s="62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</row>
    <row r="384" spans="1:57" x14ac:dyDescent="0.25">
      <c r="A384" s="124" t="s">
        <v>533</v>
      </c>
      <c r="B384" s="124"/>
      <c r="C384" s="125">
        <v>1</v>
      </c>
      <c r="D384" s="126">
        <v>2</v>
      </c>
      <c r="E384" s="125">
        <v>3</v>
      </c>
      <c r="F384" s="126">
        <v>4</v>
      </c>
      <c r="G384" s="125">
        <v>5</v>
      </c>
      <c r="H384" s="126">
        <v>6</v>
      </c>
      <c r="I384" s="125">
        <v>7</v>
      </c>
      <c r="J384" s="126">
        <v>8</v>
      </c>
      <c r="K384" s="125">
        <v>9</v>
      </c>
      <c r="L384" s="126">
        <v>10</v>
      </c>
      <c r="M384" s="125">
        <v>11</v>
      </c>
      <c r="N384" s="126">
        <v>12</v>
      </c>
      <c r="O384" s="125">
        <v>13</v>
      </c>
      <c r="P384" s="126">
        <v>14</v>
      </c>
      <c r="Q384" s="125">
        <v>15</v>
      </c>
      <c r="R384" s="126">
        <v>16</v>
      </c>
      <c r="S384" s="125">
        <v>17</v>
      </c>
      <c r="T384" s="126">
        <v>18</v>
      </c>
      <c r="U384" s="125">
        <v>19</v>
      </c>
      <c r="V384" s="126">
        <v>20</v>
      </c>
      <c r="W384" s="125">
        <v>21</v>
      </c>
      <c r="X384" s="126">
        <v>22</v>
      </c>
      <c r="Y384" s="125">
        <v>23</v>
      </c>
      <c r="Z384" s="126">
        <v>24</v>
      </c>
      <c r="AA384" s="125">
        <v>25</v>
      </c>
      <c r="AB384" s="126">
        <v>26</v>
      </c>
      <c r="AC384" s="125">
        <v>27</v>
      </c>
      <c r="AD384" s="126">
        <v>28</v>
      </c>
      <c r="AE384" s="125">
        <v>29</v>
      </c>
      <c r="AF384" s="126">
        <v>30</v>
      </c>
      <c r="AG384" s="125">
        <v>31</v>
      </c>
      <c r="AH384" s="126">
        <v>32</v>
      </c>
      <c r="AI384" s="125">
        <v>33</v>
      </c>
      <c r="AJ384" s="126">
        <v>34</v>
      </c>
      <c r="AK384" s="125">
        <v>35</v>
      </c>
      <c r="AL384" s="126">
        <v>36</v>
      </c>
      <c r="AM384" s="125">
        <v>37</v>
      </c>
      <c r="AN384" s="126">
        <v>38</v>
      </c>
      <c r="AO384" s="125">
        <v>39</v>
      </c>
      <c r="AP384" s="126">
        <v>40</v>
      </c>
      <c r="AQ384" s="125">
        <v>41</v>
      </c>
      <c r="AR384" s="126">
        <v>42</v>
      </c>
      <c r="AS384" s="125">
        <v>43</v>
      </c>
      <c r="AT384" s="126">
        <v>44</v>
      </c>
      <c r="AU384" s="125">
        <v>45</v>
      </c>
      <c r="AV384" s="126">
        <v>46</v>
      </c>
      <c r="AW384" s="125">
        <v>47</v>
      </c>
      <c r="AX384" s="126">
        <v>48</v>
      </c>
      <c r="AY384" s="21"/>
      <c r="AZ384" s="21"/>
      <c r="BA384" s="21"/>
      <c r="BB384" s="21"/>
      <c r="BC384" s="21"/>
      <c r="BD384" s="21"/>
      <c r="BE384" s="21"/>
    </row>
    <row r="385" spans="1:57" x14ac:dyDescent="0.25">
      <c r="A385" s="21"/>
      <c r="B385" s="64"/>
      <c r="C385" s="125">
        <f t="shared" ref="C385" si="1205">J374</f>
        <v>1</v>
      </c>
      <c r="D385" s="125">
        <f t="shared" ref="D385" si="1206">K374</f>
        <v>1</v>
      </c>
      <c r="E385" s="125">
        <f t="shared" ref="E385" si="1207">L374</f>
        <v>0</v>
      </c>
      <c r="F385" s="125">
        <f t="shared" ref="F385" si="1208">M374</f>
        <v>0</v>
      </c>
      <c r="G385" s="126">
        <f t="shared" ref="G385" si="1209">N374</f>
        <v>0</v>
      </c>
      <c r="H385" s="126">
        <f t="shared" ref="H385" si="1210">O374</f>
        <v>0</v>
      </c>
      <c r="I385" s="125">
        <f t="shared" ref="I385" si="1211">J375</f>
        <v>0</v>
      </c>
      <c r="J385" s="125">
        <f t="shared" ref="J385" si="1212">K375</f>
        <v>0</v>
      </c>
      <c r="K385" s="125">
        <f t="shared" ref="K385" si="1213">L375</f>
        <v>1</v>
      </c>
      <c r="L385" s="125">
        <f t="shared" ref="L385" si="1214">M375</f>
        <v>1</v>
      </c>
      <c r="M385" s="125">
        <f t="shared" ref="M385" si="1215">N375</f>
        <v>0</v>
      </c>
      <c r="N385" s="125">
        <f t="shared" ref="N385" si="1216">O375</f>
        <v>0</v>
      </c>
      <c r="O385" s="126">
        <f t="shared" ref="O385" si="1217">J376</f>
        <v>0</v>
      </c>
      <c r="P385" s="126">
        <f t="shared" ref="P385" si="1218">K376</f>
        <v>0</v>
      </c>
      <c r="Q385" s="126">
        <f t="shared" ref="Q385" si="1219">L376</f>
        <v>1</v>
      </c>
      <c r="R385" s="126">
        <f t="shared" ref="R385" si="1220">M376</f>
        <v>1</v>
      </c>
      <c r="S385" s="126">
        <f t="shared" ref="S385" si="1221">N376</f>
        <v>1</v>
      </c>
      <c r="T385" s="126">
        <f t="shared" ref="T385" si="1222">O376</f>
        <v>1</v>
      </c>
      <c r="U385" s="125">
        <f t="shared" ref="U385" si="1223">J377</f>
        <v>1</v>
      </c>
      <c r="V385" s="126">
        <f t="shared" ref="V385" si="1224">K377</f>
        <v>1</v>
      </c>
      <c r="W385" s="125">
        <f t="shared" ref="W385" si="1225">L377</f>
        <v>1</v>
      </c>
      <c r="X385" s="126">
        <f t="shared" ref="X385" si="1226">M377</f>
        <v>0</v>
      </c>
      <c r="Y385" s="125">
        <f t="shared" ref="Y385" si="1227">N377</f>
        <v>1</v>
      </c>
      <c r="Z385" s="126">
        <f t="shared" ref="Z385" si="1228">O377</f>
        <v>0</v>
      </c>
      <c r="AA385" s="125">
        <f t="shared" ref="AA385" si="1229">J378</f>
        <v>1</v>
      </c>
      <c r="AB385" s="126">
        <f t="shared" ref="AB385" si="1230">K378</f>
        <v>0</v>
      </c>
      <c r="AC385" s="125">
        <f>L378</f>
        <v>1</v>
      </c>
      <c r="AD385" s="126">
        <f t="shared" ref="AD385" si="1231">M378</f>
        <v>1</v>
      </c>
      <c r="AE385" s="125">
        <f t="shared" ref="AE385" si="1232">N378</f>
        <v>0</v>
      </c>
      <c r="AF385" s="126">
        <f t="shared" ref="AF385" si="1233">O378</f>
        <v>1</v>
      </c>
      <c r="AG385" s="125">
        <f t="shared" ref="AG385" si="1234">J379</f>
        <v>0</v>
      </c>
      <c r="AH385" s="126">
        <f t="shared" ref="AH385" si="1235">K379</f>
        <v>1</v>
      </c>
      <c r="AI385" s="125">
        <f t="shared" ref="AI385" si="1236">L379</f>
        <v>1</v>
      </c>
      <c r="AJ385" s="126">
        <f t="shared" ref="AJ385" si="1237">M379</f>
        <v>1</v>
      </c>
      <c r="AK385" s="125">
        <f t="shared" ref="AK385" si="1238">N379</f>
        <v>0</v>
      </c>
      <c r="AL385" s="126">
        <f t="shared" ref="AL385" si="1239">O379</f>
        <v>1</v>
      </c>
      <c r="AM385" s="125">
        <f t="shared" ref="AM385" si="1240">J380</f>
        <v>0</v>
      </c>
      <c r="AN385" s="126">
        <f t="shared" ref="AN385" si="1241">K380</f>
        <v>1</v>
      </c>
      <c r="AO385" s="125">
        <f t="shared" ref="AO385" si="1242">L380</f>
        <v>1</v>
      </c>
      <c r="AP385" s="126">
        <f t="shared" ref="AP385" si="1243">M380</f>
        <v>1</v>
      </c>
      <c r="AQ385" s="125">
        <f t="shared" ref="AQ385" si="1244">N380</f>
        <v>0</v>
      </c>
      <c r="AR385" s="126">
        <f t="shared" ref="AR385" si="1245">O380</f>
        <v>0</v>
      </c>
      <c r="AS385" s="125">
        <f t="shared" ref="AS385" si="1246">J381</f>
        <v>0</v>
      </c>
      <c r="AT385" s="126">
        <f t="shared" ref="AT385" si="1247">K381</f>
        <v>0</v>
      </c>
      <c r="AU385" s="125">
        <f t="shared" ref="AU385" si="1248">L381</f>
        <v>0</v>
      </c>
      <c r="AV385" s="126">
        <f t="shared" ref="AV385" si="1249">M381</f>
        <v>0</v>
      </c>
      <c r="AW385" s="125">
        <f t="shared" ref="AW385" si="1250">N381</f>
        <v>1</v>
      </c>
      <c r="AX385" s="126">
        <f t="shared" ref="AX385" si="1251">O381</f>
        <v>1</v>
      </c>
      <c r="AY385" s="21"/>
      <c r="AZ385" s="21"/>
      <c r="BA385" s="21"/>
      <c r="BB385" s="21"/>
      <c r="BC385" s="21"/>
      <c r="BD385" s="21"/>
      <c r="BE385" s="21"/>
    </row>
    <row r="386" spans="1:57" x14ac:dyDescent="0.25">
      <c r="A386" s="21"/>
      <c r="B386" s="64"/>
      <c r="C386" s="62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</row>
    <row r="387" spans="1:57" x14ac:dyDescent="0.25">
      <c r="A387" s="21"/>
      <c r="B387" s="64"/>
      <c r="C387" s="62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</row>
    <row r="388" spans="1:57" x14ac:dyDescent="0.25">
      <c r="A388" s="127" t="s">
        <v>610</v>
      </c>
      <c r="B388" s="127"/>
      <c r="C388" s="77">
        <f>'Key Generator'!D339</f>
        <v>1</v>
      </c>
      <c r="D388" s="77">
        <f>'Key Generator'!E339</f>
        <v>2</v>
      </c>
      <c r="E388" s="77">
        <f>'Key Generator'!F339</f>
        <v>3</v>
      </c>
      <c r="F388" s="77">
        <f>'Key Generator'!G339</f>
        <v>4</v>
      </c>
      <c r="G388" s="77">
        <f>'Key Generator'!H339</f>
        <v>5</v>
      </c>
      <c r="H388" s="77">
        <f>'Key Generator'!I339</f>
        <v>6</v>
      </c>
      <c r="I388" s="77">
        <f>'Key Generator'!J339</f>
        <v>7</v>
      </c>
      <c r="J388" s="77">
        <f>'Key Generator'!K339</f>
        <v>8</v>
      </c>
      <c r="K388" s="77">
        <f>'Key Generator'!L339</f>
        <v>9</v>
      </c>
      <c r="L388" s="77">
        <f>'Key Generator'!M339</f>
        <v>10</v>
      </c>
      <c r="M388" s="77">
        <f>'Key Generator'!N339</f>
        <v>11</v>
      </c>
      <c r="N388" s="77">
        <f>'Key Generator'!O339</f>
        <v>12</v>
      </c>
      <c r="O388" s="77">
        <f>'Key Generator'!P339</f>
        <v>13</v>
      </c>
      <c r="P388" s="77">
        <f>'Key Generator'!Q339</f>
        <v>14</v>
      </c>
      <c r="Q388" s="77">
        <f>'Key Generator'!R339</f>
        <v>15</v>
      </c>
      <c r="R388" s="77">
        <f>'Key Generator'!S339</f>
        <v>16</v>
      </c>
      <c r="S388" s="77">
        <f>'Key Generator'!T339</f>
        <v>17</v>
      </c>
      <c r="T388" s="77">
        <f>'Key Generator'!U339</f>
        <v>18</v>
      </c>
      <c r="U388" s="77">
        <f>'Key Generator'!V339</f>
        <v>19</v>
      </c>
      <c r="V388" s="77">
        <f>'Key Generator'!W339</f>
        <v>20</v>
      </c>
      <c r="W388" s="77">
        <f>'Key Generator'!X339</f>
        <v>21</v>
      </c>
      <c r="X388" s="77">
        <f>'Key Generator'!Y339</f>
        <v>22</v>
      </c>
      <c r="Y388" s="77">
        <f>'Key Generator'!Z339</f>
        <v>23</v>
      </c>
      <c r="Z388" s="77">
        <f>'Key Generator'!AA339</f>
        <v>24</v>
      </c>
      <c r="AA388" s="77">
        <f>'Key Generator'!AB339</f>
        <v>25</v>
      </c>
      <c r="AB388" s="77">
        <f>'Key Generator'!AC339</f>
        <v>26</v>
      </c>
      <c r="AC388" s="77">
        <f>'Key Generator'!AD339</f>
        <v>27</v>
      </c>
      <c r="AD388" s="77">
        <f>'Key Generator'!AE339</f>
        <v>28</v>
      </c>
      <c r="AE388" s="77">
        <f>'Key Generator'!AF339</f>
        <v>29</v>
      </c>
      <c r="AF388" s="77">
        <f>'Key Generator'!AG339</f>
        <v>30</v>
      </c>
      <c r="AG388" s="77">
        <f>'Key Generator'!AH339</f>
        <v>31</v>
      </c>
      <c r="AH388" s="77">
        <f>'Key Generator'!AI339</f>
        <v>32</v>
      </c>
      <c r="AI388" s="77">
        <f>'Key Generator'!AJ339</f>
        <v>33</v>
      </c>
      <c r="AJ388" s="77">
        <f>'Key Generator'!AK339</f>
        <v>34</v>
      </c>
      <c r="AK388" s="77">
        <f>'Key Generator'!AL339</f>
        <v>35</v>
      </c>
      <c r="AL388" s="77">
        <f>'Key Generator'!AM339</f>
        <v>36</v>
      </c>
      <c r="AM388" s="77">
        <f>'Key Generator'!AN339</f>
        <v>37</v>
      </c>
      <c r="AN388" s="77">
        <f>'Key Generator'!AO339</f>
        <v>38</v>
      </c>
      <c r="AO388" s="77">
        <f>'Key Generator'!AP339</f>
        <v>39</v>
      </c>
      <c r="AP388" s="77">
        <f>'Key Generator'!AQ339</f>
        <v>40</v>
      </c>
      <c r="AQ388" s="77">
        <f>'Key Generator'!AR339</f>
        <v>41</v>
      </c>
      <c r="AR388" s="77">
        <f>'Key Generator'!AS339</f>
        <v>42</v>
      </c>
      <c r="AS388" s="77">
        <f>'Key Generator'!AT339</f>
        <v>43</v>
      </c>
      <c r="AT388" s="77">
        <f>'Key Generator'!AU339</f>
        <v>44</v>
      </c>
      <c r="AU388" s="77">
        <f>'Key Generator'!AV339</f>
        <v>45</v>
      </c>
      <c r="AV388" s="77">
        <f>'Key Generator'!AW339</f>
        <v>46</v>
      </c>
      <c r="AW388" s="77">
        <f>'Key Generator'!AX339</f>
        <v>47</v>
      </c>
      <c r="AX388" s="77">
        <f>'Key Generator'!AY339</f>
        <v>48</v>
      </c>
      <c r="AY388" s="21"/>
      <c r="AZ388" s="21"/>
      <c r="BA388" s="21"/>
      <c r="BB388" s="21"/>
      <c r="BC388" s="21"/>
      <c r="BD388" s="21"/>
      <c r="BE388" s="21"/>
    </row>
    <row r="389" spans="1:57" x14ac:dyDescent="0.25">
      <c r="A389" s="21"/>
      <c r="B389" s="64"/>
      <c r="C389" s="77">
        <f>'Key Generator'!D340</f>
        <v>0</v>
      </c>
      <c r="D389" s="77">
        <f>'Key Generator'!E340</f>
        <v>0</v>
      </c>
      <c r="E389" s="77">
        <f>'Key Generator'!F340</f>
        <v>0</v>
      </c>
      <c r="F389" s="77">
        <f>'Key Generator'!G340</f>
        <v>1</v>
      </c>
      <c r="G389" s="77">
        <f>'Key Generator'!H340</f>
        <v>0</v>
      </c>
      <c r="H389" s="77">
        <f>'Key Generator'!I340</f>
        <v>1</v>
      </c>
      <c r="I389" s="77">
        <f>'Key Generator'!J340</f>
        <v>0</v>
      </c>
      <c r="J389" s="77">
        <f>'Key Generator'!K340</f>
        <v>0</v>
      </c>
      <c r="K389" s="77">
        <f>'Key Generator'!L340</f>
        <v>0</v>
      </c>
      <c r="L389" s="77">
        <f>'Key Generator'!M340</f>
        <v>0</v>
      </c>
      <c r="M389" s="77">
        <f>'Key Generator'!N340</f>
        <v>1</v>
      </c>
      <c r="N389" s="77">
        <f>'Key Generator'!O340</f>
        <v>0</v>
      </c>
      <c r="O389" s="77">
        <f>'Key Generator'!P340</f>
        <v>1</v>
      </c>
      <c r="P389" s="77">
        <f>'Key Generator'!Q340</f>
        <v>1</v>
      </c>
      <c r="Q389" s="77">
        <f>'Key Generator'!R340</f>
        <v>0</v>
      </c>
      <c r="R389" s="77">
        <f>'Key Generator'!S340</f>
        <v>0</v>
      </c>
      <c r="S389" s="77">
        <f>'Key Generator'!T340</f>
        <v>0</v>
      </c>
      <c r="T389" s="77">
        <f>'Key Generator'!U340</f>
        <v>0</v>
      </c>
      <c r="U389" s="77">
        <f>'Key Generator'!V340</f>
        <v>0</v>
      </c>
      <c r="V389" s="77">
        <f>'Key Generator'!W340</f>
        <v>0</v>
      </c>
      <c r="W389" s="77">
        <f>'Key Generator'!X340</f>
        <v>0</v>
      </c>
      <c r="X389" s="77">
        <f>'Key Generator'!Y340</f>
        <v>1</v>
      </c>
      <c r="Y389" s="77">
        <f>'Key Generator'!Z340</f>
        <v>1</v>
      </c>
      <c r="Z389" s="77">
        <f>'Key Generator'!AA340</f>
        <v>0</v>
      </c>
      <c r="AA389" s="77">
        <f>'Key Generator'!AB340</f>
        <v>1</v>
      </c>
      <c r="AB389" s="77">
        <f>'Key Generator'!AC340</f>
        <v>0</v>
      </c>
      <c r="AC389" s="77">
        <f>'Key Generator'!AD340</f>
        <v>0</v>
      </c>
      <c r="AD389" s="77">
        <f>'Key Generator'!AE340</f>
        <v>1</v>
      </c>
      <c r="AE389" s="77">
        <f>'Key Generator'!AF340</f>
        <v>1</v>
      </c>
      <c r="AF389" s="77">
        <f>'Key Generator'!AG340</f>
        <v>0</v>
      </c>
      <c r="AG389" s="77">
        <f>'Key Generator'!AH340</f>
        <v>1</v>
      </c>
      <c r="AH389" s="77">
        <f>'Key Generator'!AI340</f>
        <v>0</v>
      </c>
      <c r="AI389" s="77">
        <f>'Key Generator'!AJ340</f>
        <v>1</v>
      </c>
      <c r="AJ389" s="77">
        <f>'Key Generator'!AK340</f>
        <v>1</v>
      </c>
      <c r="AK389" s="77">
        <f>'Key Generator'!AL340</f>
        <v>0</v>
      </c>
      <c r="AL389" s="77">
        <f>'Key Generator'!AM340</f>
        <v>0</v>
      </c>
      <c r="AM389" s="77">
        <f>'Key Generator'!AN340</f>
        <v>1</v>
      </c>
      <c r="AN389" s="77">
        <f>'Key Generator'!AO340</f>
        <v>0</v>
      </c>
      <c r="AO389" s="77">
        <f>'Key Generator'!AP340</f>
        <v>1</v>
      </c>
      <c r="AP389" s="77">
        <f>'Key Generator'!AQ340</f>
        <v>0</v>
      </c>
      <c r="AQ389" s="77">
        <f>'Key Generator'!AR340</f>
        <v>0</v>
      </c>
      <c r="AR389" s="77">
        <f>'Key Generator'!AS340</f>
        <v>1</v>
      </c>
      <c r="AS389" s="77">
        <f>'Key Generator'!AT340</f>
        <v>0</v>
      </c>
      <c r="AT389" s="77">
        <f>'Key Generator'!AU340</f>
        <v>1</v>
      </c>
      <c r="AU389" s="77">
        <f>'Key Generator'!AV340</f>
        <v>1</v>
      </c>
      <c r="AV389" s="77">
        <f>'Key Generator'!AW340</f>
        <v>0</v>
      </c>
      <c r="AW389" s="77">
        <f>'Key Generator'!AX340</f>
        <v>1</v>
      </c>
      <c r="AX389" s="77">
        <f>'Key Generator'!AY340</f>
        <v>1</v>
      </c>
      <c r="AY389" s="21"/>
      <c r="AZ389" s="21"/>
      <c r="BA389" s="21"/>
      <c r="BB389" s="21"/>
      <c r="BC389" s="21"/>
      <c r="BD389" s="21"/>
      <c r="BE389" s="21"/>
    </row>
    <row r="390" spans="1:57" x14ac:dyDescent="0.25">
      <c r="A390" s="21"/>
      <c r="B390" s="64"/>
      <c r="C390" s="62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</row>
    <row r="391" spans="1:57" x14ac:dyDescent="0.25">
      <c r="A391" s="21"/>
      <c r="B391" s="64"/>
      <c r="C391" s="62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</row>
    <row r="392" spans="1:57" x14ac:dyDescent="0.25">
      <c r="A392" s="128" t="s">
        <v>535</v>
      </c>
      <c r="B392" s="129"/>
      <c r="C392" s="79">
        <v>1</v>
      </c>
      <c r="D392" s="80">
        <v>2</v>
      </c>
      <c r="E392" s="79">
        <v>3</v>
      </c>
      <c r="F392" s="80">
        <v>4</v>
      </c>
      <c r="G392" s="79">
        <v>5</v>
      </c>
      <c r="H392" s="80">
        <v>6</v>
      </c>
      <c r="I392" s="79">
        <v>7</v>
      </c>
      <c r="J392" s="80">
        <v>8</v>
      </c>
      <c r="K392" s="79">
        <v>9</v>
      </c>
      <c r="L392" s="80">
        <v>10</v>
      </c>
      <c r="M392" s="79">
        <v>11</v>
      </c>
      <c r="N392" s="80">
        <v>12</v>
      </c>
      <c r="O392" s="79">
        <v>13</v>
      </c>
      <c r="P392" s="80">
        <v>14</v>
      </c>
      <c r="Q392" s="79">
        <v>15</v>
      </c>
      <c r="R392" s="80">
        <v>16</v>
      </c>
      <c r="S392" s="79">
        <v>17</v>
      </c>
      <c r="T392" s="80">
        <v>18</v>
      </c>
      <c r="U392" s="79">
        <v>19</v>
      </c>
      <c r="V392" s="80">
        <v>20</v>
      </c>
      <c r="W392" s="79">
        <v>21</v>
      </c>
      <c r="X392" s="80">
        <v>22</v>
      </c>
      <c r="Y392" s="79">
        <v>23</v>
      </c>
      <c r="Z392" s="80">
        <v>24</v>
      </c>
      <c r="AA392" s="79">
        <v>25</v>
      </c>
      <c r="AB392" s="80">
        <v>26</v>
      </c>
      <c r="AC392" s="79">
        <v>27</v>
      </c>
      <c r="AD392" s="80">
        <v>28</v>
      </c>
      <c r="AE392" s="79">
        <v>29</v>
      </c>
      <c r="AF392" s="80">
        <v>30</v>
      </c>
      <c r="AG392" s="79">
        <v>31</v>
      </c>
      <c r="AH392" s="80">
        <v>32</v>
      </c>
      <c r="AI392" s="79">
        <v>33</v>
      </c>
      <c r="AJ392" s="80">
        <v>34</v>
      </c>
      <c r="AK392" s="79">
        <v>35</v>
      </c>
      <c r="AL392" s="80">
        <v>36</v>
      </c>
      <c r="AM392" s="79">
        <v>37</v>
      </c>
      <c r="AN392" s="80">
        <v>38</v>
      </c>
      <c r="AO392" s="79">
        <v>39</v>
      </c>
      <c r="AP392" s="80">
        <v>40</v>
      </c>
      <c r="AQ392" s="79">
        <v>41</v>
      </c>
      <c r="AR392" s="80">
        <v>42</v>
      </c>
      <c r="AS392" s="79">
        <v>43</v>
      </c>
      <c r="AT392" s="80">
        <v>44</v>
      </c>
      <c r="AU392" s="79">
        <v>45</v>
      </c>
      <c r="AV392" s="80">
        <v>46</v>
      </c>
      <c r="AW392" s="79">
        <v>47</v>
      </c>
      <c r="AX392" s="80">
        <v>48</v>
      </c>
      <c r="AY392" s="21"/>
      <c r="AZ392" s="21"/>
      <c r="BA392" s="21"/>
      <c r="BB392" s="21"/>
      <c r="BC392" s="21"/>
      <c r="BD392" s="21"/>
      <c r="BE392" s="21"/>
    </row>
    <row r="393" spans="1:57" x14ac:dyDescent="0.25">
      <c r="A393" s="21"/>
      <c r="B393" s="64"/>
      <c r="C393" s="88">
        <f>--_xlfn.XOR(C385,'Key Generator'!D340)</f>
        <v>1</v>
      </c>
      <c r="D393" s="88">
        <f>--_xlfn.XOR(D385,'Key Generator'!E340)</f>
        <v>1</v>
      </c>
      <c r="E393" s="88">
        <f>--_xlfn.XOR(E385,'Key Generator'!F340)</f>
        <v>0</v>
      </c>
      <c r="F393" s="88">
        <f>--_xlfn.XOR(F385,'Key Generator'!G340)</f>
        <v>1</v>
      </c>
      <c r="G393" s="88">
        <f>--_xlfn.XOR(G385,'Key Generator'!H340)</f>
        <v>0</v>
      </c>
      <c r="H393" s="88">
        <f>--_xlfn.XOR(H385,'Key Generator'!I340)</f>
        <v>1</v>
      </c>
      <c r="I393" s="87">
        <f>--_xlfn.XOR(I385,'Key Generator'!J340)</f>
        <v>0</v>
      </c>
      <c r="J393" s="87">
        <f>--_xlfn.XOR(J385,'Key Generator'!K340)</f>
        <v>0</v>
      </c>
      <c r="K393" s="87">
        <f>--_xlfn.XOR(K385,'Key Generator'!L340)</f>
        <v>1</v>
      </c>
      <c r="L393" s="87">
        <f>--_xlfn.XOR(L385,'Key Generator'!M340)</f>
        <v>1</v>
      </c>
      <c r="M393" s="87">
        <f>--_xlfn.XOR(M385,'Key Generator'!N340)</f>
        <v>1</v>
      </c>
      <c r="N393" s="87">
        <f>--_xlfn.XOR(N385,'Key Generator'!O340)</f>
        <v>0</v>
      </c>
      <c r="O393" s="89">
        <f>--_xlfn.XOR(O385,'Key Generator'!P340)</f>
        <v>1</v>
      </c>
      <c r="P393" s="89">
        <f>--_xlfn.XOR(P385,'Key Generator'!Q340)</f>
        <v>1</v>
      </c>
      <c r="Q393" s="89">
        <f>--_xlfn.XOR(Q385,'Key Generator'!R340)</f>
        <v>1</v>
      </c>
      <c r="R393" s="89">
        <f>--_xlfn.XOR(R385,'Key Generator'!S340)</f>
        <v>1</v>
      </c>
      <c r="S393" s="89">
        <f>--_xlfn.XOR(S385,'Key Generator'!T340)</f>
        <v>1</v>
      </c>
      <c r="T393" s="89">
        <f>--_xlfn.XOR(T385,'Key Generator'!U340)</f>
        <v>1</v>
      </c>
      <c r="U393" s="149">
        <f>--_xlfn.XOR(U385,'Key Generator'!V340)</f>
        <v>1</v>
      </c>
      <c r="V393" s="149">
        <f>--_xlfn.XOR(V385,'Key Generator'!W340)</f>
        <v>1</v>
      </c>
      <c r="W393" s="149">
        <f>--_xlfn.XOR(W385,'Key Generator'!X340)</f>
        <v>1</v>
      </c>
      <c r="X393" s="149">
        <f>--_xlfn.XOR(X385,'Key Generator'!Y340)</f>
        <v>1</v>
      </c>
      <c r="Y393" s="149">
        <f>--_xlfn.XOR(Y385,'Key Generator'!Z340)</f>
        <v>0</v>
      </c>
      <c r="Z393" s="149">
        <f>--_xlfn.XOR(Z385,'Key Generator'!AA340)</f>
        <v>0</v>
      </c>
      <c r="AA393" s="91">
        <f>--_xlfn.XOR(AA385,'Key Generator'!AB340)</f>
        <v>0</v>
      </c>
      <c r="AB393" s="91">
        <f>--_xlfn.XOR(AB385,'Key Generator'!AC340)</f>
        <v>0</v>
      </c>
      <c r="AC393" s="91">
        <f>--_xlfn.XOR(AC385,'Key Generator'!AD340)</f>
        <v>1</v>
      </c>
      <c r="AD393" s="91">
        <f>--_xlfn.XOR(AD385,'Key Generator'!AE340)</f>
        <v>0</v>
      </c>
      <c r="AE393" s="91">
        <f>--_xlfn.XOR(AE385,'Key Generator'!AF340)</f>
        <v>1</v>
      </c>
      <c r="AF393" s="91">
        <f>--_xlfn.XOR(AF385,'Key Generator'!AG340)</f>
        <v>1</v>
      </c>
      <c r="AG393" s="92">
        <f>--_xlfn.XOR(AG385,'Key Generator'!AH340)</f>
        <v>1</v>
      </c>
      <c r="AH393" s="92">
        <f>--_xlfn.XOR(AH385,'Key Generator'!AI340)</f>
        <v>1</v>
      </c>
      <c r="AI393" s="92">
        <f>--_xlfn.XOR(AI385,'Key Generator'!AJ340)</f>
        <v>0</v>
      </c>
      <c r="AJ393" s="92">
        <f>--_xlfn.XOR(AJ385,'Key Generator'!AK340)</f>
        <v>0</v>
      </c>
      <c r="AK393" s="92">
        <f>--_xlfn.XOR(AK385,'Key Generator'!AL340)</f>
        <v>0</v>
      </c>
      <c r="AL393" s="92">
        <f>--_xlfn.XOR(AL385,'Key Generator'!AM340)</f>
        <v>1</v>
      </c>
      <c r="AM393" s="86">
        <f>--_xlfn.XOR(AM385,'Key Generator'!AN340)</f>
        <v>1</v>
      </c>
      <c r="AN393" s="86">
        <f>--_xlfn.XOR(AN385,'Key Generator'!AO340)</f>
        <v>1</v>
      </c>
      <c r="AO393" s="86">
        <f>--_xlfn.XOR(AO385,'Key Generator'!AP340)</f>
        <v>0</v>
      </c>
      <c r="AP393" s="86">
        <f>--_xlfn.XOR(AP385,'Key Generator'!AQ340)</f>
        <v>1</v>
      </c>
      <c r="AQ393" s="86">
        <f>--_xlfn.XOR(AQ385,'Key Generator'!AR340)</f>
        <v>0</v>
      </c>
      <c r="AR393" s="86">
        <f>--_xlfn.XOR(AR385,'Key Generator'!AS340)</f>
        <v>1</v>
      </c>
      <c r="AS393" s="81">
        <f>--_xlfn.XOR(AS385,'Key Generator'!AT340)</f>
        <v>0</v>
      </c>
      <c r="AT393" s="81">
        <f>--_xlfn.XOR(AT385,'Key Generator'!AU340)</f>
        <v>1</v>
      </c>
      <c r="AU393" s="81">
        <f>--_xlfn.XOR(AU385,'Key Generator'!AV340)</f>
        <v>1</v>
      </c>
      <c r="AV393" s="81">
        <f>--_xlfn.XOR(AV385,'Key Generator'!AW340)</f>
        <v>0</v>
      </c>
      <c r="AW393" s="81">
        <f>--_xlfn.XOR(AW385,'Key Generator'!AX340)</f>
        <v>0</v>
      </c>
      <c r="AX393" s="81">
        <f>--_xlfn.XOR(AX385,'Key Generator'!AY340)</f>
        <v>0</v>
      </c>
      <c r="AY393" s="21"/>
      <c r="AZ393" s="21"/>
      <c r="BA393" s="21"/>
      <c r="BB393" s="21"/>
      <c r="BC393" s="21"/>
      <c r="BD393" s="21"/>
      <c r="BE393" s="21"/>
    </row>
    <row r="394" spans="1:57" x14ac:dyDescent="0.25">
      <c r="A394" s="21"/>
      <c r="B394" s="64"/>
      <c r="C394" s="93"/>
      <c r="D394" s="94"/>
      <c r="E394" s="94"/>
      <c r="F394" s="94"/>
      <c r="G394" s="94"/>
      <c r="H394" s="94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</row>
    <row r="395" spans="1:57" x14ac:dyDescent="0.25">
      <c r="A395" s="96" t="s">
        <v>545</v>
      </c>
      <c r="B395" s="97"/>
      <c r="C395" s="161">
        <f>D393*8+E393*4+F393*2+G393</f>
        <v>10</v>
      </c>
      <c r="D395" s="97" t="s">
        <v>536</v>
      </c>
      <c r="E395" s="97"/>
      <c r="F395" s="97"/>
      <c r="G395" s="97"/>
      <c r="H395" s="97"/>
      <c r="I395" s="161">
        <f>J393*8+K393*4+L393*2+M393</f>
        <v>7</v>
      </c>
      <c r="J395" s="97" t="s">
        <v>537</v>
      </c>
      <c r="K395" s="97"/>
      <c r="L395" s="97"/>
      <c r="M395" s="97"/>
      <c r="N395" s="97"/>
      <c r="O395" s="161">
        <f>P393*8+Q393*4+R393*2+S393</f>
        <v>15</v>
      </c>
      <c r="P395" s="97" t="s">
        <v>538</v>
      </c>
      <c r="Q395" s="97"/>
      <c r="R395" s="97"/>
      <c r="S395" s="97"/>
      <c r="T395" s="97"/>
      <c r="U395" s="161">
        <f>V393*8+W393*4+X393*2+Y393</f>
        <v>14</v>
      </c>
      <c r="V395" s="97" t="s">
        <v>539</v>
      </c>
      <c r="W395" s="97"/>
      <c r="X395" s="97"/>
      <c r="Y395" s="97"/>
      <c r="Z395" s="97"/>
      <c r="AA395" s="161">
        <f>AB393*8+AC393*4+AD393*2+AE393</f>
        <v>5</v>
      </c>
      <c r="AB395" s="97" t="s">
        <v>540</v>
      </c>
      <c r="AC395" s="97"/>
      <c r="AD395" s="97"/>
      <c r="AE395" s="97"/>
      <c r="AF395" s="97"/>
      <c r="AG395" s="161">
        <f>AH393*8+AI393*4+AJ393*2+AK393</f>
        <v>8</v>
      </c>
      <c r="AH395" s="97" t="s">
        <v>541</v>
      </c>
      <c r="AI395" s="97"/>
      <c r="AJ395" s="97"/>
      <c r="AK395" s="97"/>
      <c r="AL395" s="97"/>
      <c r="AM395" s="161">
        <f>AN393*8+AO393*4+AP393*2+AQ393</f>
        <v>10</v>
      </c>
      <c r="AN395" s="97" t="s">
        <v>542</v>
      </c>
      <c r="AO395" s="97"/>
      <c r="AP395" s="97"/>
      <c r="AQ395" s="97"/>
      <c r="AR395" s="97"/>
      <c r="AS395" s="161">
        <f>AT393*8+AU393*4+AV393*2+AW393</f>
        <v>12</v>
      </c>
      <c r="AT395" s="97" t="s">
        <v>543</v>
      </c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</row>
    <row r="396" spans="1:57" x14ac:dyDescent="0.25">
      <c r="A396" s="100" t="s">
        <v>546</v>
      </c>
      <c r="B396" s="99"/>
      <c r="C396" s="87">
        <f>C393*2+H393</f>
        <v>3</v>
      </c>
      <c r="D396" s="98"/>
      <c r="E396" s="98"/>
      <c r="F396" s="99"/>
      <c r="G396" s="99"/>
      <c r="H396" s="99"/>
      <c r="I396" s="87">
        <f>I393*2+N393</f>
        <v>0</v>
      </c>
      <c r="J396" s="99"/>
      <c r="K396" s="99"/>
      <c r="L396" s="99"/>
      <c r="M396" s="99"/>
      <c r="N396" s="99"/>
      <c r="O396" s="87">
        <f>O393*2+T393</f>
        <v>3</v>
      </c>
      <c r="P396" s="99"/>
      <c r="Q396" s="99"/>
      <c r="R396" s="99"/>
      <c r="S396" s="99"/>
      <c r="T396" s="99"/>
      <c r="U396" s="87">
        <f>U393*2+Z393</f>
        <v>2</v>
      </c>
      <c r="V396" s="99"/>
      <c r="W396" s="99"/>
      <c r="X396" s="99"/>
      <c r="Y396" s="99"/>
      <c r="Z396" s="99"/>
      <c r="AA396" s="87">
        <f>AA393*2+AF393</f>
        <v>1</v>
      </c>
      <c r="AB396" s="99"/>
      <c r="AC396" s="99"/>
      <c r="AD396" s="99"/>
      <c r="AE396" s="99"/>
      <c r="AF396" s="99"/>
      <c r="AG396" s="87">
        <f>AG393*2+AL393</f>
        <v>3</v>
      </c>
      <c r="AH396" s="99"/>
      <c r="AI396" s="99"/>
      <c r="AJ396" s="99"/>
      <c r="AK396" s="99"/>
      <c r="AL396" s="99"/>
      <c r="AM396" s="87">
        <f>AM393*2+AR393</f>
        <v>3</v>
      </c>
      <c r="AN396" s="99"/>
      <c r="AO396" s="99"/>
      <c r="AP396" s="99"/>
      <c r="AQ396" s="99"/>
      <c r="AR396" s="99"/>
      <c r="AS396" s="87">
        <f>AS393*2+AX393</f>
        <v>0</v>
      </c>
      <c r="AT396" s="99"/>
      <c r="AU396" s="99"/>
      <c r="AV396" s="99"/>
      <c r="AW396" s="99"/>
      <c r="AX396" s="99"/>
      <c r="AY396" s="99"/>
      <c r="AZ396" s="99"/>
      <c r="BA396" s="99"/>
      <c r="BB396" s="99"/>
      <c r="BC396" s="99"/>
      <c r="BD396" s="99"/>
      <c r="BE396" s="99"/>
    </row>
    <row r="397" spans="1:57" x14ac:dyDescent="0.25">
      <c r="A397" s="21"/>
      <c r="B397" s="64"/>
      <c r="C397" s="62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</row>
    <row r="398" spans="1:57" x14ac:dyDescent="0.25">
      <c r="A398" s="117" t="s">
        <v>547</v>
      </c>
      <c r="B398" s="64"/>
      <c r="C398" s="72">
        <f>INDEX('S-Box'!D3:S6,'DES-Dec'!C396+1,'DES-Dec'!C395+1)</f>
        <v>3</v>
      </c>
      <c r="D398" s="21"/>
      <c r="E398" s="21"/>
      <c r="F398" s="21"/>
      <c r="G398" s="21"/>
      <c r="H398" s="21"/>
      <c r="I398" s="168">
        <f>INDEX('S-Box'!D9:S12,'DES-Dec'!I396+1,'DES-Dec'!I395+1)</f>
        <v>4</v>
      </c>
      <c r="J398" s="21"/>
      <c r="K398" s="21"/>
      <c r="L398" s="21"/>
      <c r="M398" s="21"/>
      <c r="N398" s="21"/>
      <c r="O398" s="168">
        <f>INDEX('S-Box'!D15:S18,'DES-Dec'!O396+1,'DES-Dec'!O395+1)</f>
        <v>12</v>
      </c>
      <c r="P398" s="21"/>
      <c r="Q398" s="21"/>
      <c r="R398" s="21"/>
      <c r="S398" s="21"/>
      <c r="T398" s="21"/>
      <c r="U398" s="168">
        <f>INDEX('S-Box'!D21:S24,'DES-Dec'!U396+1,'DES-Dec'!U395+1)</f>
        <v>8</v>
      </c>
      <c r="V398" s="21"/>
      <c r="W398" s="21"/>
      <c r="X398" s="21"/>
      <c r="Y398" s="21"/>
      <c r="Z398" s="21"/>
      <c r="AA398" s="168">
        <f>INDEX('S-Box'!D27:S30,'DES-Dec'!AA396+1,'DES-Dec'!AA395+1)</f>
        <v>7</v>
      </c>
      <c r="AB398" s="21"/>
      <c r="AC398" s="21"/>
      <c r="AD398" s="21"/>
      <c r="AE398" s="21"/>
      <c r="AF398" s="21"/>
      <c r="AG398" s="168">
        <f>INDEX('S-Box'!D33:S36,'DES-Dec'!AG396+1,'DES-Dec'!AG395+1)</f>
        <v>11</v>
      </c>
      <c r="AH398" s="21"/>
      <c r="AI398" s="21"/>
      <c r="AJ398" s="21"/>
      <c r="AK398" s="21"/>
      <c r="AL398" s="21"/>
      <c r="AM398" s="168">
        <f>INDEX('S-Box'!D39:S42,'DES-Dec'!AM396+1,'DES-Dec'!AM395+1)</f>
        <v>0</v>
      </c>
      <c r="AN398" s="21"/>
      <c r="AO398" s="21"/>
      <c r="AP398" s="21"/>
      <c r="AQ398" s="21"/>
      <c r="AR398" s="21"/>
      <c r="AS398" s="168">
        <f>INDEX('S-Box'!D45:S48,'DES-Dec'!AS396+1,'DES-Dec'!AS395+1)</f>
        <v>5</v>
      </c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</row>
    <row r="399" spans="1:57" x14ac:dyDescent="0.25">
      <c r="A399" s="21"/>
      <c r="B399" s="64"/>
      <c r="C399" s="104"/>
      <c r="D399" s="21"/>
      <c r="E399" s="21"/>
      <c r="F399" s="21"/>
      <c r="G399" s="21"/>
      <c r="H399" s="21"/>
      <c r="I399" s="95"/>
      <c r="J399" s="21"/>
      <c r="K399" s="21"/>
      <c r="L399" s="21"/>
      <c r="M399" s="21"/>
      <c r="N399" s="21"/>
      <c r="O399" s="95"/>
      <c r="P399" s="21"/>
      <c r="Q399" s="21"/>
      <c r="R399" s="21"/>
      <c r="S399" s="21"/>
      <c r="T399" s="21"/>
      <c r="U399" s="95"/>
      <c r="V399" s="21"/>
      <c r="W399" s="21"/>
      <c r="X399" s="21"/>
      <c r="Y399" s="21"/>
      <c r="Z399" s="21"/>
      <c r="AA399" s="95"/>
      <c r="AB399" s="21"/>
      <c r="AC399" s="21"/>
      <c r="AD399" s="21"/>
      <c r="AE399" s="21"/>
      <c r="AF399" s="21"/>
      <c r="AG399" s="95"/>
      <c r="AH399" s="21"/>
      <c r="AI399" s="21"/>
      <c r="AJ399" s="21"/>
      <c r="AK399" s="21"/>
      <c r="AL399" s="21"/>
      <c r="AM399" s="95"/>
      <c r="AN399" s="21"/>
      <c r="AO399" s="21"/>
      <c r="AP399" s="21"/>
      <c r="AQ399" s="21"/>
      <c r="AR399" s="21"/>
      <c r="AS399" s="95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</row>
    <row r="400" spans="1:57" x14ac:dyDescent="0.25">
      <c r="A400" s="21"/>
      <c r="B400" s="64"/>
      <c r="C400" s="105" t="str">
        <f>MID(DEC2BIN(C398,4),1,1)</f>
        <v>0</v>
      </c>
      <c r="D400" s="106" t="str">
        <f>MID(DEC2BIN(C398,4),2,1)</f>
        <v>0</v>
      </c>
      <c r="E400" s="106" t="str">
        <f>MID(DEC2BIN(C398,4),3,1)</f>
        <v>1</v>
      </c>
      <c r="F400" s="107" t="str">
        <f>MID(DEC2BIN(C398,4),4,1)</f>
        <v>1</v>
      </c>
      <c r="G400" s="21"/>
      <c r="H400" s="21"/>
      <c r="I400" s="105" t="str">
        <f>MID(DEC2BIN(I398,4),1,1)</f>
        <v>0</v>
      </c>
      <c r="J400" s="106" t="str">
        <f>MID(DEC2BIN(I398,4),2,1)</f>
        <v>1</v>
      </c>
      <c r="K400" s="106" t="str">
        <f>MID(DEC2BIN(I398,4),3,1)</f>
        <v>0</v>
      </c>
      <c r="L400" s="107" t="str">
        <f>MID(DEC2BIN(I398,4),4,1)</f>
        <v>0</v>
      </c>
      <c r="M400" s="21"/>
      <c r="N400" s="21"/>
      <c r="O400" s="105" t="str">
        <f>MID(DEC2BIN(O398,4),1,1)</f>
        <v>1</v>
      </c>
      <c r="P400" s="106" t="str">
        <f>MID(DEC2BIN(O398,4),2,1)</f>
        <v>1</v>
      </c>
      <c r="Q400" s="106" t="str">
        <f>MID(DEC2BIN(O398,4),3,1)</f>
        <v>0</v>
      </c>
      <c r="R400" s="107" t="str">
        <f>MID(DEC2BIN(O398,4),4,1)</f>
        <v>0</v>
      </c>
      <c r="S400" s="21"/>
      <c r="T400" s="21"/>
      <c r="U400" s="105" t="str">
        <f>MID(DEC2BIN(U398,4),1,1)</f>
        <v>1</v>
      </c>
      <c r="V400" s="106" t="str">
        <f>MID(DEC2BIN(U398,4),2,1)</f>
        <v>0</v>
      </c>
      <c r="W400" s="106" t="str">
        <f>MID(DEC2BIN(U398,4),3,1)</f>
        <v>0</v>
      </c>
      <c r="X400" s="107" t="str">
        <f>MID(DEC2BIN(U398,4),4,1)</f>
        <v>0</v>
      </c>
      <c r="Y400" s="21"/>
      <c r="Z400" s="21"/>
      <c r="AA400" s="105" t="str">
        <f>MID(DEC2BIN(AA398,4),1,1)</f>
        <v>0</v>
      </c>
      <c r="AB400" s="106" t="str">
        <f>MID(DEC2BIN(AA398,4),2,1)</f>
        <v>1</v>
      </c>
      <c r="AC400" s="106" t="str">
        <f>MID(DEC2BIN(AA398,4),3,1)</f>
        <v>1</v>
      </c>
      <c r="AD400" s="107" t="str">
        <f>MID(DEC2BIN(AA398,4),4,1)</f>
        <v>1</v>
      </c>
      <c r="AE400" s="21"/>
      <c r="AF400" s="21"/>
      <c r="AG400" s="105" t="str">
        <f>MID(DEC2BIN(AG398,4),1,1)</f>
        <v>1</v>
      </c>
      <c r="AH400" s="106" t="str">
        <f>MID(DEC2BIN(AG398,4),2,1)</f>
        <v>0</v>
      </c>
      <c r="AI400" s="106" t="str">
        <f>MID(DEC2BIN(AG398,4),3,1)</f>
        <v>1</v>
      </c>
      <c r="AJ400" s="107" t="str">
        <f>MID(DEC2BIN(AG398,4),4,1)</f>
        <v>1</v>
      </c>
      <c r="AK400" s="21"/>
      <c r="AL400" s="21"/>
      <c r="AM400" s="105" t="str">
        <f>MID(DEC2BIN(AM398,4),1,1)</f>
        <v>0</v>
      </c>
      <c r="AN400" s="106" t="str">
        <f>MID(DEC2BIN(AM398,4),2,1)</f>
        <v>0</v>
      </c>
      <c r="AO400" s="106" t="str">
        <f>MID(DEC2BIN(AM398,4),3,1)</f>
        <v>0</v>
      </c>
      <c r="AP400" s="107" t="str">
        <f>MID(DEC2BIN(AM398,4),4,1)</f>
        <v>0</v>
      </c>
      <c r="AQ400" s="21"/>
      <c r="AR400" s="21"/>
      <c r="AS400" s="105" t="str">
        <f>MID(DEC2BIN(AS398,4),1,1)</f>
        <v>0</v>
      </c>
      <c r="AT400" s="106" t="str">
        <f>MID(DEC2BIN(AS398,4),2,1)</f>
        <v>1</v>
      </c>
      <c r="AU400" s="106" t="str">
        <f>MID(DEC2BIN(AS398,4),3,1)</f>
        <v>0</v>
      </c>
      <c r="AV400" s="107" t="str">
        <f>MID(DEC2BIN(AS398,4),4,1)</f>
        <v>1</v>
      </c>
      <c r="AW400" s="21"/>
      <c r="AX400" s="21"/>
      <c r="AY400" s="21"/>
      <c r="AZ400" s="21"/>
      <c r="BA400" s="21"/>
      <c r="BB400" s="21"/>
      <c r="BC400" s="21"/>
      <c r="BD400" s="21"/>
      <c r="BE400" s="21"/>
    </row>
    <row r="401" spans="1:57" s="21" customFormat="1" ht="24.95" customHeight="1" x14ac:dyDescent="0.25">
      <c r="B401" s="64"/>
      <c r="C401" s="21">
        <f>VALUE(C400)</f>
        <v>0</v>
      </c>
      <c r="D401" s="21">
        <f t="shared" ref="D401" si="1252">VALUE(D400)</f>
        <v>0</v>
      </c>
      <c r="E401" s="21">
        <f t="shared" ref="E401" si="1253">VALUE(E400)</f>
        <v>1</v>
      </c>
      <c r="F401" s="21">
        <f t="shared" ref="F401" si="1254">VALUE(F400)</f>
        <v>1</v>
      </c>
      <c r="I401" s="21">
        <f t="shared" ref="I401" si="1255">VALUE(I400)</f>
        <v>0</v>
      </c>
      <c r="J401" s="21">
        <f t="shared" ref="J401" si="1256">VALUE(J400)</f>
        <v>1</v>
      </c>
      <c r="K401" s="21">
        <f t="shared" ref="K401" si="1257">VALUE(K400)</f>
        <v>0</v>
      </c>
      <c r="L401" s="21">
        <f t="shared" ref="L401" si="1258">VALUE(L400)</f>
        <v>0</v>
      </c>
      <c r="O401" s="21">
        <f>VALUE(O400)</f>
        <v>1</v>
      </c>
      <c r="P401" s="21">
        <f t="shared" ref="P401" si="1259">VALUE(P400)</f>
        <v>1</v>
      </c>
      <c r="Q401" s="21">
        <f t="shared" ref="Q401" si="1260">VALUE(Q400)</f>
        <v>0</v>
      </c>
      <c r="R401" s="21">
        <f t="shared" ref="R401" si="1261">VALUE(R400)</f>
        <v>0</v>
      </c>
      <c r="U401" s="21">
        <f>VALUE(U400)</f>
        <v>1</v>
      </c>
      <c r="V401" s="21">
        <f t="shared" ref="V401" si="1262">VALUE(V400)</f>
        <v>0</v>
      </c>
      <c r="W401" s="21">
        <f t="shared" ref="W401" si="1263">VALUE(W400)</f>
        <v>0</v>
      </c>
      <c r="X401" s="21">
        <f t="shared" ref="X401" si="1264">VALUE(X400)</f>
        <v>0</v>
      </c>
      <c r="AA401" s="21">
        <f>VALUE(AA400)</f>
        <v>0</v>
      </c>
      <c r="AB401" s="21">
        <f t="shared" ref="AB401" si="1265">VALUE(AB400)</f>
        <v>1</v>
      </c>
      <c r="AC401" s="21">
        <f t="shared" ref="AC401" si="1266">VALUE(AC400)</f>
        <v>1</v>
      </c>
      <c r="AD401" s="21">
        <f t="shared" ref="AD401" si="1267">VALUE(AD400)</f>
        <v>1</v>
      </c>
      <c r="AG401" s="21">
        <f>VALUE(AG400)</f>
        <v>1</v>
      </c>
      <c r="AH401" s="21">
        <f t="shared" ref="AH401" si="1268">VALUE(AH400)</f>
        <v>0</v>
      </c>
      <c r="AI401" s="21">
        <f t="shared" ref="AI401" si="1269">VALUE(AI400)</f>
        <v>1</v>
      </c>
      <c r="AJ401" s="21">
        <f t="shared" ref="AJ401" si="1270">VALUE(AJ400)</f>
        <v>1</v>
      </c>
      <c r="AM401" s="21">
        <f>VALUE(AM400)</f>
        <v>0</v>
      </c>
      <c r="AN401" s="21">
        <f t="shared" ref="AN401" si="1271">VALUE(AN400)</f>
        <v>0</v>
      </c>
      <c r="AO401" s="21">
        <f t="shared" ref="AO401" si="1272">VALUE(AO400)</f>
        <v>0</v>
      </c>
      <c r="AP401" s="21">
        <f t="shared" ref="AP401" si="1273">VALUE(AP400)</f>
        <v>0</v>
      </c>
      <c r="AS401" s="21">
        <f>VALUE(AS400)</f>
        <v>0</v>
      </c>
      <c r="AT401" s="21">
        <f t="shared" ref="AT401" si="1274">VALUE(AT400)</f>
        <v>1</v>
      </c>
      <c r="AU401" s="21">
        <f t="shared" ref="AU401" si="1275">VALUE(AU400)</f>
        <v>0</v>
      </c>
      <c r="AV401" s="21">
        <f t="shared" ref="AV401" si="1276">VALUE(AV400)</f>
        <v>1</v>
      </c>
    </row>
    <row r="402" spans="1:57" s="21" customFormat="1" ht="24.95" customHeight="1" x14ac:dyDescent="0.25">
      <c r="A402" s="111" t="s">
        <v>588</v>
      </c>
      <c r="B402" s="111"/>
      <c r="C402" s="111">
        <v>1</v>
      </c>
      <c r="D402" s="76">
        <v>2</v>
      </c>
      <c r="E402" s="111">
        <v>3</v>
      </c>
      <c r="F402" s="76">
        <v>4</v>
      </c>
      <c r="G402" s="111">
        <v>5</v>
      </c>
      <c r="H402" s="76">
        <v>6</v>
      </c>
      <c r="I402" s="111">
        <v>7</v>
      </c>
      <c r="J402" s="76">
        <v>8</v>
      </c>
      <c r="K402" s="111">
        <v>9</v>
      </c>
      <c r="L402" s="76">
        <v>10</v>
      </c>
      <c r="M402" s="111">
        <v>11</v>
      </c>
      <c r="N402" s="76">
        <v>12</v>
      </c>
      <c r="O402" s="111">
        <v>13</v>
      </c>
      <c r="P402" s="76">
        <v>14</v>
      </c>
      <c r="Q402" s="111">
        <v>15</v>
      </c>
      <c r="R402" s="76">
        <v>16</v>
      </c>
      <c r="S402" s="111">
        <v>17</v>
      </c>
      <c r="T402" s="76">
        <v>18</v>
      </c>
      <c r="U402" s="111">
        <v>19</v>
      </c>
      <c r="V402" s="76">
        <v>20</v>
      </c>
      <c r="W402" s="111">
        <v>21</v>
      </c>
      <c r="X402" s="76">
        <v>22</v>
      </c>
      <c r="Y402" s="111">
        <v>23</v>
      </c>
      <c r="Z402" s="76">
        <v>24</v>
      </c>
      <c r="AA402" s="111">
        <v>25</v>
      </c>
      <c r="AB402" s="76">
        <v>26</v>
      </c>
      <c r="AC402" s="111">
        <v>27</v>
      </c>
      <c r="AD402" s="76">
        <v>28</v>
      </c>
      <c r="AE402" s="111">
        <v>29</v>
      </c>
      <c r="AF402" s="76">
        <v>30</v>
      </c>
      <c r="AG402" s="111">
        <v>31</v>
      </c>
      <c r="AH402" s="76">
        <v>32</v>
      </c>
    </row>
    <row r="403" spans="1:57" s="21" customFormat="1" ht="24.95" customHeight="1" x14ac:dyDescent="0.25">
      <c r="B403" s="64"/>
      <c r="C403" s="108">
        <f>C401</f>
        <v>0</v>
      </c>
      <c r="D403" s="108">
        <f t="shared" ref="D403:F403" si="1277">D401</f>
        <v>0</v>
      </c>
      <c r="E403" s="108">
        <f t="shared" si="1277"/>
        <v>1</v>
      </c>
      <c r="F403" s="108">
        <f t="shared" si="1277"/>
        <v>1</v>
      </c>
      <c r="G403" s="23">
        <f>I401</f>
        <v>0</v>
      </c>
      <c r="H403" s="23">
        <f t="shared" ref="H403" si="1278">J401</f>
        <v>1</v>
      </c>
      <c r="I403" s="23">
        <f t="shared" ref="I403" si="1279">K401</f>
        <v>0</v>
      </c>
      <c r="J403" s="23">
        <f t="shared" ref="J403" si="1280">L401</f>
        <v>0</v>
      </c>
      <c r="K403" s="23">
        <f>O401</f>
        <v>1</v>
      </c>
      <c r="L403" s="23">
        <f t="shared" ref="L403" si="1281">P401</f>
        <v>1</v>
      </c>
      <c r="M403" s="23">
        <f t="shared" ref="M403" si="1282">Q401</f>
        <v>0</v>
      </c>
      <c r="N403" s="23">
        <f t="shared" ref="N403" si="1283">R401</f>
        <v>0</v>
      </c>
      <c r="O403" s="23">
        <f>U401</f>
        <v>1</v>
      </c>
      <c r="P403" s="23">
        <f t="shared" ref="P403" si="1284">V401</f>
        <v>0</v>
      </c>
      <c r="Q403" s="23">
        <f t="shared" ref="Q403" si="1285">W401</f>
        <v>0</v>
      </c>
      <c r="R403" s="23">
        <f t="shared" ref="R403" si="1286">X401</f>
        <v>0</v>
      </c>
      <c r="S403" s="23">
        <f>AA401</f>
        <v>0</v>
      </c>
      <c r="T403" s="23">
        <f t="shared" ref="T403" si="1287">AB401</f>
        <v>1</v>
      </c>
      <c r="U403" s="23">
        <f t="shared" ref="U403" si="1288">AC401</f>
        <v>1</v>
      </c>
      <c r="V403" s="23">
        <f t="shared" ref="V403" si="1289">AD401</f>
        <v>1</v>
      </c>
      <c r="W403" s="23">
        <f>AG401</f>
        <v>1</v>
      </c>
      <c r="X403" s="23">
        <f t="shared" ref="X403" si="1290">AH401</f>
        <v>0</v>
      </c>
      <c r="Y403" s="23">
        <f t="shared" ref="Y403" si="1291">AI401</f>
        <v>1</v>
      </c>
      <c r="Z403" s="23">
        <f t="shared" ref="Z403" si="1292">AJ401</f>
        <v>1</v>
      </c>
      <c r="AA403" s="23">
        <f>AM401</f>
        <v>0</v>
      </c>
      <c r="AB403" s="23">
        <f t="shared" ref="AB403" si="1293">AN401</f>
        <v>0</v>
      </c>
      <c r="AC403" s="23">
        <f t="shared" ref="AC403" si="1294">AO401</f>
        <v>0</v>
      </c>
      <c r="AD403" s="23">
        <f t="shared" ref="AD403" si="1295">AP401</f>
        <v>0</v>
      </c>
      <c r="AE403" s="23">
        <f>AS401</f>
        <v>0</v>
      </c>
      <c r="AF403" s="23">
        <f t="shared" ref="AF403" si="1296">AT401</f>
        <v>1</v>
      </c>
      <c r="AG403" s="23">
        <f t="shared" ref="AG403" si="1297">AU401</f>
        <v>0</v>
      </c>
      <c r="AH403" s="23">
        <f t="shared" ref="AH403" si="1298">AV401</f>
        <v>1</v>
      </c>
    </row>
    <row r="404" spans="1:57" x14ac:dyDescent="0.25">
      <c r="A404" s="21"/>
      <c r="B404" s="64"/>
      <c r="C404" s="62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</row>
    <row r="405" spans="1:57" x14ac:dyDescent="0.25">
      <c r="A405" s="110" t="s">
        <v>548</v>
      </c>
      <c r="B405" s="110"/>
      <c r="C405" s="109">
        <v>16</v>
      </c>
      <c r="D405" s="110">
        <v>7</v>
      </c>
      <c r="E405" s="110">
        <v>20</v>
      </c>
      <c r="F405" s="110">
        <v>21</v>
      </c>
      <c r="G405" s="110">
        <v>29</v>
      </c>
      <c r="H405" s="110">
        <v>12</v>
      </c>
      <c r="I405" s="110">
        <v>28</v>
      </c>
      <c r="J405" s="110">
        <v>17</v>
      </c>
      <c r="K405" s="110">
        <v>1</v>
      </c>
      <c r="L405" s="110">
        <v>15</v>
      </c>
      <c r="M405" s="110">
        <v>23</v>
      </c>
      <c r="N405" s="110">
        <v>26</v>
      </c>
      <c r="O405" s="110">
        <v>5</v>
      </c>
      <c r="P405" s="110">
        <v>18</v>
      </c>
      <c r="Q405" s="110">
        <v>31</v>
      </c>
      <c r="R405" s="110">
        <v>10</v>
      </c>
      <c r="S405" s="110">
        <v>2</v>
      </c>
      <c r="T405" s="110">
        <v>8</v>
      </c>
      <c r="U405" s="110">
        <v>24</v>
      </c>
      <c r="V405" s="110">
        <v>14</v>
      </c>
      <c r="W405" s="110">
        <v>32</v>
      </c>
      <c r="X405" s="110">
        <v>27</v>
      </c>
      <c r="Y405" s="110">
        <v>3</v>
      </c>
      <c r="Z405" s="110">
        <v>9</v>
      </c>
      <c r="AA405" s="110">
        <v>19</v>
      </c>
      <c r="AB405" s="110">
        <v>13</v>
      </c>
      <c r="AC405" s="110">
        <v>30</v>
      </c>
      <c r="AD405" s="110">
        <v>6</v>
      </c>
      <c r="AE405" s="110">
        <v>22</v>
      </c>
      <c r="AF405" s="110">
        <v>11</v>
      </c>
      <c r="AG405" s="110">
        <v>4</v>
      </c>
      <c r="AH405" s="110">
        <v>25</v>
      </c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</row>
    <row r="406" spans="1:57" x14ac:dyDescent="0.25">
      <c r="A406" s="21"/>
      <c r="B406" s="64"/>
      <c r="C406" s="103">
        <f>K403</f>
        <v>1</v>
      </c>
      <c r="D406" s="103">
        <f>S403</f>
        <v>0</v>
      </c>
      <c r="E406" s="103">
        <f>Y403</f>
        <v>1</v>
      </c>
      <c r="F406" s="112">
        <f>AG403</f>
        <v>0</v>
      </c>
      <c r="G406" s="103">
        <f>O403</f>
        <v>1</v>
      </c>
      <c r="H406" s="103">
        <f>AD403</f>
        <v>0</v>
      </c>
      <c r="I406" s="103">
        <f>D403</f>
        <v>0</v>
      </c>
      <c r="J406" s="103">
        <f>T403</f>
        <v>1</v>
      </c>
      <c r="K406" s="103">
        <f>Z403</f>
        <v>1</v>
      </c>
      <c r="L406" s="103">
        <f>R403</f>
        <v>0</v>
      </c>
      <c r="M406" s="103">
        <f>AF403</f>
        <v>1</v>
      </c>
      <c r="N406" s="103">
        <f>H403</f>
        <v>1</v>
      </c>
      <c r="O406" s="103">
        <f>AB403</f>
        <v>0</v>
      </c>
      <c r="P406" s="103">
        <f>V403</f>
        <v>1</v>
      </c>
      <c r="Q406" s="103">
        <f>L403</f>
        <v>1</v>
      </c>
      <c r="R406" s="103">
        <f>C403</f>
        <v>0</v>
      </c>
      <c r="S406" s="103">
        <f>J403</f>
        <v>0</v>
      </c>
      <c r="T406" s="103">
        <f>P403</f>
        <v>0</v>
      </c>
      <c r="U406" s="103">
        <f>AA403</f>
        <v>0</v>
      </c>
      <c r="V406" s="103">
        <f>E403</f>
        <v>1</v>
      </c>
      <c r="W406" s="103">
        <f>F403</f>
        <v>1</v>
      </c>
      <c r="X406" s="103">
        <f>AE403</f>
        <v>0</v>
      </c>
      <c r="Y406" s="103">
        <f>M403</f>
        <v>0</v>
      </c>
      <c r="Z406" s="103">
        <f>U403</f>
        <v>1</v>
      </c>
      <c r="AA406" s="103">
        <f>AH403</f>
        <v>1</v>
      </c>
      <c r="AB406" s="103">
        <f>N403</f>
        <v>0</v>
      </c>
      <c r="AC406" s="103">
        <f>X403</f>
        <v>0</v>
      </c>
      <c r="AD406" s="103">
        <f>I403</f>
        <v>0</v>
      </c>
      <c r="AE406" s="103">
        <f>G403</f>
        <v>0</v>
      </c>
      <c r="AF406" s="103">
        <f>AC403</f>
        <v>0</v>
      </c>
      <c r="AG406" s="103">
        <f>Q403</f>
        <v>0</v>
      </c>
      <c r="AH406" s="103">
        <f>W403</f>
        <v>1</v>
      </c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</row>
    <row r="407" spans="1:57" x14ac:dyDescent="0.25">
      <c r="A407" s="21"/>
      <c r="B407" s="64"/>
      <c r="C407" s="130">
        <v>1</v>
      </c>
      <c r="D407" s="131">
        <v>2</v>
      </c>
      <c r="E407" s="130">
        <v>3</v>
      </c>
      <c r="F407" s="131">
        <v>4</v>
      </c>
      <c r="G407" s="130">
        <v>5</v>
      </c>
      <c r="H407" s="131">
        <v>6</v>
      </c>
      <c r="I407" s="130">
        <v>7</v>
      </c>
      <c r="J407" s="131">
        <v>8</v>
      </c>
      <c r="K407" s="130">
        <v>9</v>
      </c>
      <c r="L407" s="131">
        <v>10</v>
      </c>
      <c r="M407" s="130">
        <v>11</v>
      </c>
      <c r="N407" s="131">
        <v>12</v>
      </c>
      <c r="O407" s="130">
        <v>13</v>
      </c>
      <c r="P407" s="131">
        <v>14</v>
      </c>
      <c r="Q407" s="130">
        <v>15</v>
      </c>
      <c r="R407" s="131">
        <v>16</v>
      </c>
      <c r="S407" s="130">
        <v>17</v>
      </c>
      <c r="T407" s="131">
        <v>18</v>
      </c>
      <c r="U407" s="130">
        <v>19</v>
      </c>
      <c r="V407" s="131">
        <v>20</v>
      </c>
      <c r="W407" s="130">
        <v>21</v>
      </c>
      <c r="X407" s="131">
        <v>22</v>
      </c>
      <c r="Y407" s="130">
        <v>23</v>
      </c>
      <c r="Z407" s="131">
        <v>24</v>
      </c>
      <c r="AA407" s="130">
        <v>25</v>
      </c>
      <c r="AB407" s="131">
        <v>26</v>
      </c>
      <c r="AC407" s="130">
        <v>27</v>
      </c>
      <c r="AD407" s="131">
        <v>28</v>
      </c>
      <c r="AE407" s="130">
        <v>29</v>
      </c>
      <c r="AF407" s="131">
        <v>30</v>
      </c>
      <c r="AG407" s="130">
        <v>31</v>
      </c>
      <c r="AH407" s="131">
        <v>32</v>
      </c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</row>
    <row r="408" spans="1:57" x14ac:dyDescent="0.25">
      <c r="A408" s="21"/>
      <c r="B408" s="64"/>
      <c r="C408" s="62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</row>
    <row r="409" spans="1:57" x14ac:dyDescent="0.25">
      <c r="A409" s="21"/>
      <c r="B409" s="64"/>
      <c r="C409" s="62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</row>
    <row r="410" spans="1:57" x14ac:dyDescent="0.25">
      <c r="A410" s="21"/>
      <c r="B410" s="64"/>
      <c r="C410" s="62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</row>
    <row r="411" spans="1:57" x14ac:dyDescent="0.25">
      <c r="A411" s="114" t="s">
        <v>560</v>
      </c>
      <c r="B411" s="114"/>
      <c r="C411" s="114"/>
      <c r="D411" s="68">
        <v>1</v>
      </c>
      <c r="E411" s="68">
        <v>2</v>
      </c>
      <c r="F411" s="68">
        <v>3</v>
      </c>
      <c r="G411" s="68">
        <v>4</v>
      </c>
      <c r="H411" s="68">
        <v>5</v>
      </c>
      <c r="I411" s="68">
        <v>6</v>
      </c>
      <c r="J411" s="68">
        <v>7</v>
      </c>
      <c r="K411" s="68">
        <v>8</v>
      </c>
      <c r="L411" s="68">
        <v>9</v>
      </c>
      <c r="M411" s="68">
        <v>10</v>
      </c>
      <c r="N411" s="68">
        <v>11</v>
      </c>
      <c r="O411" s="68">
        <v>12</v>
      </c>
      <c r="P411" s="68">
        <v>13</v>
      </c>
      <c r="Q411" s="68">
        <v>14</v>
      </c>
      <c r="R411" s="68">
        <v>15</v>
      </c>
      <c r="S411" s="68">
        <v>16</v>
      </c>
      <c r="T411" s="68">
        <v>17</v>
      </c>
      <c r="U411" s="68">
        <v>18</v>
      </c>
      <c r="V411" s="68">
        <v>19</v>
      </c>
      <c r="W411" s="68">
        <v>20</v>
      </c>
      <c r="X411" s="68">
        <v>21</v>
      </c>
      <c r="Y411" s="68">
        <v>22</v>
      </c>
      <c r="Z411" s="68">
        <v>23</v>
      </c>
      <c r="AA411" s="68">
        <v>24</v>
      </c>
      <c r="AB411" s="68">
        <v>25</v>
      </c>
      <c r="AC411" s="68">
        <v>26</v>
      </c>
      <c r="AD411" s="68">
        <v>27</v>
      </c>
      <c r="AE411" s="68">
        <v>28</v>
      </c>
      <c r="AF411" s="68">
        <v>29</v>
      </c>
      <c r="AG411" s="68">
        <v>30</v>
      </c>
      <c r="AH411" s="68">
        <v>31</v>
      </c>
      <c r="AI411" s="68">
        <v>32</v>
      </c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</row>
    <row r="412" spans="1:57" x14ac:dyDescent="0.25">
      <c r="A412" s="64" t="s">
        <v>549</v>
      </c>
      <c r="B412" s="64"/>
      <c r="C412" s="62"/>
      <c r="D412" s="68">
        <f>C370</f>
        <v>1</v>
      </c>
      <c r="E412" s="68">
        <f t="shared" ref="E412" si="1299">D370</f>
        <v>0</v>
      </c>
      <c r="F412" s="68">
        <f t="shared" ref="F412" si="1300">E370</f>
        <v>0</v>
      </c>
      <c r="G412" s="68">
        <f t="shared" ref="G412" si="1301">F370</f>
        <v>0</v>
      </c>
      <c r="H412" s="68">
        <f t="shared" ref="H412" si="1302">G370</f>
        <v>0</v>
      </c>
      <c r="I412" s="68">
        <f t="shared" ref="I412" si="1303">H370</f>
        <v>1</v>
      </c>
      <c r="J412" s="68">
        <f t="shared" ref="J412" si="1304">I370</f>
        <v>1</v>
      </c>
      <c r="K412" s="68">
        <f t="shared" ref="K412" si="1305">J370</f>
        <v>0</v>
      </c>
      <c r="L412" s="68">
        <f t="shared" ref="L412" si="1306">K370</f>
        <v>0</v>
      </c>
      <c r="M412" s="68">
        <f t="shared" ref="M412" si="1307">L370</f>
        <v>1</v>
      </c>
      <c r="N412" s="68">
        <f t="shared" ref="N412" si="1308">M370</f>
        <v>1</v>
      </c>
      <c r="O412" s="68">
        <f t="shared" ref="O412" si="1309">N370</f>
        <v>1</v>
      </c>
      <c r="P412" s="68">
        <f t="shared" ref="P412" si="1310">O370</f>
        <v>1</v>
      </c>
      <c r="Q412" s="68">
        <f t="shared" ref="Q412" si="1311">P370</f>
        <v>1</v>
      </c>
      <c r="R412" s="68">
        <f t="shared" ref="R412" si="1312">Q370</f>
        <v>0</v>
      </c>
      <c r="S412" s="68">
        <f t="shared" ref="S412" si="1313">R370</f>
        <v>1</v>
      </c>
      <c r="T412" s="68">
        <f t="shared" ref="T412" si="1314">S370</f>
        <v>0</v>
      </c>
      <c r="U412" s="68">
        <f t="shared" ref="U412" si="1315">T370</f>
        <v>1</v>
      </c>
      <c r="V412" s="68">
        <f t="shared" ref="V412" si="1316">U370</f>
        <v>1</v>
      </c>
      <c r="W412" s="68">
        <f t="shared" ref="W412" si="1317">V370</f>
        <v>0</v>
      </c>
      <c r="X412" s="68">
        <f t="shared" ref="X412" si="1318">W370</f>
        <v>1</v>
      </c>
      <c r="Y412" s="68">
        <f t="shared" ref="Y412" si="1319">X370</f>
        <v>1</v>
      </c>
      <c r="Z412" s="68">
        <f t="shared" ref="Z412" si="1320">Y370</f>
        <v>1</v>
      </c>
      <c r="AA412" s="68">
        <f t="shared" ref="AA412" si="1321">Z370</f>
        <v>0</v>
      </c>
      <c r="AB412" s="68">
        <f t="shared" ref="AB412" si="1322">AA370</f>
        <v>1</v>
      </c>
      <c r="AC412" s="68">
        <f t="shared" ref="AC412" si="1323">AB370</f>
        <v>1</v>
      </c>
      <c r="AD412" s="68">
        <f t="shared" ref="AD412" si="1324">AC370</f>
        <v>1</v>
      </c>
      <c r="AE412" s="68">
        <f t="shared" ref="AE412" si="1325">AD370</f>
        <v>0</v>
      </c>
      <c r="AF412" s="68">
        <f t="shared" ref="AF412" si="1326">AE370</f>
        <v>0</v>
      </c>
      <c r="AG412" s="68">
        <f t="shared" ref="AG412" si="1327">AF370</f>
        <v>0</v>
      </c>
      <c r="AH412" s="68">
        <f t="shared" ref="AH412" si="1328">AG370</f>
        <v>0</v>
      </c>
      <c r="AI412" s="68">
        <f t="shared" ref="AI412" si="1329">AH370</f>
        <v>1</v>
      </c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</row>
    <row r="413" spans="1:57" x14ac:dyDescent="0.25">
      <c r="A413" s="21"/>
      <c r="B413" s="64"/>
      <c r="C413" s="62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</row>
    <row r="414" spans="1:57" x14ac:dyDescent="0.25">
      <c r="A414" s="114" t="s">
        <v>561</v>
      </c>
      <c r="B414" s="114"/>
      <c r="C414" s="114"/>
      <c r="D414" s="70">
        <v>1</v>
      </c>
      <c r="E414" s="70">
        <v>2</v>
      </c>
      <c r="F414" s="70">
        <v>3</v>
      </c>
      <c r="G414" s="70">
        <v>4</v>
      </c>
      <c r="H414" s="70">
        <v>5</v>
      </c>
      <c r="I414" s="70">
        <v>6</v>
      </c>
      <c r="J414" s="70">
        <v>7</v>
      </c>
      <c r="K414" s="70">
        <v>8</v>
      </c>
      <c r="L414" s="70">
        <v>9</v>
      </c>
      <c r="M414" s="70">
        <v>10</v>
      </c>
      <c r="N414" s="70">
        <v>11</v>
      </c>
      <c r="O414" s="70">
        <v>12</v>
      </c>
      <c r="P414" s="70">
        <v>13</v>
      </c>
      <c r="Q414" s="70">
        <v>14</v>
      </c>
      <c r="R414" s="70">
        <v>15</v>
      </c>
      <c r="S414" s="70">
        <v>16</v>
      </c>
      <c r="T414" s="70">
        <v>17</v>
      </c>
      <c r="U414" s="70">
        <v>18</v>
      </c>
      <c r="V414" s="70">
        <v>19</v>
      </c>
      <c r="W414" s="70">
        <v>20</v>
      </c>
      <c r="X414" s="70">
        <v>21</v>
      </c>
      <c r="Y414" s="70">
        <v>22</v>
      </c>
      <c r="Z414" s="70">
        <v>23</v>
      </c>
      <c r="AA414" s="70">
        <v>24</v>
      </c>
      <c r="AB414" s="70">
        <v>25</v>
      </c>
      <c r="AC414" s="70">
        <v>26</v>
      </c>
      <c r="AD414" s="70">
        <v>27</v>
      </c>
      <c r="AE414" s="70">
        <v>28</v>
      </c>
      <c r="AF414" s="70">
        <v>29</v>
      </c>
      <c r="AG414" s="70">
        <v>30</v>
      </c>
      <c r="AH414" s="70">
        <v>31</v>
      </c>
      <c r="AI414" s="70">
        <v>32</v>
      </c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</row>
    <row r="415" spans="1:57" x14ac:dyDescent="0.25">
      <c r="A415" s="64" t="s">
        <v>551</v>
      </c>
      <c r="B415" s="64"/>
      <c r="C415" s="62"/>
      <c r="D415" s="70">
        <f>--_xlfn.XOR(C406,D363)</f>
        <v>0</v>
      </c>
      <c r="E415" s="70">
        <f t="shared" ref="E415:AI415" si="1330">--_xlfn.XOR(D406,E363)</f>
        <v>0</v>
      </c>
      <c r="F415" s="70">
        <f t="shared" si="1330"/>
        <v>0</v>
      </c>
      <c r="G415" s="70">
        <f t="shared" si="1330"/>
        <v>1</v>
      </c>
      <c r="H415" s="70">
        <f t="shared" si="1330"/>
        <v>1</v>
      </c>
      <c r="I415" s="70">
        <f t="shared" si="1330"/>
        <v>0</v>
      </c>
      <c r="J415" s="70">
        <f t="shared" si="1330"/>
        <v>1</v>
      </c>
      <c r="K415" s="70">
        <f t="shared" si="1330"/>
        <v>0</v>
      </c>
      <c r="L415" s="70">
        <f t="shared" si="1330"/>
        <v>0</v>
      </c>
      <c r="M415" s="70">
        <f t="shared" si="1330"/>
        <v>1</v>
      </c>
      <c r="N415" s="70">
        <f t="shared" si="1330"/>
        <v>1</v>
      </c>
      <c r="O415" s="70">
        <f t="shared" si="1330"/>
        <v>0</v>
      </c>
      <c r="P415" s="70">
        <f t="shared" si="1330"/>
        <v>0</v>
      </c>
      <c r="Q415" s="70">
        <f t="shared" si="1330"/>
        <v>1</v>
      </c>
      <c r="R415" s="70">
        <f t="shared" si="1330"/>
        <v>0</v>
      </c>
      <c r="S415" s="70">
        <f t="shared" si="1330"/>
        <v>1</v>
      </c>
      <c r="T415" s="70">
        <f t="shared" si="1330"/>
        <v>1</v>
      </c>
      <c r="U415" s="70">
        <f t="shared" si="1330"/>
        <v>0</v>
      </c>
      <c r="V415" s="70">
        <f t="shared" si="1330"/>
        <v>0</v>
      </c>
      <c r="W415" s="70">
        <f t="shared" si="1330"/>
        <v>0</v>
      </c>
      <c r="X415" s="70">
        <f t="shared" si="1330"/>
        <v>0</v>
      </c>
      <c r="Y415" s="70">
        <f t="shared" si="1330"/>
        <v>1</v>
      </c>
      <c r="Z415" s="70">
        <f t="shared" si="1330"/>
        <v>0</v>
      </c>
      <c r="AA415" s="70">
        <f t="shared" si="1330"/>
        <v>0</v>
      </c>
      <c r="AB415" s="70">
        <f t="shared" si="1330"/>
        <v>0</v>
      </c>
      <c r="AC415" s="70">
        <f t="shared" si="1330"/>
        <v>0</v>
      </c>
      <c r="AD415" s="70">
        <f t="shared" si="1330"/>
        <v>1</v>
      </c>
      <c r="AE415" s="70">
        <f t="shared" si="1330"/>
        <v>0</v>
      </c>
      <c r="AF415" s="70">
        <f t="shared" si="1330"/>
        <v>1</v>
      </c>
      <c r="AG415" s="70">
        <f t="shared" si="1330"/>
        <v>0</v>
      </c>
      <c r="AH415" s="70">
        <f t="shared" si="1330"/>
        <v>0</v>
      </c>
      <c r="AI415" s="70">
        <f t="shared" si="1330"/>
        <v>1</v>
      </c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</row>
    <row r="416" spans="1:57" x14ac:dyDescent="0.25">
      <c r="A416" s="132" t="s">
        <v>638</v>
      </c>
      <c r="B416" s="64"/>
      <c r="C416" s="62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</row>
    <row r="417" spans="1:57" x14ac:dyDescent="0.25">
      <c r="A417" s="132"/>
      <c r="B417" s="133"/>
      <c r="C417" s="134"/>
      <c r="D417" s="132"/>
      <c r="E417" s="132"/>
      <c r="F417" s="132"/>
      <c r="G417" s="132"/>
      <c r="H417" s="132"/>
      <c r="I417" s="132"/>
      <c r="J417" s="132"/>
      <c r="K417" s="132"/>
      <c r="L417" s="132"/>
      <c r="M417" s="132"/>
      <c r="N417" s="132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  <c r="Y417" s="132"/>
      <c r="Z417" s="132"/>
      <c r="AA417" s="132"/>
      <c r="AB417" s="132"/>
      <c r="AC417" s="132"/>
      <c r="AD417" s="132"/>
      <c r="AE417" s="132"/>
      <c r="AF417" s="132"/>
      <c r="AG417" s="132"/>
      <c r="AH417" s="132"/>
      <c r="AI417" s="132"/>
      <c r="AJ417" s="132"/>
      <c r="AK417" s="132"/>
      <c r="AL417" s="132"/>
      <c r="AM417" s="132"/>
      <c r="AN417" s="132"/>
      <c r="AO417" s="132"/>
      <c r="AP417" s="132"/>
      <c r="AQ417" s="132"/>
      <c r="AR417" s="132"/>
      <c r="AS417" s="132"/>
      <c r="AT417" s="132"/>
      <c r="AU417" s="132"/>
      <c r="AV417" s="132"/>
      <c r="AW417" s="132"/>
      <c r="AX417" s="132"/>
      <c r="AY417" s="132"/>
      <c r="AZ417" s="132"/>
      <c r="BA417" s="132"/>
      <c r="BB417" s="132"/>
      <c r="BC417" s="132"/>
      <c r="BD417" s="132"/>
      <c r="BE417" s="132"/>
    </row>
    <row r="418" spans="1:57" x14ac:dyDescent="0.25">
      <c r="A418" s="21"/>
      <c r="B418" s="21"/>
      <c r="C418" s="70">
        <v>1</v>
      </c>
      <c r="D418" s="70">
        <v>2</v>
      </c>
      <c r="E418" s="70">
        <v>3</v>
      </c>
      <c r="F418" s="70">
        <v>4</v>
      </c>
      <c r="G418" s="70">
        <v>5</v>
      </c>
      <c r="H418" s="70">
        <v>6</v>
      </c>
      <c r="I418" s="70">
        <v>7</v>
      </c>
      <c r="J418" s="70">
        <v>8</v>
      </c>
      <c r="K418" s="70">
        <v>9</v>
      </c>
      <c r="L418" s="70">
        <v>10</v>
      </c>
      <c r="M418" s="70">
        <v>11</v>
      </c>
      <c r="N418" s="70">
        <v>12</v>
      </c>
      <c r="O418" s="70">
        <v>13</v>
      </c>
      <c r="P418" s="70">
        <v>14</v>
      </c>
      <c r="Q418" s="70">
        <v>15</v>
      </c>
      <c r="R418" s="70">
        <v>16</v>
      </c>
      <c r="S418" s="70">
        <v>17</v>
      </c>
      <c r="T418" s="70">
        <v>18</v>
      </c>
      <c r="U418" s="70">
        <v>19</v>
      </c>
      <c r="V418" s="70">
        <v>20</v>
      </c>
      <c r="W418" s="70">
        <v>21</v>
      </c>
      <c r="X418" s="70">
        <v>22</v>
      </c>
      <c r="Y418" s="70">
        <v>23</v>
      </c>
      <c r="Z418" s="70">
        <v>24</v>
      </c>
      <c r="AA418" s="70">
        <v>25</v>
      </c>
      <c r="AB418" s="70">
        <v>26</v>
      </c>
      <c r="AC418" s="70">
        <v>27</v>
      </c>
      <c r="AD418" s="70">
        <v>28</v>
      </c>
      <c r="AE418" s="70">
        <v>29</v>
      </c>
      <c r="AF418" s="70">
        <v>30</v>
      </c>
      <c r="AG418" s="70">
        <v>31</v>
      </c>
      <c r="AH418" s="70">
        <v>32</v>
      </c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</row>
    <row r="419" spans="1:57" x14ac:dyDescent="0.25">
      <c r="A419" s="114" t="s">
        <v>561</v>
      </c>
      <c r="B419" s="114"/>
      <c r="C419" s="70">
        <f>D415</f>
        <v>0</v>
      </c>
      <c r="D419" s="70">
        <f t="shared" ref="D419" si="1331">E415</f>
        <v>0</v>
      </c>
      <c r="E419" s="70">
        <f t="shared" ref="E419" si="1332">F415</f>
        <v>0</v>
      </c>
      <c r="F419" s="70">
        <f t="shared" ref="F419" si="1333">G415</f>
        <v>1</v>
      </c>
      <c r="G419" s="70">
        <f t="shared" ref="G419" si="1334">H415</f>
        <v>1</v>
      </c>
      <c r="H419" s="70">
        <f t="shared" ref="H419" si="1335">I415</f>
        <v>0</v>
      </c>
      <c r="I419" s="70">
        <f t="shared" ref="I419" si="1336">J415</f>
        <v>1</v>
      </c>
      <c r="J419" s="70">
        <f t="shared" ref="J419" si="1337">K415</f>
        <v>0</v>
      </c>
      <c r="K419" s="70">
        <f t="shared" ref="K419" si="1338">L415</f>
        <v>0</v>
      </c>
      <c r="L419" s="70">
        <f t="shared" ref="L419" si="1339">M415</f>
        <v>1</v>
      </c>
      <c r="M419" s="70">
        <f t="shared" ref="M419" si="1340">N415</f>
        <v>1</v>
      </c>
      <c r="N419" s="70">
        <f t="shared" ref="N419" si="1341">O415</f>
        <v>0</v>
      </c>
      <c r="O419" s="70">
        <f t="shared" ref="O419" si="1342">P415</f>
        <v>0</v>
      </c>
      <c r="P419" s="70">
        <f t="shared" ref="P419" si="1343">Q415</f>
        <v>1</v>
      </c>
      <c r="Q419" s="70">
        <f t="shared" ref="Q419" si="1344">R415</f>
        <v>0</v>
      </c>
      <c r="R419" s="70">
        <f t="shared" ref="R419" si="1345">S415</f>
        <v>1</v>
      </c>
      <c r="S419" s="70">
        <f t="shared" ref="S419" si="1346">T415</f>
        <v>1</v>
      </c>
      <c r="T419" s="70">
        <f t="shared" ref="T419" si="1347">U415</f>
        <v>0</v>
      </c>
      <c r="U419" s="70">
        <f t="shared" ref="U419" si="1348">V415</f>
        <v>0</v>
      </c>
      <c r="V419" s="70">
        <f t="shared" ref="V419" si="1349">W415</f>
        <v>0</v>
      </c>
      <c r="W419" s="70">
        <f t="shared" ref="W419" si="1350">X415</f>
        <v>0</v>
      </c>
      <c r="X419" s="70">
        <f t="shared" ref="X419" si="1351">Y415</f>
        <v>1</v>
      </c>
      <c r="Y419" s="70">
        <f t="shared" ref="Y419" si="1352">Z415</f>
        <v>0</v>
      </c>
      <c r="Z419" s="70">
        <f t="shared" ref="Z419" si="1353">AA415</f>
        <v>0</v>
      </c>
      <c r="AA419" s="70">
        <f t="shared" ref="AA419" si="1354">AB415</f>
        <v>0</v>
      </c>
      <c r="AB419" s="70">
        <f t="shared" ref="AB419" si="1355">AC415</f>
        <v>0</v>
      </c>
      <c r="AC419" s="70">
        <f t="shared" ref="AC419" si="1356">AD415</f>
        <v>1</v>
      </c>
      <c r="AD419" s="70">
        <f t="shared" ref="AD419" si="1357">AE415</f>
        <v>0</v>
      </c>
      <c r="AE419" s="70">
        <f t="shared" ref="AE419" si="1358">AF415</f>
        <v>1</v>
      </c>
      <c r="AF419" s="70">
        <f t="shared" ref="AF419" si="1359">AG415</f>
        <v>0</v>
      </c>
      <c r="AG419" s="70">
        <f t="shared" ref="AG419" si="1360">AH415</f>
        <v>0</v>
      </c>
      <c r="AH419" s="70">
        <f t="shared" ref="AH419" si="1361">AI415</f>
        <v>1</v>
      </c>
      <c r="AI419" s="135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</row>
    <row r="420" spans="1:57" x14ac:dyDescent="0.25">
      <c r="A420" s="21"/>
      <c r="B420" s="64"/>
      <c r="C420" s="62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</row>
    <row r="421" spans="1:57" x14ac:dyDescent="0.25">
      <c r="A421" s="132"/>
      <c r="B421" s="133"/>
      <c r="C421" s="134"/>
      <c r="D421" s="132"/>
      <c r="E421" s="132"/>
      <c r="F421" s="132"/>
      <c r="G421" s="132"/>
      <c r="H421" s="132"/>
      <c r="I421" s="132"/>
      <c r="J421" s="132"/>
      <c r="K421" s="132"/>
      <c r="L421" s="132"/>
      <c r="M421" s="132"/>
      <c r="N421" s="132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  <c r="Y421" s="132"/>
      <c r="Z421" s="132"/>
      <c r="AA421" s="132"/>
      <c r="AB421" s="132"/>
      <c r="AC421" s="132"/>
      <c r="AD421" s="132"/>
      <c r="AE421" s="132"/>
      <c r="AF421" s="132"/>
      <c r="AG421" s="132"/>
      <c r="AH421" s="132"/>
      <c r="AI421" s="132"/>
      <c r="AJ421" s="132"/>
      <c r="AK421" s="132"/>
      <c r="AL421" s="132"/>
      <c r="AM421" s="132"/>
      <c r="AN421" s="132"/>
      <c r="AO421" s="132"/>
      <c r="AP421" s="132"/>
      <c r="AQ421" s="132"/>
      <c r="AR421" s="132"/>
      <c r="AS421" s="132"/>
      <c r="AT421" s="132"/>
      <c r="AU421" s="132"/>
      <c r="AV421" s="132"/>
      <c r="AW421" s="132"/>
      <c r="AX421" s="132"/>
      <c r="AY421" s="132"/>
      <c r="AZ421" s="21"/>
      <c r="BA421" s="21"/>
      <c r="BB421" s="21"/>
      <c r="BC421" s="21"/>
      <c r="BD421" s="21"/>
      <c r="BE421" s="21"/>
    </row>
    <row r="422" spans="1:57" x14ac:dyDescent="0.25">
      <c r="A422" s="21"/>
      <c r="B422" s="64"/>
      <c r="C422" s="62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</row>
    <row r="423" spans="1:57" x14ac:dyDescent="0.25">
      <c r="A423" s="118" t="s">
        <v>532</v>
      </c>
      <c r="B423" s="118"/>
      <c r="C423" s="75">
        <v>32</v>
      </c>
      <c r="D423" s="74">
        <v>1</v>
      </c>
      <c r="E423" s="74">
        <v>2</v>
      </c>
      <c r="F423" s="74">
        <v>3</v>
      </c>
      <c r="G423" s="74">
        <v>4</v>
      </c>
      <c r="H423" s="73">
        <v>5</v>
      </c>
      <c r="I423" s="122"/>
      <c r="J423" s="118">
        <f>AH419</f>
        <v>1</v>
      </c>
      <c r="K423" s="118">
        <f>C419</f>
        <v>0</v>
      </c>
      <c r="L423" s="118">
        <f>D419</f>
        <v>0</v>
      </c>
      <c r="M423" s="118">
        <f>E419</f>
        <v>0</v>
      </c>
      <c r="N423" s="69">
        <f>F419</f>
        <v>1</v>
      </c>
      <c r="O423" s="119">
        <f>G419</f>
        <v>1</v>
      </c>
      <c r="P423" s="122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</row>
    <row r="424" spans="1:57" x14ac:dyDescent="0.25">
      <c r="A424" s="21"/>
      <c r="B424" s="64"/>
      <c r="C424" s="75">
        <v>4</v>
      </c>
      <c r="D424" s="74">
        <v>5</v>
      </c>
      <c r="E424" s="74">
        <v>6</v>
      </c>
      <c r="F424" s="74">
        <v>7</v>
      </c>
      <c r="G424" s="74">
        <v>8</v>
      </c>
      <c r="H424" s="73">
        <v>9</v>
      </c>
      <c r="I424" s="122"/>
      <c r="J424" s="118">
        <f t="shared" ref="J424" si="1362">F419</f>
        <v>1</v>
      </c>
      <c r="K424" s="69">
        <f t="shared" ref="K424" si="1363">G419</f>
        <v>1</v>
      </c>
      <c r="L424" s="69">
        <f t="shared" ref="L424" si="1364">H419</f>
        <v>0</v>
      </c>
      <c r="M424" s="69">
        <f t="shared" ref="M424" si="1365">I419</f>
        <v>1</v>
      </c>
      <c r="N424" s="69">
        <f t="shared" ref="N424" si="1366">J419</f>
        <v>0</v>
      </c>
      <c r="O424" s="119">
        <f t="shared" ref="O424" si="1367">K419</f>
        <v>0</v>
      </c>
      <c r="P424" s="122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</row>
    <row r="425" spans="1:57" x14ac:dyDescent="0.25">
      <c r="A425" s="21"/>
      <c r="B425" s="64"/>
      <c r="C425" s="75">
        <v>8</v>
      </c>
      <c r="D425" s="74">
        <v>9</v>
      </c>
      <c r="E425" s="74">
        <v>10</v>
      </c>
      <c r="F425" s="74">
        <v>11</v>
      </c>
      <c r="G425" s="74">
        <v>12</v>
      </c>
      <c r="H425" s="73">
        <v>13</v>
      </c>
      <c r="I425" s="123"/>
      <c r="J425" s="120">
        <f t="shared" ref="J425:O425" si="1368">J419</f>
        <v>0</v>
      </c>
      <c r="K425" s="69">
        <f t="shared" si="1368"/>
        <v>0</v>
      </c>
      <c r="L425" s="69">
        <f t="shared" si="1368"/>
        <v>1</v>
      </c>
      <c r="M425" s="69">
        <f t="shared" si="1368"/>
        <v>1</v>
      </c>
      <c r="N425" s="69">
        <f t="shared" si="1368"/>
        <v>0</v>
      </c>
      <c r="O425" s="119">
        <f t="shared" si="1368"/>
        <v>0</v>
      </c>
      <c r="P425" s="123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</row>
    <row r="426" spans="1:57" x14ac:dyDescent="0.25">
      <c r="A426" s="21"/>
      <c r="B426" s="64"/>
      <c r="C426" s="75">
        <v>12</v>
      </c>
      <c r="D426" s="74">
        <v>13</v>
      </c>
      <c r="E426" s="74">
        <v>14</v>
      </c>
      <c r="F426" s="74">
        <v>15</v>
      </c>
      <c r="G426" s="74">
        <v>16</v>
      </c>
      <c r="H426" s="73">
        <v>17</v>
      </c>
      <c r="I426" s="122"/>
      <c r="J426" s="118">
        <f t="shared" ref="J426" si="1369">N419</f>
        <v>0</v>
      </c>
      <c r="K426" s="69">
        <f t="shared" ref="K426" si="1370">O419</f>
        <v>0</v>
      </c>
      <c r="L426" s="69">
        <f t="shared" ref="L426" si="1371">P419</f>
        <v>1</v>
      </c>
      <c r="M426" s="69">
        <f t="shared" ref="M426" si="1372">Q419</f>
        <v>0</v>
      </c>
      <c r="N426" s="69">
        <f t="shared" ref="N426" si="1373">R419</f>
        <v>1</v>
      </c>
      <c r="O426" s="119">
        <f t="shared" ref="O426" si="1374">S419</f>
        <v>1</v>
      </c>
      <c r="P426" s="122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</row>
    <row r="427" spans="1:57" x14ac:dyDescent="0.25">
      <c r="A427" s="21"/>
      <c r="B427" s="64"/>
      <c r="C427" s="75">
        <v>16</v>
      </c>
      <c r="D427" s="74">
        <v>17</v>
      </c>
      <c r="E427" s="74">
        <v>18</v>
      </c>
      <c r="F427" s="74">
        <v>19</v>
      </c>
      <c r="G427" s="74">
        <v>20</v>
      </c>
      <c r="H427" s="73">
        <v>21</v>
      </c>
      <c r="I427" s="122"/>
      <c r="J427" s="118">
        <f t="shared" ref="J427" si="1375">R419</f>
        <v>1</v>
      </c>
      <c r="K427" s="69">
        <f t="shared" ref="K427" si="1376">S419</f>
        <v>1</v>
      </c>
      <c r="L427" s="69">
        <f t="shared" ref="L427" si="1377">T419</f>
        <v>0</v>
      </c>
      <c r="M427" s="69">
        <f t="shared" ref="M427" si="1378">U419</f>
        <v>0</v>
      </c>
      <c r="N427" s="69">
        <f t="shared" ref="N427" si="1379">V419</f>
        <v>0</v>
      </c>
      <c r="O427" s="119">
        <f t="shared" ref="O427" si="1380">W419</f>
        <v>0</v>
      </c>
      <c r="P427" s="122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</row>
    <row r="428" spans="1:57" x14ac:dyDescent="0.25">
      <c r="A428" s="21"/>
      <c r="B428" s="64"/>
      <c r="C428" s="75">
        <v>20</v>
      </c>
      <c r="D428" s="74">
        <v>21</v>
      </c>
      <c r="E428" s="74">
        <v>22</v>
      </c>
      <c r="F428" s="74">
        <v>23</v>
      </c>
      <c r="G428" s="74">
        <v>24</v>
      </c>
      <c r="H428" s="73">
        <v>25</v>
      </c>
      <c r="I428" s="122"/>
      <c r="J428" s="118">
        <f t="shared" ref="J428" si="1381">V419</f>
        <v>0</v>
      </c>
      <c r="K428" s="69">
        <f t="shared" ref="K428" si="1382">W419</f>
        <v>0</v>
      </c>
      <c r="L428" s="69">
        <f t="shared" ref="L428" si="1383">X419</f>
        <v>1</v>
      </c>
      <c r="M428" s="69">
        <f t="shared" ref="M428" si="1384">Y419</f>
        <v>0</v>
      </c>
      <c r="N428" s="69">
        <f t="shared" ref="N428" si="1385">Z419</f>
        <v>0</v>
      </c>
      <c r="O428" s="119">
        <f t="shared" ref="O428" si="1386">AA419</f>
        <v>0</v>
      </c>
      <c r="P428" s="122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</row>
    <row r="429" spans="1:57" x14ac:dyDescent="0.25">
      <c r="A429" s="21"/>
      <c r="B429" s="64"/>
      <c r="C429" s="75">
        <v>24</v>
      </c>
      <c r="D429" s="74">
        <v>25</v>
      </c>
      <c r="E429" s="74">
        <v>26</v>
      </c>
      <c r="F429" s="74">
        <v>27</v>
      </c>
      <c r="G429" s="74">
        <v>28</v>
      </c>
      <c r="H429" s="73">
        <v>29</v>
      </c>
      <c r="I429" s="122"/>
      <c r="J429" s="118">
        <f t="shared" ref="J429" si="1387">Z419</f>
        <v>0</v>
      </c>
      <c r="K429" s="69">
        <f t="shared" ref="K429" si="1388">AA419</f>
        <v>0</v>
      </c>
      <c r="L429" s="69">
        <f t="shared" ref="L429" si="1389">AB419</f>
        <v>0</v>
      </c>
      <c r="M429" s="69">
        <f t="shared" ref="M429" si="1390">AC419</f>
        <v>1</v>
      </c>
      <c r="N429" s="69">
        <f t="shared" ref="N429" si="1391">AD419</f>
        <v>0</v>
      </c>
      <c r="O429" s="119">
        <f t="shared" ref="O429" si="1392">AE419</f>
        <v>1</v>
      </c>
      <c r="P429" s="122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</row>
    <row r="430" spans="1:57" x14ac:dyDescent="0.25">
      <c r="A430" s="21"/>
      <c r="B430" s="64"/>
      <c r="C430" s="75">
        <v>28</v>
      </c>
      <c r="D430" s="74">
        <v>29</v>
      </c>
      <c r="E430" s="74">
        <v>30</v>
      </c>
      <c r="F430" s="74">
        <v>31</v>
      </c>
      <c r="G430" s="74">
        <v>32</v>
      </c>
      <c r="H430" s="73">
        <v>1</v>
      </c>
      <c r="I430" s="122"/>
      <c r="J430" s="70">
        <f>AD419</f>
        <v>0</v>
      </c>
      <c r="K430" s="71">
        <f>AE419</f>
        <v>1</v>
      </c>
      <c r="L430" s="71">
        <f>AF419</f>
        <v>0</v>
      </c>
      <c r="M430" s="71">
        <f>AG419</f>
        <v>0</v>
      </c>
      <c r="N430" s="71">
        <f>AH419</f>
        <v>1</v>
      </c>
      <c r="O430" s="121">
        <f>C419</f>
        <v>0</v>
      </c>
      <c r="P430" s="122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</row>
    <row r="431" spans="1:57" x14ac:dyDescent="0.25">
      <c r="A431" s="21"/>
      <c r="B431" s="64"/>
      <c r="C431" s="62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</row>
    <row r="432" spans="1:57" x14ac:dyDescent="0.25">
      <c r="A432" s="21"/>
      <c r="B432" s="64"/>
      <c r="C432" s="62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</row>
    <row r="433" spans="1:57" x14ac:dyDescent="0.25">
      <c r="A433" s="124" t="s">
        <v>533</v>
      </c>
      <c r="B433" s="124"/>
      <c r="C433" s="125">
        <v>1</v>
      </c>
      <c r="D433" s="126">
        <v>2</v>
      </c>
      <c r="E433" s="125">
        <v>3</v>
      </c>
      <c r="F433" s="126">
        <v>4</v>
      </c>
      <c r="G433" s="125">
        <v>5</v>
      </c>
      <c r="H433" s="126">
        <v>6</v>
      </c>
      <c r="I433" s="125">
        <v>7</v>
      </c>
      <c r="J433" s="126">
        <v>8</v>
      </c>
      <c r="K433" s="125">
        <v>9</v>
      </c>
      <c r="L433" s="126">
        <v>10</v>
      </c>
      <c r="M433" s="125">
        <v>11</v>
      </c>
      <c r="N433" s="126">
        <v>12</v>
      </c>
      <c r="O433" s="125">
        <v>13</v>
      </c>
      <c r="P433" s="126">
        <v>14</v>
      </c>
      <c r="Q433" s="125">
        <v>15</v>
      </c>
      <c r="R433" s="126">
        <v>16</v>
      </c>
      <c r="S433" s="125">
        <v>17</v>
      </c>
      <c r="T433" s="126">
        <v>18</v>
      </c>
      <c r="U433" s="125">
        <v>19</v>
      </c>
      <c r="V433" s="126">
        <v>20</v>
      </c>
      <c r="W433" s="125">
        <v>21</v>
      </c>
      <c r="X433" s="126">
        <v>22</v>
      </c>
      <c r="Y433" s="125">
        <v>23</v>
      </c>
      <c r="Z433" s="126">
        <v>24</v>
      </c>
      <c r="AA433" s="125">
        <v>25</v>
      </c>
      <c r="AB433" s="126">
        <v>26</v>
      </c>
      <c r="AC433" s="125">
        <v>27</v>
      </c>
      <c r="AD433" s="126">
        <v>28</v>
      </c>
      <c r="AE433" s="125">
        <v>29</v>
      </c>
      <c r="AF433" s="126">
        <v>30</v>
      </c>
      <c r="AG433" s="125">
        <v>31</v>
      </c>
      <c r="AH433" s="126">
        <v>32</v>
      </c>
      <c r="AI433" s="125">
        <v>33</v>
      </c>
      <c r="AJ433" s="126">
        <v>34</v>
      </c>
      <c r="AK433" s="125">
        <v>35</v>
      </c>
      <c r="AL433" s="126">
        <v>36</v>
      </c>
      <c r="AM433" s="125">
        <v>37</v>
      </c>
      <c r="AN433" s="126">
        <v>38</v>
      </c>
      <c r="AO433" s="125">
        <v>39</v>
      </c>
      <c r="AP433" s="126">
        <v>40</v>
      </c>
      <c r="AQ433" s="125">
        <v>41</v>
      </c>
      <c r="AR433" s="126">
        <v>42</v>
      </c>
      <c r="AS433" s="125">
        <v>43</v>
      </c>
      <c r="AT433" s="126">
        <v>44</v>
      </c>
      <c r="AU433" s="125">
        <v>45</v>
      </c>
      <c r="AV433" s="126">
        <v>46</v>
      </c>
      <c r="AW433" s="125">
        <v>47</v>
      </c>
      <c r="AX433" s="126">
        <v>48</v>
      </c>
      <c r="AY433" s="21"/>
      <c r="AZ433" s="21"/>
      <c r="BA433" s="21"/>
      <c r="BB433" s="21"/>
      <c r="BC433" s="21"/>
      <c r="BD433" s="21"/>
      <c r="BE433" s="21"/>
    </row>
    <row r="434" spans="1:57" x14ac:dyDescent="0.25">
      <c r="A434" s="21"/>
      <c r="B434" s="64"/>
      <c r="C434" s="125">
        <f t="shared" ref="C434" si="1393">J423</f>
        <v>1</v>
      </c>
      <c r="D434" s="125">
        <f t="shared" ref="D434" si="1394">K423</f>
        <v>0</v>
      </c>
      <c r="E434" s="125">
        <f t="shared" ref="E434" si="1395">L423</f>
        <v>0</v>
      </c>
      <c r="F434" s="125">
        <f t="shared" ref="F434" si="1396">M423</f>
        <v>0</v>
      </c>
      <c r="G434" s="126">
        <f t="shared" ref="G434" si="1397">N423</f>
        <v>1</v>
      </c>
      <c r="H434" s="126">
        <f t="shared" ref="H434" si="1398">O423</f>
        <v>1</v>
      </c>
      <c r="I434" s="125">
        <f t="shared" ref="I434" si="1399">J424</f>
        <v>1</v>
      </c>
      <c r="J434" s="125">
        <f t="shared" ref="J434" si="1400">K424</f>
        <v>1</v>
      </c>
      <c r="K434" s="125">
        <f t="shared" ref="K434" si="1401">L424</f>
        <v>0</v>
      </c>
      <c r="L434" s="125">
        <f t="shared" ref="L434" si="1402">M424</f>
        <v>1</v>
      </c>
      <c r="M434" s="125">
        <f t="shared" ref="M434" si="1403">N424</f>
        <v>0</v>
      </c>
      <c r="N434" s="125">
        <f t="shared" ref="N434" si="1404">O424</f>
        <v>0</v>
      </c>
      <c r="O434" s="126">
        <f t="shared" ref="O434" si="1405">J425</f>
        <v>0</v>
      </c>
      <c r="P434" s="126">
        <f t="shared" ref="P434" si="1406">K425</f>
        <v>0</v>
      </c>
      <c r="Q434" s="126">
        <f t="shared" ref="Q434" si="1407">L425</f>
        <v>1</v>
      </c>
      <c r="R434" s="126">
        <f t="shared" ref="R434" si="1408">M425</f>
        <v>1</v>
      </c>
      <c r="S434" s="126">
        <f t="shared" ref="S434" si="1409">N425</f>
        <v>0</v>
      </c>
      <c r="T434" s="126">
        <f t="shared" ref="T434" si="1410">O425</f>
        <v>0</v>
      </c>
      <c r="U434" s="125">
        <f t="shared" ref="U434" si="1411">J426</f>
        <v>0</v>
      </c>
      <c r="V434" s="126">
        <f t="shared" ref="V434" si="1412">K426</f>
        <v>0</v>
      </c>
      <c r="W434" s="125">
        <f t="shared" ref="W434" si="1413">L426</f>
        <v>1</v>
      </c>
      <c r="X434" s="126">
        <f t="shared" ref="X434" si="1414">M426</f>
        <v>0</v>
      </c>
      <c r="Y434" s="125">
        <f t="shared" ref="Y434" si="1415">N426</f>
        <v>1</v>
      </c>
      <c r="Z434" s="126">
        <f t="shared" ref="Z434" si="1416">O426</f>
        <v>1</v>
      </c>
      <c r="AA434" s="125">
        <f t="shared" ref="AA434" si="1417">J427</f>
        <v>1</v>
      </c>
      <c r="AB434" s="126">
        <f t="shared" ref="AB434" si="1418">K427</f>
        <v>1</v>
      </c>
      <c r="AC434" s="125">
        <f>L427</f>
        <v>0</v>
      </c>
      <c r="AD434" s="126">
        <f t="shared" ref="AD434" si="1419">M427</f>
        <v>0</v>
      </c>
      <c r="AE434" s="125">
        <f t="shared" ref="AE434" si="1420">N427</f>
        <v>0</v>
      </c>
      <c r="AF434" s="126">
        <f t="shared" ref="AF434" si="1421">O427</f>
        <v>0</v>
      </c>
      <c r="AG434" s="125">
        <f t="shared" ref="AG434" si="1422">J428</f>
        <v>0</v>
      </c>
      <c r="AH434" s="126">
        <f t="shared" ref="AH434" si="1423">K428</f>
        <v>0</v>
      </c>
      <c r="AI434" s="125">
        <f t="shared" ref="AI434" si="1424">L428</f>
        <v>1</v>
      </c>
      <c r="AJ434" s="126">
        <f t="shared" ref="AJ434" si="1425">M428</f>
        <v>0</v>
      </c>
      <c r="AK434" s="125">
        <f t="shared" ref="AK434" si="1426">N428</f>
        <v>0</v>
      </c>
      <c r="AL434" s="126">
        <f t="shared" ref="AL434" si="1427">O428</f>
        <v>0</v>
      </c>
      <c r="AM434" s="125">
        <f t="shared" ref="AM434" si="1428">J429</f>
        <v>0</v>
      </c>
      <c r="AN434" s="126">
        <f t="shared" ref="AN434" si="1429">K429</f>
        <v>0</v>
      </c>
      <c r="AO434" s="125">
        <f t="shared" ref="AO434" si="1430">L429</f>
        <v>0</v>
      </c>
      <c r="AP434" s="126">
        <f t="shared" ref="AP434" si="1431">M429</f>
        <v>1</v>
      </c>
      <c r="AQ434" s="125">
        <f t="shared" ref="AQ434" si="1432">N429</f>
        <v>0</v>
      </c>
      <c r="AR434" s="126">
        <f t="shared" ref="AR434" si="1433">O429</f>
        <v>1</v>
      </c>
      <c r="AS434" s="125">
        <f t="shared" ref="AS434" si="1434">J430</f>
        <v>0</v>
      </c>
      <c r="AT434" s="126">
        <f t="shared" ref="AT434" si="1435">K430</f>
        <v>1</v>
      </c>
      <c r="AU434" s="125">
        <f t="shared" ref="AU434" si="1436">L430</f>
        <v>0</v>
      </c>
      <c r="AV434" s="126">
        <f t="shared" ref="AV434" si="1437">M430</f>
        <v>0</v>
      </c>
      <c r="AW434" s="125">
        <f t="shared" ref="AW434" si="1438">N430</f>
        <v>1</v>
      </c>
      <c r="AX434" s="126">
        <f t="shared" ref="AX434" si="1439">O430</f>
        <v>0</v>
      </c>
      <c r="AY434" s="21"/>
      <c r="AZ434" s="21"/>
      <c r="BA434" s="21"/>
      <c r="BB434" s="21"/>
      <c r="BC434" s="21"/>
      <c r="BD434" s="21"/>
      <c r="BE434" s="21"/>
    </row>
    <row r="435" spans="1:57" x14ac:dyDescent="0.25">
      <c r="A435" s="21"/>
      <c r="B435" s="64"/>
      <c r="C435" s="62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</row>
    <row r="436" spans="1:57" x14ac:dyDescent="0.25">
      <c r="A436" s="21"/>
      <c r="B436" s="64"/>
      <c r="C436" s="62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</row>
    <row r="437" spans="1:57" x14ac:dyDescent="0.25">
      <c r="A437" s="127" t="s">
        <v>608</v>
      </c>
      <c r="B437" s="127"/>
      <c r="C437" s="77">
        <f>'Key Generator'!D302</f>
        <v>1</v>
      </c>
      <c r="D437" s="77">
        <f>'Key Generator'!E302</f>
        <v>2</v>
      </c>
      <c r="E437" s="77">
        <f>'Key Generator'!F302</f>
        <v>3</v>
      </c>
      <c r="F437" s="77">
        <f>'Key Generator'!G302</f>
        <v>4</v>
      </c>
      <c r="G437" s="77">
        <f>'Key Generator'!H302</f>
        <v>5</v>
      </c>
      <c r="H437" s="77">
        <f>'Key Generator'!I302</f>
        <v>6</v>
      </c>
      <c r="I437" s="77">
        <f>'Key Generator'!J302</f>
        <v>7</v>
      </c>
      <c r="J437" s="77">
        <f>'Key Generator'!K302</f>
        <v>8</v>
      </c>
      <c r="K437" s="77">
        <f>'Key Generator'!L302</f>
        <v>9</v>
      </c>
      <c r="L437" s="77">
        <f>'Key Generator'!M302</f>
        <v>10</v>
      </c>
      <c r="M437" s="77">
        <f>'Key Generator'!N302</f>
        <v>11</v>
      </c>
      <c r="N437" s="77">
        <f>'Key Generator'!O302</f>
        <v>12</v>
      </c>
      <c r="O437" s="77">
        <f>'Key Generator'!P302</f>
        <v>13</v>
      </c>
      <c r="P437" s="77">
        <f>'Key Generator'!Q302</f>
        <v>14</v>
      </c>
      <c r="Q437" s="77">
        <f>'Key Generator'!R302</f>
        <v>15</v>
      </c>
      <c r="R437" s="77">
        <f>'Key Generator'!S302</f>
        <v>16</v>
      </c>
      <c r="S437" s="77">
        <f>'Key Generator'!T302</f>
        <v>17</v>
      </c>
      <c r="T437" s="77">
        <f>'Key Generator'!U302</f>
        <v>18</v>
      </c>
      <c r="U437" s="77">
        <f>'Key Generator'!V302</f>
        <v>19</v>
      </c>
      <c r="V437" s="77">
        <f>'Key Generator'!W302</f>
        <v>20</v>
      </c>
      <c r="W437" s="77">
        <f>'Key Generator'!X302</f>
        <v>21</v>
      </c>
      <c r="X437" s="77">
        <f>'Key Generator'!Y302</f>
        <v>22</v>
      </c>
      <c r="Y437" s="77">
        <f>'Key Generator'!Z302</f>
        <v>23</v>
      </c>
      <c r="Z437" s="77">
        <f>'Key Generator'!AA302</f>
        <v>24</v>
      </c>
      <c r="AA437" s="77">
        <f>'Key Generator'!AB302</f>
        <v>25</v>
      </c>
      <c r="AB437" s="77">
        <f>'Key Generator'!AC302</f>
        <v>26</v>
      </c>
      <c r="AC437" s="77">
        <f>'Key Generator'!AD302</f>
        <v>27</v>
      </c>
      <c r="AD437" s="77">
        <f>'Key Generator'!AE302</f>
        <v>28</v>
      </c>
      <c r="AE437" s="77">
        <f>'Key Generator'!AF302</f>
        <v>29</v>
      </c>
      <c r="AF437" s="77">
        <f>'Key Generator'!AG302</f>
        <v>30</v>
      </c>
      <c r="AG437" s="77">
        <f>'Key Generator'!AH302</f>
        <v>31</v>
      </c>
      <c r="AH437" s="77">
        <f>'Key Generator'!AI302</f>
        <v>32</v>
      </c>
      <c r="AI437" s="77">
        <f>'Key Generator'!AJ302</f>
        <v>33</v>
      </c>
      <c r="AJ437" s="77">
        <f>'Key Generator'!AK302</f>
        <v>34</v>
      </c>
      <c r="AK437" s="77">
        <f>'Key Generator'!AL302</f>
        <v>35</v>
      </c>
      <c r="AL437" s="77">
        <f>'Key Generator'!AM302</f>
        <v>36</v>
      </c>
      <c r="AM437" s="77">
        <f>'Key Generator'!AN302</f>
        <v>37</v>
      </c>
      <c r="AN437" s="77">
        <f>'Key Generator'!AO302</f>
        <v>38</v>
      </c>
      <c r="AO437" s="77">
        <f>'Key Generator'!AP302</f>
        <v>39</v>
      </c>
      <c r="AP437" s="77">
        <f>'Key Generator'!AQ302</f>
        <v>40</v>
      </c>
      <c r="AQ437" s="77">
        <f>'Key Generator'!AR302</f>
        <v>41</v>
      </c>
      <c r="AR437" s="77">
        <f>'Key Generator'!AS302</f>
        <v>42</v>
      </c>
      <c r="AS437" s="77">
        <f>'Key Generator'!AT302</f>
        <v>43</v>
      </c>
      <c r="AT437" s="77">
        <f>'Key Generator'!AU302</f>
        <v>44</v>
      </c>
      <c r="AU437" s="77">
        <f>'Key Generator'!AV302</f>
        <v>45</v>
      </c>
      <c r="AV437" s="77">
        <f>'Key Generator'!AW302</f>
        <v>46</v>
      </c>
      <c r="AW437" s="77">
        <f>'Key Generator'!AX302</f>
        <v>47</v>
      </c>
      <c r="AX437" s="77">
        <f>'Key Generator'!AY302</f>
        <v>48</v>
      </c>
      <c r="AY437" s="21"/>
      <c r="AZ437" s="21"/>
      <c r="BA437" s="21"/>
      <c r="BB437" s="21"/>
      <c r="BC437" s="21"/>
      <c r="BD437" s="21"/>
      <c r="BE437" s="21"/>
    </row>
    <row r="438" spans="1:57" x14ac:dyDescent="0.25">
      <c r="A438" s="21"/>
      <c r="B438" s="64"/>
      <c r="C438" s="77">
        <f>'Key Generator'!D303</f>
        <v>1</v>
      </c>
      <c r="D438" s="77">
        <f>'Key Generator'!E303</f>
        <v>1</v>
      </c>
      <c r="E438" s="77">
        <f>'Key Generator'!F303</f>
        <v>0</v>
      </c>
      <c r="F438" s="77">
        <f>'Key Generator'!G303</f>
        <v>1</v>
      </c>
      <c r="G438" s="77">
        <f>'Key Generator'!H303</f>
        <v>0</v>
      </c>
      <c r="H438" s="77">
        <f>'Key Generator'!I303</f>
        <v>0</v>
      </c>
      <c r="I438" s="77">
        <f>'Key Generator'!J303</f>
        <v>0</v>
      </c>
      <c r="J438" s="77">
        <f>'Key Generator'!K303</f>
        <v>0</v>
      </c>
      <c r="K438" s="77">
        <f>'Key Generator'!L303</f>
        <v>0</v>
      </c>
      <c r="L438" s="77">
        <f>'Key Generator'!M303</f>
        <v>1</v>
      </c>
      <c r="M438" s="77">
        <f>'Key Generator'!N303</f>
        <v>1</v>
      </c>
      <c r="N438" s="77">
        <f>'Key Generator'!O303</f>
        <v>0</v>
      </c>
      <c r="O438" s="77">
        <f>'Key Generator'!P303</f>
        <v>1</v>
      </c>
      <c r="P438" s="77">
        <f>'Key Generator'!Q303</f>
        <v>1</v>
      </c>
      <c r="Q438" s="77">
        <f>'Key Generator'!R303</f>
        <v>0</v>
      </c>
      <c r="R438" s="77">
        <f>'Key Generator'!S303</f>
        <v>0</v>
      </c>
      <c r="S438" s="77">
        <f>'Key Generator'!T303</f>
        <v>1</v>
      </c>
      <c r="T438" s="77">
        <f>'Key Generator'!U303</f>
        <v>0</v>
      </c>
      <c r="U438" s="77">
        <f>'Key Generator'!V303</f>
        <v>0</v>
      </c>
      <c r="V438" s="77">
        <f>'Key Generator'!W303</f>
        <v>0</v>
      </c>
      <c r="W438" s="77">
        <f>'Key Generator'!X303</f>
        <v>0</v>
      </c>
      <c r="X438" s="77">
        <f>'Key Generator'!Y303</f>
        <v>1</v>
      </c>
      <c r="Y438" s="77">
        <f>'Key Generator'!Z303</f>
        <v>0</v>
      </c>
      <c r="Z438" s="77">
        <f>'Key Generator'!AA303</f>
        <v>0</v>
      </c>
      <c r="AA438" s="77">
        <f>'Key Generator'!AB303</f>
        <v>1</v>
      </c>
      <c r="AB438" s="77">
        <f>'Key Generator'!AC303</f>
        <v>1</v>
      </c>
      <c r="AC438" s="77">
        <f>'Key Generator'!AD303</f>
        <v>1</v>
      </c>
      <c r="AD438" s="77">
        <f>'Key Generator'!AE303</f>
        <v>0</v>
      </c>
      <c r="AE438" s="77">
        <f>'Key Generator'!AF303</f>
        <v>0</v>
      </c>
      <c r="AF438" s="77">
        <f>'Key Generator'!AG303</f>
        <v>0</v>
      </c>
      <c r="AG438" s="77">
        <f>'Key Generator'!AH303</f>
        <v>1</v>
      </c>
      <c r="AH438" s="77">
        <f>'Key Generator'!AI303</f>
        <v>1</v>
      </c>
      <c r="AI438" s="77">
        <f>'Key Generator'!AJ303</f>
        <v>1</v>
      </c>
      <c r="AJ438" s="77">
        <f>'Key Generator'!AK303</f>
        <v>0</v>
      </c>
      <c r="AK438" s="77">
        <f>'Key Generator'!AL303</f>
        <v>0</v>
      </c>
      <c r="AL438" s="77">
        <f>'Key Generator'!AM303</f>
        <v>1</v>
      </c>
      <c r="AM438" s="77">
        <f>'Key Generator'!AN303</f>
        <v>1</v>
      </c>
      <c r="AN438" s="77">
        <f>'Key Generator'!AO303</f>
        <v>0</v>
      </c>
      <c r="AO438" s="77">
        <f>'Key Generator'!AP303</f>
        <v>0</v>
      </c>
      <c r="AP438" s="77">
        <f>'Key Generator'!AQ303</f>
        <v>0</v>
      </c>
      <c r="AQ438" s="77">
        <f>'Key Generator'!AR303</f>
        <v>0</v>
      </c>
      <c r="AR438" s="77">
        <f>'Key Generator'!AS303</f>
        <v>0</v>
      </c>
      <c r="AS438" s="77">
        <f>'Key Generator'!AT303</f>
        <v>1</v>
      </c>
      <c r="AT438" s="77">
        <f>'Key Generator'!AU303</f>
        <v>1</v>
      </c>
      <c r="AU438" s="77">
        <f>'Key Generator'!AV303</f>
        <v>0</v>
      </c>
      <c r="AV438" s="77">
        <f>'Key Generator'!AW303</f>
        <v>1</v>
      </c>
      <c r="AW438" s="77">
        <f>'Key Generator'!AX303</f>
        <v>1</v>
      </c>
      <c r="AX438" s="77">
        <f>'Key Generator'!AY303</f>
        <v>0</v>
      </c>
      <c r="AY438" s="21"/>
      <c r="AZ438" s="21"/>
      <c r="BA438" s="21"/>
      <c r="BB438" s="21"/>
      <c r="BC438" s="21"/>
      <c r="BD438" s="21"/>
      <c r="BE438" s="21"/>
    </row>
    <row r="439" spans="1:57" x14ac:dyDescent="0.25">
      <c r="A439" s="21"/>
      <c r="B439" s="64"/>
      <c r="C439" s="62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</row>
    <row r="440" spans="1:57" x14ac:dyDescent="0.25">
      <c r="A440" s="21"/>
      <c r="B440" s="64"/>
      <c r="C440" s="62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</row>
    <row r="441" spans="1:57" x14ac:dyDescent="0.25">
      <c r="A441" s="128" t="s">
        <v>535</v>
      </c>
      <c r="B441" s="129"/>
      <c r="C441" s="79">
        <v>1</v>
      </c>
      <c r="D441" s="80">
        <v>2</v>
      </c>
      <c r="E441" s="79">
        <v>3</v>
      </c>
      <c r="F441" s="80">
        <v>4</v>
      </c>
      <c r="G441" s="79">
        <v>5</v>
      </c>
      <c r="H441" s="80">
        <v>6</v>
      </c>
      <c r="I441" s="79">
        <v>7</v>
      </c>
      <c r="J441" s="80">
        <v>8</v>
      </c>
      <c r="K441" s="79">
        <v>9</v>
      </c>
      <c r="L441" s="80">
        <v>10</v>
      </c>
      <c r="M441" s="79">
        <v>11</v>
      </c>
      <c r="N441" s="80">
        <v>12</v>
      </c>
      <c r="O441" s="79">
        <v>13</v>
      </c>
      <c r="P441" s="80">
        <v>14</v>
      </c>
      <c r="Q441" s="79">
        <v>15</v>
      </c>
      <c r="R441" s="80">
        <v>16</v>
      </c>
      <c r="S441" s="79">
        <v>17</v>
      </c>
      <c r="T441" s="80">
        <v>18</v>
      </c>
      <c r="U441" s="79">
        <v>19</v>
      </c>
      <c r="V441" s="80">
        <v>20</v>
      </c>
      <c r="W441" s="79">
        <v>21</v>
      </c>
      <c r="X441" s="80">
        <v>22</v>
      </c>
      <c r="Y441" s="79">
        <v>23</v>
      </c>
      <c r="Z441" s="80">
        <v>24</v>
      </c>
      <c r="AA441" s="79">
        <v>25</v>
      </c>
      <c r="AB441" s="80">
        <v>26</v>
      </c>
      <c r="AC441" s="79">
        <v>27</v>
      </c>
      <c r="AD441" s="80">
        <v>28</v>
      </c>
      <c r="AE441" s="79">
        <v>29</v>
      </c>
      <c r="AF441" s="80">
        <v>30</v>
      </c>
      <c r="AG441" s="79">
        <v>31</v>
      </c>
      <c r="AH441" s="80">
        <v>32</v>
      </c>
      <c r="AI441" s="79">
        <v>33</v>
      </c>
      <c r="AJ441" s="80">
        <v>34</v>
      </c>
      <c r="AK441" s="79">
        <v>35</v>
      </c>
      <c r="AL441" s="80">
        <v>36</v>
      </c>
      <c r="AM441" s="79">
        <v>37</v>
      </c>
      <c r="AN441" s="80">
        <v>38</v>
      </c>
      <c r="AO441" s="79">
        <v>39</v>
      </c>
      <c r="AP441" s="80">
        <v>40</v>
      </c>
      <c r="AQ441" s="79">
        <v>41</v>
      </c>
      <c r="AR441" s="80">
        <v>42</v>
      </c>
      <c r="AS441" s="79">
        <v>43</v>
      </c>
      <c r="AT441" s="80">
        <v>44</v>
      </c>
      <c r="AU441" s="79">
        <v>45</v>
      </c>
      <c r="AV441" s="80">
        <v>46</v>
      </c>
      <c r="AW441" s="79">
        <v>47</v>
      </c>
      <c r="AX441" s="80">
        <v>48</v>
      </c>
      <c r="AY441" s="21"/>
      <c r="AZ441" s="21"/>
      <c r="BA441" s="21"/>
      <c r="BB441" s="21"/>
      <c r="BC441" s="21"/>
      <c r="BD441" s="21"/>
      <c r="BE441" s="21"/>
    </row>
    <row r="442" spans="1:57" x14ac:dyDescent="0.25">
      <c r="A442" s="21"/>
      <c r="B442" s="64"/>
      <c r="C442" s="88">
        <f>--_xlfn.XOR(C434,'Key Generator'!D303)</f>
        <v>0</v>
      </c>
      <c r="D442" s="88">
        <f>--_xlfn.XOR(D434,'Key Generator'!E303)</f>
        <v>1</v>
      </c>
      <c r="E442" s="88">
        <f>--_xlfn.XOR(E434,'Key Generator'!F303)</f>
        <v>0</v>
      </c>
      <c r="F442" s="88">
        <f>--_xlfn.XOR(F434,'Key Generator'!G303)</f>
        <v>1</v>
      </c>
      <c r="G442" s="88">
        <f>--_xlfn.XOR(G434,'Key Generator'!H303)</f>
        <v>1</v>
      </c>
      <c r="H442" s="88">
        <f>--_xlfn.XOR(H434,'Key Generator'!I303)</f>
        <v>1</v>
      </c>
      <c r="I442" s="87">
        <f>--_xlfn.XOR(I434,'Key Generator'!J303)</f>
        <v>1</v>
      </c>
      <c r="J442" s="87">
        <f>--_xlfn.XOR(J434,'Key Generator'!K303)</f>
        <v>1</v>
      </c>
      <c r="K442" s="87">
        <f>--_xlfn.XOR(K434,'Key Generator'!L303)</f>
        <v>0</v>
      </c>
      <c r="L442" s="87">
        <f>--_xlfn.XOR(L434,'Key Generator'!M303)</f>
        <v>0</v>
      </c>
      <c r="M442" s="87">
        <f>--_xlfn.XOR(M434,'Key Generator'!N303)</f>
        <v>1</v>
      </c>
      <c r="N442" s="87">
        <f>--_xlfn.XOR(N434,'Key Generator'!O303)</f>
        <v>0</v>
      </c>
      <c r="O442" s="89">
        <f>--_xlfn.XOR(O434,'Key Generator'!P303)</f>
        <v>1</v>
      </c>
      <c r="P442" s="89">
        <f>--_xlfn.XOR(P434,'Key Generator'!Q303)</f>
        <v>1</v>
      </c>
      <c r="Q442" s="89">
        <f>--_xlfn.XOR(Q434,'Key Generator'!R303)</f>
        <v>1</v>
      </c>
      <c r="R442" s="89">
        <f>--_xlfn.XOR(R434,'Key Generator'!S303)</f>
        <v>1</v>
      </c>
      <c r="S442" s="89">
        <f>--_xlfn.XOR(S434,'Key Generator'!T303)</f>
        <v>1</v>
      </c>
      <c r="T442" s="89">
        <f>--_xlfn.XOR(T434,'Key Generator'!U303)</f>
        <v>0</v>
      </c>
      <c r="U442" s="149">
        <f>--_xlfn.XOR(U434,'Key Generator'!V303)</f>
        <v>0</v>
      </c>
      <c r="V442" s="149">
        <f>--_xlfn.XOR(V434,'Key Generator'!W303)</f>
        <v>0</v>
      </c>
      <c r="W442" s="149">
        <f>--_xlfn.XOR(W434,'Key Generator'!X303)</f>
        <v>1</v>
      </c>
      <c r="X442" s="149">
        <f>--_xlfn.XOR(X434,'Key Generator'!Y303)</f>
        <v>1</v>
      </c>
      <c r="Y442" s="149">
        <f>--_xlfn.XOR(Y434,'Key Generator'!Z303)</f>
        <v>1</v>
      </c>
      <c r="Z442" s="149">
        <f>--_xlfn.XOR(Z434,'Key Generator'!AA303)</f>
        <v>1</v>
      </c>
      <c r="AA442" s="91">
        <f>--_xlfn.XOR(AA434,'Key Generator'!AB303)</f>
        <v>0</v>
      </c>
      <c r="AB442" s="91">
        <f>--_xlfn.XOR(AB434,'Key Generator'!AC303)</f>
        <v>0</v>
      </c>
      <c r="AC442" s="91">
        <f>--_xlfn.XOR(AC434,'Key Generator'!AD303)</f>
        <v>1</v>
      </c>
      <c r="AD442" s="91">
        <f>--_xlfn.XOR(AD434,'Key Generator'!AE303)</f>
        <v>0</v>
      </c>
      <c r="AE442" s="91">
        <f>--_xlfn.XOR(AE434,'Key Generator'!AF303)</f>
        <v>0</v>
      </c>
      <c r="AF442" s="91">
        <f>--_xlfn.XOR(AF434,'Key Generator'!AG303)</f>
        <v>0</v>
      </c>
      <c r="AG442" s="92">
        <f>--_xlfn.XOR(AG434,'Key Generator'!AH303)</f>
        <v>1</v>
      </c>
      <c r="AH442" s="92">
        <f>--_xlfn.XOR(AH434,'Key Generator'!AI303)</f>
        <v>1</v>
      </c>
      <c r="AI442" s="92">
        <f>--_xlfn.XOR(AI434,'Key Generator'!AJ303)</f>
        <v>0</v>
      </c>
      <c r="AJ442" s="92">
        <f>--_xlfn.XOR(AJ434,'Key Generator'!AK303)</f>
        <v>0</v>
      </c>
      <c r="AK442" s="92">
        <f>--_xlfn.XOR(AK434,'Key Generator'!AL303)</f>
        <v>0</v>
      </c>
      <c r="AL442" s="92">
        <f>--_xlfn.XOR(AL434,'Key Generator'!AM303)</f>
        <v>1</v>
      </c>
      <c r="AM442" s="86">
        <f>--_xlfn.XOR(AM434,'Key Generator'!AN303)</f>
        <v>1</v>
      </c>
      <c r="AN442" s="86">
        <f>--_xlfn.XOR(AN434,'Key Generator'!AO303)</f>
        <v>0</v>
      </c>
      <c r="AO442" s="86">
        <f>--_xlfn.XOR(AO434,'Key Generator'!AP303)</f>
        <v>0</v>
      </c>
      <c r="AP442" s="86">
        <f>--_xlfn.XOR(AP434,'Key Generator'!AQ303)</f>
        <v>1</v>
      </c>
      <c r="AQ442" s="86">
        <f>--_xlfn.XOR(AQ434,'Key Generator'!AR303)</f>
        <v>0</v>
      </c>
      <c r="AR442" s="86">
        <f>--_xlfn.XOR(AR434,'Key Generator'!AS303)</f>
        <v>1</v>
      </c>
      <c r="AS442" s="81">
        <f>--_xlfn.XOR(AS434,'Key Generator'!AT303)</f>
        <v>1</v>
      </c>
      <c r="AT442" s="81">
        <f>--_xlfn.XOR(AT434,'Key Generator'!AU303)</f>
        <v>0</v>
      </c>
      <c r="AU442" s="81">
        <f>--_xlfn.XOR(AU434,'Key Generator'!AV303)</f>
        <v>0</v>
      </c>
      <c r="AV442" s="81">
        <f>--_xlfn.XOR(AV434,'Key Generator'!AW303)</f>
        <v>1</v>
      </c>
      <c r="AW442" s="81">
        <f>--_xlfn.XOR(AW434,'Key Generator'!AX303)</f>
        <v>0</v>
      </c>
      <c r="AX442" s="81">
        <f>--_xlfn.XOR(AX434,'Key Generator'!AY303)</f>
        <v>0</v>
      </c>
      <c r="AY442" s="21"/>
      <c r="AZ442" s="21"/>
      <c r="BA442" s="21"/>
      <c r="BB442" s="21"/>
      <c r="BC442" s="21"/>
      <c r="BD442" s="21"/>
      <c r="BE442" s="21"/>
    </row>
    <row r="443" spans="1:57" x14ac:dyDescent="0.25">
      <c r="A443" s="21"/>
      <c r="B443" s="64"/>
      <c r="C443" s="93"/>
      <c r="D443" s="94"/>
      <c r="E443" s="94"/>
      <c r="F443" s="94"/>
      <c r="G443" s="94"/>
      <c r="H443" s="94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</row>
    <row r="444" spans="1:57" x14ac:dyDescent="0.25">
      <c r="A444" s="96" t="s">
        <v>545</v>
      </c>
      <c r="B444" s="97"/>
      <c r="C444" s="161">
        <f>D442*8+E442*4+F442*2+G442</f>
        <v>11</v>
      </c>
      <c r="D444" s="97" t="s">
        <v>536</v>
      </c>
      <c r="E444" s="97"/>
      <c r="F444" s="97"/>
      <c r="G444" s="97"/>
      <c r="H444" s="97"/>
      <c r="I444" s="161">
        <f>J442*8+K442*4+L442*2+M442</f>
        <v>9</v>
      </c>
      <c r="J444" s="97" t="s">
        <v>537</v>
      </c>
      <c r="K444" s="97"/>
      <c r="L444" s="97"/>
      <c r="M444" s="97"/>
      <c r="N444" s="97"/>
      <c r="O444" s="161">
        <f>P442*8+Q442*4+R442*2+S442</f>
        <v>15</v>
      </c>
      <c r="P444" s="97" t="s">
        <v>538</v>
      </c>
      <c r="Q444" s="97"/>
      <c r="R444" s="97"/>
      <c r="S444" s="97"/>
      <c r="T444" s="97"/>
      <c r="U444" s="161">
        <f>V442*8+W442*4+X442*2+Y442</f>
        <v>7</v>
      </c>
      <c r="V444" s="97" t="s">
        <v>539</v>
      </c>
      <c r="W444" s="97"/>
      <c r="X444" s="97"/>
      <c r="Y444" s="97"/>
      <c r="Z444" s="97"/>
      <c r="AA444" s="161">
        <f>AB442*8+AC442*4+AD442*2+AE442</f>
        <v>4</v>
      </c>
      <c r="AB444" s="97" t="s">
        <v>540</v>
      </c>
      <c r="AC444" s="97"/>
      <c r="AD444" s="97"/>
      <c r="AE444" s="97"/>
      <c r="AF444" s="97"/>
      <c r="AG444" s="161">
        <f>AH442*8+AI442*4+AJ442*2+AK442</f>
        <v>8</v>
      </c>
      <c r="AH444" s="97" t="s">
        <v>541</v>
      </c>
      <c r="AI444" s="97"/>
      <c r="AJ444" s="97"/>
      <c r="AK444" s="97"/>
      <c r="AL444" s="97"/>
      <c r="AM444" s="161">
        <f>AN442*8+AO442*4+AP442*2+AQ442</f>
        <v>2</v>
      </c>
      <c r="AN444" s="97" t="s">
        <v>542</v>
      </c>
      <c r="AO444" s="97"/>
      <c r="AP444" s="97"/>
      <c r="AQ444" s="97"/>
      <c r="AR444" s="97"/>
      <c r="AS444" s="161">
        <f>AT442*8+AU442*4+AV442*2+AW442</f>
        <v>2</v>
      </c>
      <c r="AT444" s="97" t="s">
        <v>543</v>
      </c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</row>
    <row r="445" spans="1:57" x14ac:dyDescent="0.25">
      <c r="A445" s="100" t="s">
        <v>546</v>
      </c>
      <c r="B445" s="99"/>
      <c r="C445" s="87">
        <f>C442*2+H442</f>
        <v>1</v>
      </c>
      <c r="D445" s="98"/>
      <c r="E445" s="98"/>
      <c r="F445" s="99"/>
      <c r="G445" s="99"/>
      <c r="H445" s="99"/>
      <c r="I445" s="87">
        <f>I442*2+N442</f>
        <v>2</v>
      </c>
      <c r="J445" s="99"/>
      <c r="K445" s="99"/>
      <c r="L445" s="99"/>
      <c r="M445" s="99"/>
      <c r="N445" s="99"/>
      <c r="O445" s="87">
        <f>O442*2+T442</f>
        <v>2</v>
      </c>
      <c r="P445" s="99"/>
      <c r="Q445" s="99"/>
      <c r="R445" s="99"/>
      <c r="S445" s="99"/>
      <c r="T445" s="99"/>
      <c r="U445" s="87">
        <f>U442*2+Z442</f>
        <v>1</v>
      </c>
      <c r="V445" s="99"/>
      <c r="W445" s="99"/>
      <c r="X445" s="99"/>
      <c r="Y445" s="99"/>
      <c r="Z445" s="99"/>
      <c r="AA445" s="87">
        <f>AA442*2+AF442</f>
        <v>0</v>
      </c>
      <c r="AB445" s="99"/>
      <c r="AC445" s="99"/>
      <c r="AD445" s="99"/>
      <c r="AE445" s="99"/>
      <c r="AF445" s="99"/>
      <c r="AG445" s="87">
        <f>AG442*2+AL442</f>
        <v>3</v>
      </c>
      <c r="AH445" s="99"/>
      <c r="AI445" s="99"/>
      <c r="AJ445" s="99"/>
      <c r="AK445" s="99"/>
      <c r="AL445" s="99"/>
      <c r="AM445" s="87">
        <f>AM442*2+AR442</f>
        <v>3</v>
      </c>
      <c r="AN445" s="99"/>
      <c r="AO445" s="99"/>
      <c r="AP445" s="99"/>
      <c r="AQ445" s="99"/>
      <c r="AR445" s="99"/>
      <c r="AS445" s="87">
        <f>AS442*2+AX442</f>
        <v>2</v>
      </c>
      <c r="AT445" s="99"/>
      <c r="AU445" s="99"/>
      <c r="AV445" s="99"/>
      <c r="AW445" s="99"/>
      <c r="AX445" s="99"/>
      <c r="AY445" s="99"/>
      <c r="AZ445" s="99"/>
      <c r="BA445" s="99"/>
      <c r="BB445" s="99"/>
      <c r="BC445" s="99"/>
      <c r="BD445" s="99"/>
      <c r="BE445" s="99"/>
    </row>
    <row r="446" spans="1:57" x14ac:dyDescent="0.25">
      <c r="A446" s="21"/>
      <c r="B446" s="64"/>
      <c r="C446" s="62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</row>
    <row r="447" spans="1:57" x14ac:dyDescent="0.25">
      <c r="A447" s="117" t="s">
        <v>547</v>
      </c>
      <c r="B447" s="64"/>
      <c r="C447" s="72">
        <f>INDEX('S-Box'!D3:S6,'DES-Dec'!C445+1,'DES-Dec'!C444+1)</f>
        <v>11</v>
      </c>
      <c r="D447" s="21"/>
      <c r="E447" s="21"/>
      <c r="F447" s="21"/>
      <c r="G447" s="21"/>
      <c r="H447" s="21"/>
      <c r="I447" s="168">
        <f>INDEX('S-Box'!D9:S12,'DES-Dec'!I445+1,'DES-Dec'!I444+1)</f>
        <v>8</v>
      </c>
      <c r="J447" s="21"/>
      <c r="K447" s="21"/>
      <c r="L447" s="21"/>
      <c r="M447" s="21"/>
      <c r="N447" s="21"/>
      <c r="O447" s="168">
        <f>INDEX('S-Box'!D15:S18,'DES-Dec'!O445+1,'DES-Dec'!O444+1)</f>
        <v>7</v>
      </c>
      <c r="P447" s="21"/>
      <c r="Q447" s="21"/>
      <c r="R447" s="21"/>
      <c r="S447" s="21"/>
      <c r="T447" s="21"/>
      <c r="U447" s="168">
        <f>INDEX('S-Box'!D21:S24,'DES-Dec'!U445+1,'DES-Dec'!U444+1)</f>
        <v>3</v>
      </c>
      <c r="V447" s="21"/>
      <c r="W447" s="21"/>
      <c r="X447" s="21"/>
      <c r="Y447" s="21"/>
      <c r="Z447" s="21"/>
      <c r="AA447" s="168">
        <f>INDEX('S-Box'!D27:S30,'DES-Dec'!AA445+1,'DES-Dec'!AA444+1)</f>
        <v>7</v>
      </c>
      <c r="AB447" s="21"/>
      <c r="AC447" s="21"/>
      <c r="AD447" s="21"/>
      <c r="AE447" s="21"/>
      <c r="AF447" s="21"/>
      <c r="AG447" s="168">
        <f>INDEX('S-Box'!D33:S36,'DES-Dec'!AG445+1,'DES-Dec'!AG444+1)</f>
        <v>11</v>
      </c>
      <c r="AH447" s="21"/>
      <c r="AI447" s="21"/>
      <c r="AJ447" s="21"/>
      <c r="AK447" s="21"/>
      <c r="AL447" s="21"/>
      <c r="AM447" s="168">
        <f>INDEX('S-Box'!D39:S42,'DES-Dec'!AM445+1,'DES-Dec'!AM444+1)</f>
        <v>13</v>
      </c>
      <c r="AN447" s="21"/>
      <c r="AO447" s="21"/>
      <c r="AP447" s="21"/>
      <c r="AQ447" s="21"/>
      <c r="AR447" s="21"/>
      <c r="AS447" s="168">
        <f>INDEX('S-Box'!D45:S48,'DES-Dec'!AS445+1,'DES-Dec'!AS444+1)</f>
        <v>4</v>
      </c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</row>
    <row r="448" spans="1:57" x14ac:dyDescent="0.25">
      <c r="A448" s="21"/>
      <c r="B448" s="64"/>
      <c r="C448" s="104"/>
      <c r="D448" s="21"/>
      <c r="E448" s="21"/>
      <c r="F448" s="21"/>
      <c r="G448" s="21"/>
      <c r="H448" s="21"/>
      <c r="I448" s="95"/>
      <c r="J448" s="21"/>
      <c r="K448" s="21"/>
      <c r="L448" s="21"/>
      <c r="M448" s="21"/>
      <c r="N448" s="21"/>
      <c r="O448" s="95"/>
      <c r="P448" s="21"/>
      <c r="Q448" s="21"/>
      <c r="R448" s="21"/>
      <c r="S448" s="21"/>
      <c r="T448" s="21"/>
      <c r="U448" s="95"/>
      <c r="V448" s="21"/>
      <c r="W448" s="21"/>
      <c r="X448" s="21"/>
      <c r="Y448" s="21"/>
      <c r="Z448" s="21"/>
      <c r="AA448" s="95"/>
      <c r="AB448" s="21"/>
      <c r="AC448" s="21"/>
      <c r="AD448" s="21"/>
      <c r="AE448" s="21"/>
      <c r="AF448" s="21"/>
      <c r="AG448" s="95"/>
      <c r="AH448" s="21"/>
      <c r="AI448" s="21"/>
      <c r="AJ448" s="21"/>
      <c r="AK448" s="21"/>
      <c r="AL448" s="21"/>
      <c r="AM448" s="95"/>
      <c r="AN448" s="21"/>
      <c r="AO448" s="21"/>
      <c r="AP448" s="21"/>
      <c r="AQ448" s="21"/>
      <c r="AR448" s="21"/>
      <c r="AS448" s="95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</row>
    <row r="449" spans="1:57" x14ac:dyDescent="0.25">
      <c r="A449" s="21"/>
      <c r="B449" s="64"/>
      <c r="C449" s="105" t="str">
        <f>MID(DEC2BIN(C447,4),1,1)</f>
        <v>1</v>
      </c>
      <c r="D449" s="106" t="str">
        <f>MID(DEC2BIN(C447,4),2,1)</f>
        <v>0</v>
      </c>
      <c r="E449" s="106" t="str">
        <f>MID(DEC2BIN(C447,4),3,1)</f>
        <v>1</v>
      </c>
      <c r="F449" s="107" t="str">
        <f>MID(DEC2BIN(C447,4),4,1)</f>
        <v>1</v>
      </c>
      <c r="G449" s="21"/>
      <c r="H449" s="21"/>
      <c r="I449" s="105" t="str">
        <f>MID(DEC2BIN(I447,4),1,1)</f>
        <v>1</v>
      </c>
      <c r="J449" s="106" t="str">
        <f>MID(DEC2BIN(I447,4),2,1)</f>
        <v>0</v>
      </c>
      <c r="K449" s="106" t="str">
        <f>MID(DEC2BIN(I447,4),3,1)</f>
        <v>0</v>
      </c>
      <c r="L449" s="107" t="str">
        <f>MID(DEC2BIN(I447,4),4,1)</f>
        <v>0</v>
      </c>
      <c r="M449" s="21"/>
      <c r="N449" s="21"/>
      <c r="O449" s="105" t="str">
        <f>MID(DEC2BIN(O447,4),1,1)</f>
        <v>0</v>
      </c>
      <c r="P449" s="106" t="str">
        <f>MID(DEC2BIN(O447,4),2,1)</f>
        <v>1</v>
      </c>
      <c r="Q449" s="106" t="str">
        <f>MID(DEC2BIN(O447,4),3,1)</f>
        <v>1</v>
      </c>
      <c r="R449" s="107" t="str">
        <f>MID(DEC2BIN(O447,4),4,1)</f>
        <v>1</v>
      </c>
      <c r="S449" s="21"/>
      <c r="T449" s="21"/>
      <c r="U449" s="105" t="str">
        <f>MID(DEC2BIN(U447,4),1,1)</f>
        <v>0</v>
      </c>
      <c r="V449" s="106" t="str">
        <f>MID(DEC2BIN(U447,4),2,1)</f>
        <v>0</v>
      </c>
      <c r="W449" s="106" t="str">
        <f>MID(DEC2BIN(U447,4),3,1)</f>
        <v>1</v>
      </c>
      <c r="X449" s="107" t="str">
        <f>MID(DEC2BIN(U447,4),4,1)</f>
        <v>1</v>
      </c>
      <c r="Y449" s="21"/>
      <c r="Z449" s="21"/>
      <c r="AA449" s="105" t="str">
        <f>MID(DEC2BIN(AA447,4),1,1)</f>
        <v>0</v>
      </c>
      <c r="AB449" s="106" t="str">
        <f>MID(DEC2BIN(AA447,4),2,1)</f>
        <v>1</v>
      </c>
      <c r="AC449" s="106" t="str">
        <f>MID(DEC2BIN(AA447,4),3,1)</f>
        <v>1</v>
      </c>
      <c r="AD449" s="107" t="str">
        <f>MID(DEC2BIN(AA447,4),4,1)</f>
        <v>1</v>
      </c>
      <c r="AE449" s="21"/>
      <c r="AF449" s="21"/>
      <c r="AG449" s="105" t="str">
        <f>MID(DEC2BIN(AG447,4),1,1)</f>
        <v>1</v>
      </c>
      <c r="AH449" s="106" t="str">
        <f>MID(DEC2BIN(AG447,4),2,1)</f>
        <v>0</v>
      </c>
      <c r="AI449" s="106" t="str">
        <f>MID(DEC2BIN(AG447,4),3,1)</f>
        <v>1</v>
      </c>
      <c r="AJ449" s="107" t="str">
        <f>MID(DEC2BIN(AG447,4),4,1)</f>
        <v>1</v>
      </c>
      <c r="AK449" s="21"/>
      <c r="AL449" s="21"/>
      <c r="AM449" s="105" t="str">
        <f>MID(DEC2BIN(AM447,4),1,1)</f>
        <v>1</v>
      </c>
      <c r="AN449" s="106" t="str">
        <f>MID(DEC2BIN(AM447,4),2,1)</f>
        <v>1</v>
      </c>
      <c r="AO449" s="106" t="str">
        <f>MID(DEC2BIN(AM447,4),3,1)</f>
        <v>0</v>
      </c>
      <c r="AP449" s="107" t="str">
        <f>MID(DEC2BIN(AM447,4),4,1)</f>
        <v>1</v>
      </c>
      <c r="AQ449" s="21"/>
      <c r="AR449" s="21"/>
      <c r="AS449" s="105" t="str">
        <f>MID(DEC2BIN(AS447,4),1,1)</f>
        <v>0</v>
      </c>
      <c r="AT449" s="106" t="str">
        <f>MID(DEC2BIN(AS447,4),2,1)</f>
        <v>1</v>
      </c>
      <c r="AU449" s="106" t="str">
        <f>MID(DEC2BIN(AS447,4),3,1)</f>
        <v>0</v>
      </c>
      <c r="AV449" s="107" t="str">
        <f>MID(DEC2BIN(AS447,4),4,1)</f>
        <v>0</v>
      </c>
      <c r="AW449" s="21"/>
      <c r="AX449" s="21"/>
      <c r="AY449" s="21"/>
      <c r="AZ449" s="21"/>
      <c r="BA449" s="21"/>
      <c r="BB449" s="21"/>
      <c r="BC449" s="21"/>
      <c r="BD449" s="21"/>
      <c r="BE449" s="21"/>
    </row>
    <row r="450" spans="1:57" s="21" customFormat="1" ht="24.95" customHeight="1" x14ac:dyDescent="0.25">
      <c r="B450" s="64"/>
      <c r="C450" s="21">
        <f>VALUE(C449)</f>
        <v>1</v>
      </c>
      <c r="D450" s="21">
        <f t="shared" ref="D450" si="1440">VALUE(D449)</f>
        <v>0</v>
      </c>
      <c r="E450" s="21">
        <f t="shared" ref="E450" si="1441">VALUE(E449)</f>
        <v>1</v>
      </c>
      <c r="F450" s="21">
        <f t="shared" ref="F450" si="1442">VALUE(F449)</f>
        <v>1</v>
      </c>
      <c r="I450" s="21">
        <f t="shared" ref="I450" si="1443">VALUE(I449)</f>
        <v>1</v>
      </c>
      <c r="J450" s="21">
        <f t="shared" ref="J450" si="1444">VALUE(J449)</f>
        <v>0</v>
      </c>
      <c r="K450" s="21">
        <f t="shared" ref="K450" si="1445">VALUE(K449)</f>
        <v>0</v>
      </c>
      <c r="L450" s="21">
        <f t="shared" ref="L450" si="1446">VALUE(L449)</f>
        <v>0</v>
      </c>
      <c r="O450" s="21">
        <f>VALUE(O449)</f>
        <v>0</v>
      </c>
      <c r="P450" s="21">
        <f t="shared" ref="P450" si="1447">VALUE(P449)</f>
        <v>1</v>
      </c>
      <c r="Q450" s="21">
        <f t="shared" ref="Q450" si="1448">VALUE(Q449)</f>
        <v>1</v>
      </c>
      <c r="R450" s="21">
        <f t="shared" ref="R450" si="1449">VALUE(R449)</f>
        <v>1</v>
      </c>
      <c r="U450" s="21">
        <f>VALUE(U449)</f>
        <v>0</v>
      </c>
      <c r="V450" s="21">
        <f t="shared" ref="V450" si="1450">VALUE(V449)</f>
        <v>0</v>
      </c>
      <c r="W450" s="21">
        <f t="shared" ref="W450" si="1451">VALUE(W449)</f>
        <v>1</v>
      </c>
      <c r="X450" s="21">
        <f t="shared" ref="X450" si="1452">VALUE(X449)</f>
        <v>1</v>
      </c>
      <c r="AA450" s="21">
        <f>VALUE(AA449)</f>
        <v>0</v>
      </c>
      <c r="AB450" s="21">
        <f t="shared" ref="AB450" si="1453">VALUE(AB449)</f>
        <v>1</v>
      </c>
      <c r="AC450" s="21">
        <f t="shared" ref="AC450" si="1454">VALUE(AC449)</f>
        <v>1</v>
      </c>
      <c r="AD450" s="21">
        <f t="shared" ref="AD450" si="1455">VALUE(AD449)</f>
        <v>1</v>
      </c>
      <c r="AG450" s="21">
        <f>VALUE(AG449)</f>
        <v>1</v>
      </c>
      <c r="AH450" s="21">
        <f t="shared" ref="AH450" si="1456">VALUE(AH449)</f>
        <v>0</v>
      </c>
      <c r="AI450" s="21">
        <f t="shared" ref="AI450" si="1457">VALUE(AI449)</f>
        <v>1</v>
      </c>
      <c r="AJ450" s="21">
        <f t="shared" ref="AJ450" si="1458">VALUE(AJ449)</f>
        <v>1</v>
      </c>
      <c r="AM450" s="21">
        <f>VALUE(AM449)</f>
        <v>1</v>
      </c>
      <c r="AN450" s="21">
        <f t="shared" ref="AN450" si="1459">VALUE(AN449)</f>
        <v>1</v>
      </c>
      <c r="AO450" s="21">
        <f t="shared" ref="AO450" si="1460">VALUE(AO449)</f>
        <v>0</v>
      </c>
      <c r="AP450" s="21">
        <f t="shared" ref="AP450" si="1461">VALUE(AP449)</f>
        <v>1</v>
      </c>
      <c r="AS450" s="21">
        <f>VALUE(AS449)</f>
        <v>0</v>
      </c>
      <c r="AT450" s="21">
        <f t="shared" ref="AT450" si="1462">VALUE(AT449)</f>
        <v>1</v>
      </c>
      <c r="AU450" s="21">
        <f t="shared" ref="AU450" si="1463">VALUE(AU449)</f>
        <v>0</v>
      </c>
      <c r="AV450" s="21">
        <f t="shared" ref="AV450" si="1464">VALUE(AV449)</f>
        <v>0</v>
      </c>
    </row>
    <row r="451" spans="1:57" s="21" customFormat="1" ht="24.95" customHeight="1" x14ac:dyDescent="0.25">
      <c r="A451" s="111" t="s">
        <v>588</v>
      </c>
      <c r="B451" s="111"/>
      <c r="C451" s="111">
        <v>1</v>
      </c>
      <c r="D451" s="76">
        <v>2</v>
      </c>
      <c r="E451" s="111">
        <v>3</v>
      </c>
      <c r="F451" s="76">
        <v>4</v>
      </c>
      <c r="G451" s="111">
        <v>5</v>
      </c>
      <c r="H451" s="76">
        <v>6</v>
      </c>
      <c r="I451" s="111">
        <v>7</v>
      </c>
      <c r="J451" s="76">
        <v>8</v>
      </c>
      <c r="K451" s="111">
        <v>9</v>
      </c>
      <c r="L451" s="76">
        <v>10</v>
      </c>
      <c r="M451" s="111">
        <v>11</v>
      </c>
      <c r="N451" s="76">
        <v>12</v>
      </c>
      <c r="O451" s="111">
        <v>13</v>
      </c>
      <c r="P451" s="76">
        <v>14</v>
      </c>
      <c r="Q451" s="111">
        <v>15</v>
      </c>
      <c r="R451" s="76">
        <v>16</v>
      </c>
      <c r="S451" s="111">
        <v>17</v>
      </c>
      <c r="T451" s="76">
        <v>18</v>
      </c>
      <c r="U451" s="111">
        <v>19</v>
      </c>
      <c r="V451" s="76">
        <v>20</v>
      </c>
      <c r="W451" s="111">
        <v>21</v>
      </c>
      <c r="X451" s="76">
        <v>22</v>
      </c>
      <c r="Y451" s="111">
        <v>23</v>
      </c>
      <c r="Z451" s="76">
        <v>24</v>
      </c>
      <c r="AA451" s="111">
        <v>25</v>
      </c>
      <c r="AB451" s="76">
        <v>26</v>
      </c>
      <c r="AC451" s="111">
        <v>27</v>
      </c>
      <c r="AD451" s="76">
        <v>28</v>
      </c>
      <c r="AE451" s="111">
        <v>29</v>
      </c>
      <c r="AF451" s="76">
        <v>30</v>
      </c>
      <c r="AG451" s="111">
        <v>31</v>
      </c>
      <c r="AH451" s="76">
        <v>32</v>
      </c>
    </row>
    <row r="452" spans="1:57" s="21" customFormat="1" ht="24.95" customHeight="1" x14ac:dyDescent="0.25">
      <c r="B452" s="64"/>
      <c r="C452" s="108">
        <f>C450</f>
        <v>1</v>
      </c>
      <c r="D452" s="108">
        <f t="shared" ref="D452:F452" si="1465">D450</f>
        <v>0</v>
      </c>
      <c r="E452" s="108">
        <f t="shared" si="1465"/>
        <v>1</v>
      </c>
      <c r="F452" s="108">
        <f t="shared" si="1465"/>
        <v>1</v>
      </c>
      <c r="G452" s="23">
        <f>I450</f>
        <v>1</v>
      </c>
      <c r="H452" s="23">
        <f t="shared" ref="H452" si="1466">J450</f>
        <v>0</v>
      </c>
      <c r="I452" s="23">
        <f t="shared" ref="I452" si="1467">K450</f>
        <v>0</v>
      </c>
      <c r="J452" s="23">
        <f t="shared" ref="J452" si="1468">L450</f>
        <v>0</v>
      </c>
      <c r="K452" s="23">
        <f>O450</f>
        <v>0</v>
      </c>
      <c r="L452" s="23">
        <f t="shared" ref="L452" si="1469">P450</f>
        <v>1</v>
      </c>
      <c r="M452" s="23">
        <f t="shared" ref="M452" si="1470">Q450</f>
        <v>1</v>
      </c>
      <c r="N452" s="23">
        <f t="shared" ref="N452" si="1471">R450</f>
        <v>1</v>
      </c>
      <c r="O452" s="23">
        <f>U450</f>
        <v>0</v>
      </c>
      <c r="P452" s="23">
        <f t="shared" ref="P452" si="1472">V450</f>
        <v>0</v>
      </c>
      <c r="Q452" s="23">
        <f t="shared" ref="Q452" si="1473">W450</f>
        <v>1</v>
      </c>
      <c r="R452" s="23">
        <f t="shared" ref="R452" si="1474">X450</f>
        <v>1</v>
      </c>
      <c r="S452" s="23">
        <f>AA450</f>
        <v>0</v>
      </c>
      <c r="T452" s="23">
        <f t="shared" ref="T452" si="1475">AB450</f>
        <v>1</v>
      </c>
      <c r="U452" s="23">
        <f t="shared" ref="U452" si="1476">AC450</f>
        <v>1</v>
      </c>
      <c r="V452" s="23">
        <f t="shared" ref="V452" si="1477">AD450</f>
        <v>1</v>
      </c>
      <c r="W452" s="23">
        <f>AG450</f>
        <v>1</v>
      </c>
      <c r="X452" s="23">
        <f t="shared" ref="X452" si="1478">AH450</f>
        <v>0</v>
      </c>
      <c r="Y452" s="23">
        <f t="shared" ref="Y452" si="1479">AI450</f>
        <v>1</v>
      </c>
      <c r="Z452" s="23">
        <f t="shared" ref="Z452" si="1480">AJ450</f>
        <v>1</v>
      </c>
      <c r="AA452" s="23">
        <f>AM450</f>
        <v>1</v>
      </c>
      <c r="AB452" s="23">
        <f t="shared" ref="AB452" si="1481">AN450</f>
        <v>1</v>
      </c>
      <c r="AC452" s="23">
        <f t="shared" ref="AC452" si="1482">AO450</f>
        <v>0</v>
      </c>
      <c r="AD452" s="23">
        <f t="shared" ref="AD452" si="1483">AP450</f>
        <v>1</v>
      </c>
      <c r="AE452" s="23">
        <f>AS450</f>
        <v>0</v>
      </c>
      <c r="AF452" s="23">
        <f t="shared" ref="AF452" si="1484">AT450</f>
        <v>1</v>
      </c>
      <c r="AG452" s="23">
        <f t="shared" ref="AG452" si="1485">AU450</f>
        <v>0</v>
      </c>
      <c r="AH452" s="23">
        <f t="shared" ref="AH452" si="1486">AV450</f>
        <v>0</v>
      </c>
    </row>
    <row r="453" spans="1:57" x14ac:dyDescent="0.25">
      <c r="A453" s="21"/>
      <c r="B453" s="64"/>
      <c r="C453" s="62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</row>
    <row r="454" spans="1:57" x14ac:dyDescent="0.25">
      <c r="A454" s="110" t="s">
        <v>548</v>
      </c>
      <c r="B454" s="110"/>
      <c r="C454" s="109">
        <v>16</v>
      </c>
      <c r="D454" s="110">
        <v>7</v>
      </c>
      <c r="E454" s="110">
        <v>20</v>
      </c>
      <c r="F454" s="110">
        <v>21</v>
      </c>
      <c r="G454" s="110">
        <v>29</v>
      </c>
      <c r="H454" s="110">
        <v>12</v>
      </c>
      <c r="I454" s="110">
        <v>28</v>
      </c>
      <c r="J454" s="110">
        <v>17</v>
      </c>
      <c r="K454" s="110">
        <v>1</v>
      </c>
      <c r="L454" s="110">
        <v>15</v>
      </c>
      <c r="M454" s="110">
        <v>23</v>
      </c>
      <c r="N454" s="110">
        <v>26</v>
      </c>
      <c r="O454" s="110">
        <v>5</v>
      </c>
      <c r="P454" s="110">
        <v>18</v>
      </c>
      <c r="Q454" s="110">
        <v>31</v>
      </c>
      <c r="R454" s="110">
        <v>10</v>
      </c>
      <c r="S454" s="110">
        <v>2</v>
      </c>
      <c r="T454" s="110">
        <v>8</v>
      </c>
      <c r="U454" s="110">
        <v>24</v>
      </c>
      <c r="V454" s="110">
        <v>14</v>
      </c>
      <c r="W454" s="110">
        <v>32</v>
      </c>
      <c r="X454" s="110">
        <v>27</v>
      </c>
      <c r="Y454" s="110">
        <v>3</v>
      </c>
      <c r="Z454" s="110">
        <v>9</v>
      </c>
      <c r="AA454" s="110">
        <v>19</v>
      </c>
      <c r="AB454" s="110">
        <v>13</v>
      </c>
      <c r="AC454" s="110">
        <v>30</v>
      </c>
      <c r="AD454" s="110">
        <v>6</v>
      </c>
      <c r="AE454" s="110">
        <v>22</v>
      </c>
      <c r="AF454" s="110">
        <v>11</v>
      </c>
      <c r="AG454" s="110">
        <v>4</v>
      </c>
      <c r="AH454" s="110">
        <v>25</v>
      </c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</row>
    <row r="455" spans="1:57" x14ac:dyDescent="0.25">
      <c r="A455" s="21"/>
      <c r="B455" s="64"/>
      <c r="C455" s="103">
        <f>K452</f>
        <v>0</v>
      </c>
      <c r="D455" s="103">
        <f>S452</f>
        <v>0</v>
      </c>
      <c r="E455" s="103">
        <f>Y452</f>
        <v>1</v>
      </c>
      <c r="F455" s="112">
        <f>AG452</f>
        <v>0</v>
      </c>
      <c r="G455" s="103">
        <f>O452</f>
        <v>0</v>
      </c>
      <c r="H455" s="103">
        <f>AD452</f>
        <v>1</v>
      </c>
      <c r="I455" s="103">
        <f>D452</f>
        <v>0</v>
      </c>
      <c r="J455" s="103">
        <f>T452</f>
        <v>1</v>
      </c>
      <c r="K455" s="103">
        <f>Z452</f>
        <v>1</v>
      </c>
      <c r="L455" s="103">
        <f>R452</f>
        <v>1</v>
      </c>
      <c r="M455" s="103">
        <f>AF452</f>
        <v>1</v>
      </c>
      <c r="N455" s="103">
        <f>H452</f>
        <v>0</v>
      </c>
      <c r="O455" s="103">
        <f>AB452</f>
        <v>1</v>
      </c>
      <c r="P455" s="103">
        <f>V452</f>
        <v>1</v>
      </c>
      <c r="Q455" s="103">
        <f>L452</f>
        <v>1</v>
      </c>
      <c r="R455" s="103">
        <f>C452</f>
        <v>1</v>
      </c>
      <c r="S455" s="103">
        <f>J452</f>
        <v>0</v>
      </c>
      <c r="T455" s="103">
        <f>P452</f>
        <v>0</v>
      </c>
      <c r="U455" s="103">
        <f>AA452</f>
        <v>1</v>
      </c>
      <c r="V455" s="103">
        <f>E452</f>
        <v>1</v>
      </c>
      <c r="W455" s="103">
        <f>F452</f>
        <v>1</v>
      </c>
      <c r="X455" s="103">
        <f>AE452</f>
        <v>0</v>
      </c>
      <c r="Y455" s="103">
        <f>M452</f>
        <v>1</v>
      </c>
      <c r="Z455" s="103">
        <f>U452</f>
        <v>1</v>
      </c>
      <c r="AA455" s="103">
        <f>AH452</f>
        <v>0</v>
      </c>
      <c r="AB455" s="103">
        <f>N452</f>
        <v>1</v>
      </c>
      <c r="AC455" s="103">
        <f>X452</f>
        <v>0</v>
      </c>
      <c r="AD455" s="103">
        <f>I452</f>
        <v>0</v>
      </c>
      <c r="AE455" s="103">
        <f>G452</f>
        <v>1</v>
      </c>
      <c r="AF455" s="103">
        <f>AC452</f>
        <v>0</v>
      </c>
      <c r="AG455" s="103">
        <f>Q452</f>
        <v>1</v>
      </c>
      <c r="AH455" s="103">
        <f>W452</f>
        <v>1</v>
      </c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</row>
    <row r="456" spans="1:57" x14ac:dyDescent="0.25">
      <c r="A456" s="21"/>
      <c r="B456" s="64"/>
      <c r="C456" s="130">
        <v>1</v>
      </c>
      <c r="D456" s="131">
        <v>2</v>
      </c>
      <c r="E456" s="130">
        <v>3</v>
      </c>
      <c r="F456" s="131">
        <v>4</v>
      </c>
      <c r="G456" s="130">
        <v>5</v>
      </c>
      <c r="H456" s="131">
        <v>6</v>
      </c>
      <c r="I456" s="130">
        <v>7</v>
      </c>
      <c r="J456" s="131">
        <v>8</v>
      </c>
      <c r="K456" s="130">
        <v>9</v>
      </c>
      <c r="L456" s="131">
        <v>10</v>
      </c>
      <c r="M456" s="130">
        <v>11</v>
      </c>
      <c r="N456" s="131">
        <v>12</v>
      </c>
      <c r="O456" s="130">
        <v>13</v>
      </c>
      <c r="P456" s="131">
        <v>14</v>
      </c>
      <c r="Q456" s="130">
        <v>15</v>
      </c>
      <c r="R456" s="131">
        <v>16</v>
      </c>
      <c r="S456" s="130">
        <v>17</v>
      </c>
      <c r="T456" s="131">
        <v>18</v>
      </c>
      <c r="U456" s="130">
        <v>19</v>
      </c>
      <c r="V456" s="131">
        <v>20</v>
      </c>
      <c r="W456" s="130">
        <v>21</v>
      </c>
      <c r="X456" s="131">
        <v>22</v>
      </c>
      <c r="Y456" s="130">
        <v>23</v>
      </c>
      <c r="Z456" s="131">
        <v>24</v>
      </c>
      <c r="AA456" s="130">
        <v>25</v>
      </c>
      <c r="AB456" s="131">
        <v>26</v>
      </c>
      <c r="AC456" s="130">
        <v>27</v>
      </c>
      <c r="AD456" s="131">
        <v>28</v>
      </c>
      <c r="AE456" s="130">
        <v>29</v>
      </c>
      <c r="AF456" s="131">
        <v>30</v>
      </c>
      <c r="AG456" s="130">
        <v>31</v>
      </c>
      <c r="AH456" s="131">
        <v>32</v>
      </c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</row>
    <row r="457" spans="1:57" x14ac:dyDescent="0.25">
      <c r="A457" s="21"/>
      <c r="B457" s="64"/>
      <c r="C457" s="62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</row>
    <row r="458" spans="1:57" x14ac:dyDescent="0.25">
      <c r="A458" s="21"/>
      <c r="B458" s="64"/>
      <c r="C458" s="62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</row>
    <row r="459" spans="1:57" x14ac:dyDescent="0.25">
      <c r="A459" s="21"/>
      <c r="B459" s="64"/>
      <c r="C459" s="62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</row>
    <row r="460" spans="1:57" x14ac:dyDescent="0.25">
      <c r="A460" s="114" t="s">
        <v>563</v>
      </c>
      <c r="B460" s="114"/>
      <c r="C460" s="114"/>
      <c r="D460" s="68">
        <v>1</v>
      </c>
      <c r="E460" s="68">
        <v>2</v>
      </c>
      <c r="F460" s="68">
        <v>3</v>
      </c>
      <c r="G460" s="68">
        <v>4</v>
      </c>
      <c r="H460" s="68">
        <v>5</v>
      </c>
      <c r="I460" s="68">
        <v>6</v>
      </c>
      <c r="J460" s="68">
        <v>7</v>
      </c>
      <c r="K460" s="68">
        <v>8</v>
      </c>
      <c r="L460" s="68">
        <v>9</v>
      </c>
      <c r="M460" s="68">
        <v>10</v>
      </c>
      <c r="N460" s="68">
        <v>11</v>
      </c>
      <c r="O460" s="68">
        <v>12</v>
      </c>
      <c r="P460" s="68">
        <v>13</v>
      </c>
      <c r="Q460" s="68">
        <v>14</v>
      </c>
      <c r="R460" s="68">
        <v>15</v>
      </c>
      <c r="S460" s="68">
        <v>16</v>
      </c>
      <c r="T460" s="68">
        <v>17</v>
      </c>
      <c r="U460" s="68">
        <v>18</v>
      </c>
      <c r="V460" s="68">
        <v>19</v>
      </c>
      <c r="W460" s="68">
        <v>20</v>
      </c>
      <c r="X460" s="68">
        <v>21</v>
      </c>
      <c r="Y460" s="68">
        <v>22</v>
      </c>
      <c r="Z460" s="68">
        <v>23</v>
      </c>
      <c r="AA460" s="68">
        <v>24</v>
      </c>
      <c r="AB460" s="68">
        <v>25</v>
      </c>
      <c r="AC460" s="68">
        <v>26</v>
      </c>
      <c r="AD460" s="68">
        <v>27</v>
      </c>
      <c r="AE460" s="68">
        <v>28</v>
      </c>
      <c r="AF460" s="68">
        <v>29</v>
      </c>
      <c r="AG460" s="68">
        <v>30</v>
      </c>
      <c r="AH460" s="68">
        <v>31</v>
      </c>
      <c r="AI460" s="68">
        <v>32</v>
      </c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</row>
    <row r="461" spans="1:57" x14ac:dyDescent="0.25">
      <c r="A461" s="64" t="s">
        <v>549</v>
      </c>
      <c r="B461" s="64"/>
      <c r="C461" s="62"/>
      <c r="D461" s="68">
        <f>C419</f>
        <v>0</v>
      </c>
      <c r="E461" s="68">
        <f t="shared" ref="E461" si="1487">D419</f>
        <v>0</v>
      </c>
      <c r="F461" s="68">
        <f t="shared" ref="F461" si="1488">E419</f>
        <v>0</v>
      </c>
      <c r="G461" s="68">
        <f t="shared" ref="G461" si="1489">F419</f>
        <v>1</v>
      </c>
      <c r="H461" s="68">
        <f t="shared" ref="H461" si="1490">G419</f>
        <v>1</v>
      </c>
      <c r="I461" s="68">
        <f t="shared" ref="I461" si="1491">H419</f>
        <v>0</v>
      </c>
      <c r="J461" s="68">
        <f t="shared" ref="J461" si="1492">I419</f>
        <v>1</v>
      </c>
      <c r="K461" s="68">
        <f t="shared" ref="K461" si="1493">J419</f>
        <v>0</v>
      </c>
      <c r="L461" s="68">
        <f t="shared" ref="L461" si="1494">K419</f>
        <v>0</v>
      </c>
      <c r="M461" s="68">
        <f t="shared" ref="M461" si="1495">L419</f>
        <v>1</v>
      </c>
      <c r="N461" s="68">
        <f t="shared" ref="N461" si="1496">M419</f>
        <v>1</v>
      </c>
      <c r="O461" s="68">
        <f t="shared" ref="O461" si="1497">N419</f>
        <v>0</v>
      </c>
      <c r="P461" s="68">
        <f t="shared" ref="P461" si="1498">O419</f>
        <v>0</v>
      </c>
      <c r="Q461" s="68">
        <f t="shared" ref="Q461" si="1499">P419</f>
        <v>1</v>
      </c>
      <c r="R461" s="68">
        <f t="shared" ref="R461" si="1500">Q419</f>
        <v>0</v>
      </c>
      <c r="S461" s="68">
        <f t="shared" ref="S461" si="1501">R419</f>
        <v>1</v>
      </c>
      <c r="T461" s="68">
        <f t="shared" ref="T461" si="1502">S419</f>
        <v>1</v>
      </c>
      <c r="U461" s="68">
        <f t="shared" ref="U461" si="1503">T419</f>
        <v>0</v>
      </c>
      <c r="V461" s="68">
        <f t="shared" ref="V461" si="1504">U419</f>
        <v>0</v>
      </c>
      <c r="W461" s="68">
        <f t="shared" ref="W461" si="1505">V419</f>
        <v>0</v>
      </c>
      <c r="X461" s="68">
        <f t="shared" ref="X461" si="1506">W419</f>
        <v>0</v>
      </c>
      <c r="Y461" s="68">
        <f t="shared" ref="Y461" si="1507">X419</f>
        <v>1</v>
      </c>
      <c r="Z461" s="68">
        <f t="shared" ref="Z461" si="1508">Y419</f>
        <v>0</v>
      </c>
      <c r="AA461" s="68">
        <f t="shared" ref="AA461" si="1509">Z419</f>
        <v>0</v>
      </c>
      <c r="AB461" s="68">
        <f t="shared" ref="AB461" si="1510">AA419</f>
        <v>0</v>
      </c>
      <c r="AC461" s="68">
        <f t="shared" ref="AC461" si="1511">AB419</f>
        <v>0</v>
      </c>
      <c r="AD461" s="68">
        <f t="shared" ref="AD461" si="1512">AC419</f>
        <v>1</v>
      </c>
      <c r="AE461" s="68">
        <f t="shared" ref="AE461" si="1513">AD419</f>
        <v>0</v>
      </c>
      <c r="AF461" s="68">
        <f t="shared" ref="AF461" si="1514">AE419</f>
        <v>1</v>
      </c>
      <c r="AG461" s="68">
        <f t="shared" ref="AG461" si="1515">AF419</f>
        <v>0</v>
      </c>
      <c r="AH461" s="68">
        <f t="shared" ref="AH461" si="1516">AG419</f>
        <v>0</v>
      </c>
      <c r="AI461" s="68">
        <f t="shared" ref="AI461" si="1517">AH419</f>
        <v>1</v>
      </c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</row>
    <row r="462" spans="1:57" x14ac:dyDescent="0.25">
      <c r="A462" s="21"/>
      <c r="B462" s="64"/>
      <c r="C462" s="62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</row>
    <row r="463" spans="1:57" x14ac:dyDescent="0.25">
      <c r="A463" s="114" t="s">
        <v>564</v>
      </c>
      <c r="B463" s="114"/>
      <c r="C463" s="114"/>
      <c r="D463" s="70">
        <v>1</v>
      </c>
      <c r="E463" s="70">
        <v>2</v>
      </c>
      <c r="F463" s="70">
        <v>3</v>
      </c>
      <c r="G463" s="70">
        <v>4</v>
      </c>
      <c r="H463" s="70">
        <v>5</v>
      </c>
      <c r="I463" s="70">
        <v>6</v>
      </c>
      <c r="J463" s="70">
        <v>7</v>
      </c>
      <c r="K463" s="70">
        <v>8</v>
      </c>
      <c r="L463" s="70">
        <v>9</v>
      </c>
      <c r="M463" s="70">
        <v>10</v>
      </c>
      <c r="N463" s="70">
        <v>11</v>
      </c>
      <c r="O463" s="70">
        <v>12</v>
      </c>
      <c r="P463" s="70">
        <v>13</v>
      </c>
      <c r="Q463" s="70">
        <v>14</v>
      </c>
      <c r="R463" s="70">
        <v>15</v>
      </c>
      <c r="S463" s="70">
        <v>16</v>
      </c>
      <c r="T463" s="70">
        <v>17</v>
      </c>
      <c r="U463" s="70">
        <v>18</v>
      </c>
      <c r="V463" s="70">
        <v>19</v>
      </c>
      <c r="W463" s="70">
        <v>20</v>
      </c>
      <c r="X463" s="70">
        <v>21</v>
      </c>
      <c r="Y463" s="70">
        <v>22</v>
      </c>
      <c r="Z463" s="70">
        <v>23</v>
      </c>
      <c r="AA463" s="70">
        <v>24</v>
      </c>
      <c r="AB463" s="70">
        <v>25</v>
      </c>
      <c r="AC463" s="70">
        <v>26</v>
      </c>
      <c r="AD463" s="70">
        <v>27</v>
      </c>
      <c r="AE463" s="70">
        <v>28</v>
      </c>
      <c r="AF463" s="70">
        <v>29</v>
      </c>
      <c r="AG463" s="70">
        <v>30</v>
      </c>
      <c r="AH463" s="70">
        <v>31</v>
      </c>
      <c r="AI463" s="70">
        <v>32</v>
      </c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</row>
    <row r="464" spans="1:57" x14ac:dyDescent="0.25">
      <c r="A464" s="64" t="s">
        <v>551</v>
      </c>
      <c r="B464" s="64"/>
      <c r="C464" s="62"/>
      <c r="D464" s="70">
        <f>--_xlfn.XOR(C455,D412)</f>
        <v>1</v>
      </c>
      <c r="E464" s="70">
        <f t="shared" ref="E464:AI464" si="1518">--_xlfn.XOR(D455,E412)</f>
        <v>0</v>
      </c>
      <c r="F464" s="70">
        <f t="shared" si="1518"/>
        <v>1</v>
      </c>
      <c r="G464" s="70">
        <f t="shared" si="1518"/>
        <v>0</v>
      </c>
      <c r="H464" s="70">
        <f t="shared" si="1518"/>
        <v>0</v>
      </c>
      <c r="I464" s="70">
        <f t="shared" si="1518"/>
        <v>0</v>
      </c>
      <c r="J464" s="70">
        <f t="shared" si="1518"/>
        <v>1</v>
      </c>
      <c r="K464" s="70">
        <f t="shared" si="1518"/>
        <v>1</v>
      </c>
      <c r="L464" s="70">
        <f t="shared" si="1518"/>
        <v>1</v>
      </c>
      <c r="M464" s="70">
        <f t="shared" si="1518"/>
        <v>0</v>
      </c>
      <c r="N464" s="70">
        <f t="shared" si="1518"/>
        <v>0</v>
      </c>
      <c r="O464" s="70">
        <f t="shared" si="1518"/>
        <v>1</v>
      </c>
      <c r="P464" s="70">
        <f t="shared" si="1518"/>
        <v>0</v>
      </c>
      <c r="Q464" s="70">
        <f t="shared" si="1518"/>
        <v>0</v>
      </c>
      <c r="R464" s="70">
        <f t="shared" si="1518"/>
        <v>1</v>
      </c>
      <c r="S464" s="70">
        <f t="shared" si="1518"/>
        <v>0</v>
      </c>
      <c r="T464" s="70">
        <f t="shared" si="1518"/>
        <v>0</v>
      </c>
      <c r="U464" s="70">
        <f t="shared" si="1518"/>
        <v>1</v>
      </c>
      <c r="V464" s="70">
        <f t="shared" si="1518"/>
        <v>0</v>
      </c>
      <c r="W464" s="70">
        <f t="shared" si="1518"/>
        <v>1</v>
      </c>
      <c r="X464" s="70">
        <f t="shared" si="1518"/>
        <v>0</v>
      </c>
      <c r="Y464" s="70">
        <f t="shared" si="1518"/>
        <v>1</v>
      </c>
      <c r="Z464" s="70">
        <f t="shared" si="1518"/>
        <v>0</v>
      </c>
      <c r="AA464" s="70">
        <f t="shared" si="1518"/>
        <v>1</v>
      </c>
      <c r="AB464" s="70">
        <f t="shared" si="1518"/>
        <v>1</v>
      </c>
      <c r="AC464" s="70">
        <f t="shared" si="1518"/>
        <v>0</v>
      </c>
      <c r="AD464" s="70">
        <f t="shared" si="1518"/>
        <v>1</v>
      </c>
      <c r="AE464" s="70">
        <f t="shared" si="1518"/>
        <v>0</v>
      </c>
      <c r="AF464" s="70">
        <f t="shared" si="1518"/>
        <v>1</v>
      </c>
      <c r="AG464" s="70">
        <f t="shared" si="1518"/>
        <v>0</v>
      </c>
      <c r="AH464" s="70">
        <f t="shared" si="1518"/>
        <v>1</v>
      </c>
      <c r="AI464" s="70">
        <f t="shared" si="1518"/>
        <v>0</v>
      </c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</row>
    <row r="465" spans="1:57" x14ac:dyDescent="0.25">
      <c r="A465" s="132" t="s">
        <v>639</v>
      </c>
      <c r="B465" s="64"/>
      <c r="C465" s="62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</row>
    <row r="466" spans="1:57" x14ac:dyDescent="0.25">
      <c r="A466" s="132"/>
      <c r="B466" s="133"/>
      <c r="C466" s="134"/>
      <c r="D466" s="132"/>
      <c r="E466" s="132"/>
      <c r="F466" s="132"/>
      <c r="G466" s="132"/>
      <c r="H466" s="132"/>
      <c r="I466" s="132"/>
      <c r="J466" s="132"/>
      <c r="K466" s="132"/>
      <c r="L466" s="132"/>
      <c r="M466" s="132"/>
      <c r="N466" s="132"/>
      <c r="O466" s="132"/>
      <c r="P466" s="132"/>
      <c r="Q466" s="132"/>
      <c r="R466" s="132"/>
      <c r="S466" s="132"/>
      <c r="T466" s="132"/>
      <c r="U466" s="132"/>
      <c r="V466" s="132"/>
      <c r="W466" s="132"/>
      <c r="X466" s="132"/>
      <c r="Y466" s="132"/>
      <c r="Z466" s="132"/>
      <c r="AA466" s="132"/>
      <c r="AB466" s="132"/>
      <c r="AC466" s="132"/>
      <c r="AD466" s="132"/>
      <c r="AE466" s="132"/>
      <c r="AF466" s="132"/>
      <c r="AG466" s="132"/>
      <c r="AH466" s="132"/>
      <c r="AI466" s="132"/>
      <c r="AJ466" s="132"/>
      <c r="AK466" s="132"/>
      <c r="AL466" s="132"/>
      <c r="AM466" s="132"/>
      <c r="AN466" s="132"/>
      <c r="AO466" s="132"/>
      <c r="AP466" s="132"/>
      <c r="AQ466" s="132"/>
      <c r="AR466" s="132"/>
      <c r="AS466" s="132"/>
      <c r="AT466" s="132"/>
      <c r="AU466" s="132"/>
      <c r="AV466" s="132"/>
      <c r="AW466" s="132"/>
      <c r="AX466" s="132"/>
      <c r="AY466" s="132"/>
      <c r="AZ466" s="132"/>
      <c r="BA466" s="132"/>
      <c r="BB466" s="132"/>
      <c r="BC466" s="132"/>
      <c r="BD466" s="132"/>
      <c r="BE466" s="132"/>
    </row>
    <row r="467" spans="1:57" x14ac:dyDescent="0.25">
      <c r="A467" s="21"/>
      <c r="B467" s="21"/>
      <c r="C467" s="70">
        <v>1</v>
      </c>
      <c r="D467" s="70">
        <v>2</v>
      </c>
      <c r="E467" s="70">
        <v>3</v>
      </c>
      <c r="F467" s="70">
        <v>4</v>
      </c>
      <c r="G467" s="70">
        <v>5</v>
      </c>
      <c r="H467" s="70">
        <v>6</v>
      </c>
      <c r="I467" s="70">
        <v>7</v>
      </c>
      <c r="J467" s="70">
        <v>8</v>
      </c>
      <c r="K467" s="70">
        <v>9</v>
      </c>
      <c r="L467" s="70">
        <v>10</v>
      </c>
      <c r="M467" s="70">
        <v>11</v>
      </c>
      <c r="N467" s="70">
        <v>12</v>
      </c>
      <c r="O467" s="70">
        <v>13</v>
      </c>
      <c r="P467" s="70">
        <v>14</v>
      </c>
      <c r="Q467" s="70">
        <v>15</v>
      </c>
      <c r="R467" s="70">
        <v>16</v>
      </c>
      <c r="S467" s="70">
        <v>17</v>
      </c>
      <c r="T467" s="70">
        <v>18</v>
      </c>
      <c r="U467" s="70">
        <v>19</v>
      </c>
      <c r="V467" s="70">
        <v>20</v>
      </c>
      <c r="W467" s="70">
        <v>21</v>
      </c>
      <c r="X467" s="70">
        <v>22</v>
      </c>
      <c r="Y467" s="70">
        <v>23</v>
      </c>
      <c r="Z467" s="70">
        <v>24</v>
      </c>
      <c r="AA467" s="70">
        <v>25</v>
      </c>
      <c r="AB467" s="70">
        <v>26</v>
      </c>
      <c r="AC467" s="70">
        <v>27</v>
      </c>
      <c r="AD467" s="70">
        <v>28</v>
      </c>
      <c r="AE467" s="70">
        <v>29</v>
      </c>
      <c r="AF467" s="70">
        <v>30</v>
      </c>
      <c r="AG467" s="70">
        <v>31</v>
      </c>
      <c r="AH467" s="70">
        <v>32</v>
      </c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</row>
    <row r="468" spans="1:57" x14ac:dyDescent="0.25">
      <c r="A468" s="114" t="s">
        <v>564</v>
      </c>
      <c r="B468" s="114"/>
      <c r="C468" s="70">
        <f>D464</f>
        <v>1</v>
      </c>
      <c r="D468" s="70">
        <f t="shared" ref="D468" si="1519">E464</f>
        <v>0</v>
      </c>
      <c r="E468" s="70">
        <f t="shared" ref="E468" si="1520">F464</f>
        <v>1</v>
      </c>
      <c r="F468" s="70">
        <f t="shared" ref="F468" si="1521">G464</f>
        <v>0</v>
      </c>
      <c r="G468" s="70">
        <f t="shared" ref="G468" si="1522">H464</f>
        <v>0</v>
      </c>
      <c r="H468" s="70">
        <f t="shared" ref="H468" si="1523">I464</f>
        <v>0</v>
      </c>
      <c r="I468" s="70">
        <f t="shared" ref="I468" si="1524">J464</f>
        <v>1</v>
      </c>
      <c r="J468" s="70">
        <f t="shared" ref="J468" si="1525">K464</f>
        <v>1</v>
      </c>
      <c r="K468" s="70">
        <f t="shared" ref="K468" si="1526">L464</f>
        <v>1</v>
      </c>
      <c r="L468" s="70">
        <f t="shared" ref="L468" si="1527">M464</f>
        <v>0</v>
      </c>
      <c r="M468" s="70">
        <f t="shared" ref="M468" si="1528">N464</f>
        <v>0</v>
      </c>
      <c r="N468" s="70">
        <f t="shared" ref="N468" si="1529">O464</f>
        <v>1</v>
      </c>
      <c r="O468" s="70">
        <f t="shared" ref="O468" si="1530">P464</f>
        <v>0</v>
      </c>
      <c r="P468" s="70">
        <f t="shared" ref="P468" si="1531">Q464</f>
        <v>0</v>
      </c>
      <c r="Q468" s="70">
        <f t="shared" ref="Q468" si="1532">R464</f>
        <v>1</v>
      </c>
      <c r="R468" s="70">
        <f t="shared" ref="R468" si="1533">S464</f>
        <v>0</v>
      </c>
      <c r="S468" s="70">
        <f t="shared" ref="S468" si="1534">T464</f>
        <v>0</v>
      </c>
      <c r="T468" s="70">
        <f t="shared" ref="T468" si="1535">U464</f>
        <v>1</v>
      </c>
      <c r="U468" s="70">
        <f t="shared" ref="U468" si="1536">V464</f>
        <v>0</v>
      </c>
      <c r="V468" s="70">
        <f t="shared" ref="V468" si="1537">W464</f>
        <v>1</v>
      </c>
      <c r="W468" s="70">
        <f t="shared" ref="W468" si="1538">X464</f>
        <v>0</v>
      </c>
      <c r="X468" s="70">
        <f t="shared" ref="X468" si="1539">Y464</f>
        <v>1</v>
      </c>
      <c r="Y468" s="70">
        <f t="shared" ref="Y468" si="1540">Z464</f>
        <v>0</v>
      </c>
      <c r="Z468" s="70">
        <f t="shared" ref="Z468" si="1541">AA464</f>
        <v>1</v>
      </c>
      <c r="AA468" s="70">
        <f t="shared" ref="AA468" si="1542">AB464</f>
        <v>1</v>
      </c>
      <c r="AB468" s="70">
        <f t="shared" ref="AB468" si="1543">AC464</f>
        <v>0</v>
      </c>
      <c r="AC468" s="70">
        <f t="shared" ref="AC468" si="1544">AD464</f>
        <v>1</v>
      </c>
      <c r="AD468" s="70">
        <f t="shared" ref="AD468" si="1545">AE464</f>
        <v>0</v>
      </c>
      <c r="AE468" s="70">
        <f t="shared" ref="AE468" si="1546">AF464</f>
        <v>1</v>
      </c>
      <c r="AF468" s="70">
        <f t="shared" ref="AF468" si="1547">AG464</f>
        <v>0</v>
      </c>
      <c r="AG468" s="70">
        <f t="shared" ref="AG468" si="1548">AH464</f>
        <v>1</v>
      </c>
      <c r="AH468" s="70">
        <f t="shared" ref="AH468" si="1549">AI464</f>
        <v>0</v>
      </c>
      <c r="AI468" s="135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</row>
    <row r="469" spans="1:57" x14ac:dyDescent="0.25">
      <c r="A469" s="21"/>
      <c r="B469" s="64"/>
      <c r="C469" s="62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</row>
    <row r="470" spans="1:57" x14ac:dyDescent="0.25">
      <c r="A470" s="132"/>
      <c r="B470" s="133"/>
      <c r="C470" s="134"/>
      <c r="D470" s="132"/>
      <c r="E470" s="132"/>
      <c r="F470" s="132"/>
      <c r="G470" s="132"/>
      <c r="H470" s="132"/>
      <c r="I470" s="132"/>
      <c r="J470" s="132"/>
      <c r="K470" s="132"/>
      <c r="L470" s="132"/>
      <c r="M470" s="132"/>
      <c r="N470" s="132"/>
      <c r="O470" s="132"/>
      <c r="P470" s="132"/>
      <c r="Q470" s="132"/>
      <c r="R470" s="132"/>
      <c r="S470" s="132"/>
      <c r="T470" s="132"/>
      <c r="U470" s="132"/>
      <c r="V470" s="132"/>
      <c r="W470" s="132"/>
      <c r="X470" s="132"/>
      <c r="Y470" s="132"/>
      <c r="Z470" s="132"/>
      <c r="AA470" s="132"/>
      <c r="AB470" s="132"/>
      <c r="AC470" s="132"/>
      <c r="AD470" s="132"/>
      <c r="AE470" s="132"/>
      <c r="AF470" s="132"/>
      <c r="AG470" s="132"/>
      <c r="AH470" s="132"/>
      <c r="AI470" s="132"/>
      <c r="AJ470" s="132"/>
      <c r="AK470" s="132"/>
      <c r="AL470" s="132"/>
      <c r="AM470" s="132"/>
      <c r="AN470" s="132"/>
      <c r="AO470" s="132"/>
      <c r="AP470" s="132"/>
      <c r="AQ470" s="132"/>
      <c r="AR470" s="132"/>
      <c r="AS470" s="132"/>
      <c r="AT470" s="132"/>
      <c r="AU470" s="132"/>
      <c r="AV470" s="132"/>
      <c r="AW470" s="132"/>
      <c r="AX470" s="132"/>
      <c r="AY470" s="132"/>
      <c r="AZ470" s="21"/>
      <c r="BA470" s="21"/>
      <c r="BB470" s="21"/>
      <c r="BC470" s="21"/>
      <c r="BD470" s="21"/>
      <c r="BE470" s="21"/>
    </row>
    <row r="471" spans="1:57" x14ac:dyDescent="0.25">
      <c r="A471" s="21"/>
      <c r="B471" s="64"/>
      <c r="C471" s="62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</row>
    <row r="472" spans="1:57" x14ac:dyDescent="0.25">
      <c r="A472" s="118" t="s">
        <v>532</v>
      </c>
      <c r="B472" s="118"/>
      <c r="C472" s="75">
        <v>32</v>
      </c>
      <c r="D472" s="74">
        <v>1</v>
      </c>
      <c r="E472" s="74">
        <v>2</v>
      </c>
      <c r="F472" s="74">
        <v>3</v>
      </c>
      <c r="G472" s="74">
        <v>4</v>
      </c>
      <c r="H472" s="73">
        <v>5</v>
      </c>
      <c r="I472" s="122"/>
      <c r="J472" s="118">
        <f>AH468</f>
        <v>0</v>
      </c>
      <c r="K472" s="118">
        <f>C468</f>
        <v>1</v>
      </c>
      <c r="L472" s="118">
        <f>D468</f>
        <v>0</v>
      </c>
      <c r="M472" s="118">
        <f>E468</f>
        <v>1</v>
      </c>
      <c r="N472" s="69">
        <f>F468</f>
        <v>0</v>
      </c>
      <c r="O472" s="119">
        <f>G468</f>
        <v>0</v>
      </c>
      <c r="P472" s="122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</row>
    <row r="473" spans="1:57" x14ac:dyDescent="0.25">
      <c r="A473" s="21"/>
      <c r="B473" s="64"/>
      <c r="C473" s="75">
        <v>4</v>
      </c>
      <c r="D473" s="74">
        <v>5</v>
      </c>
      <c r="E473" s="74">
        <v>6</v>
      </c>
      <c r="F473" s="74">
        <v>7</v>
      </c>
      <c r="G473" s="74">
        <v>8</v>
      </c>
      <c r="H473" s="73">
        <v>9</v>
      </c>
      <c r="I473" s="122"/>
      <c r="J473" s="118">
        <f t="shared" ref="J473" si="1550">F468</f>
        <v>0</v>
      </c>
      <c r="K473" s="69">
        <f t="shared" ref="K473" si="1551">G468</f>
        <v>0</v>
      </c>
      <c r="L473" s="69">
        <f t="shared" ref="L473" si="1552">H468</f>
        <v>0</v>
      </c>
      <c r="M473" s="69">
        <f t="shared" ref="M473" si="1553">I468</f>
        <v>1</v>
      </c>
      <c r="N473" s="69">
        <f t="shared" ref="N473" si="1554">J468</f>
        <v>1</v>
      </c>
      <c r="O473" s="119">
        <f t="shared" ref="O473" si="1555">K468</f>
        <v>1</v>
      </c>
      <c r="P473" s="122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</row>
    <row r="474" spans="1:57" x14ac:dyDescent="0.25">
      <c r="A474" s="21"/>
      <c r="B474" s="64"/>
      <c r="C474" s="75">
        <v>8</v>
      </c>
      <c r="D474" s="74">
        <v>9</v>
      </c>
      <c r="E474" s="74">
        <v>10</v>
      </c>
      <c r="F474" s="74">
        <v>11</v>
      </c>
      <c r="G474" s="74">
        <v>12</v>
      </c>
      <c r="H474" s="73">
        <v>13</v>
      </c>
      <c r="I474" s="123"/>
      <c r="J474" s="120">
        <f t="shared" ref="J474:O474" si="1556">J468</f>
        <v>1</v>
      </c>
      <c r="K474" s="69">
        <f t="shared" si="1556"/>
        <v>1</v>
      </c>
      <c r="L474" s="69">
        <f t="shared" si="1556"/>
        <v>0</v>
      </c>
      <c r="M474" s="69">
        <f t="shared" si="1556"/>
        <v>0</v>
      </c>
      <c r="N474" s="69">
        <f t="shared" si="1556"/>
        <v>1</v>
      </c>
      <c r="O474" s="119">
        <f t="shared" si="1556"/>
        <v>0</v>
      </c>
      <c r="P474" s="123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</row>
    <row r="475" spans="1:57" x14ac:dyDescent="0.25">
      <c r="A475" s="21"/>
      <c r="B475" s="64"/>
      <c r="C475" s="75">
        <v>12</v>
      </c>
      <c r="D475" s="74">
        <v>13</v>
      </c>
      <c r="E475" s="74">
        <v>14</v>
      </c>
      <c r="F475" s="74">
        <v>15</v>
      </c>
      <c r="G475" s="74">
        <v>16</v>
      </c>
      <c r="H475" s="73">
        <v>17</v>
      </c>
      <c r="I475" s="122"/>
      <c r="J475" s="118">
        <f t="shared" ref="J475" si="1557">N468</f>
        <v>1</v>
      </c>
      <c r="K475" s="69">
        <f t="shared" ref="K475" si="1558">O468</f>
        <v>0</v>
      </c>
      <c r="L475" s="69">
        <f t="shared" ref="L475" si="1559">P468</f>
        <v>0</v>
      </c>
      <c r="M475" s="69">
        <f t="shared" ref="M475" si="1560">Q468</f>
        <v>1</v>
      </c>
      <c r="N475" s="69">
        <f t="shared" ref="N475" si="1561">R468</f>
        <v>0</v>
      </c>
      <c r="O475" s="119">
        <f t="shared" ref="O475" si="1562">S468</f>
        <v>0</v>
      </c>
      <c r="P475" s="122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</row>
    <row r="476" spans="1:57" x14ac:dyDescent="0.25">
      <c r="A476" s="21"/>
      <c r="B476" s="64"/>
      <c r="C476" s="75">
        <v>16</v>
      </c>
      <c r="D476" s="74">
        <v>17</v>
      </c>
      <c r="E476" s="74">
        <v>18</v>
      </c>
      <c r="F476" s="74">
        <v>19</v>
      </c>
      <c r="G476" s="74">
        <v>20</v>
      </c>
      <c r="H476" s="73">
        <v>21</v>
      </c>
      <c r="I476" s="122"/>
      <c r="J476" s="118">
        <f t="shared" ref="J476" si="1563">R468</f>
        <v>0</v>
      </c>
      <c r="K476" s="69">
        <f t="shared" ref="K476" si="1564">S468</f>
        <v>0</v>
      </c>
      <c r="L476" s="69">
        <f t="shared" ref="L476" si="1565">T468</f>
        <v>1</v>
      </c>
      <c r="M476" s="69">
        <f t="shared" ref="M476" si="1566">U468</f>
        <v>0</v>
      </c>
      <c r="N476" s="69">
        <f t="shared" ref="N476" si="1567">V468</f>
        <v>1</v>
      </c>
      <c r="O476" s="119">
        <f t="shared" ref="O476" si="1568">W468</f>
        <v>0</v>
      </c>
      <c r="P476" s="122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</row>
    <row r="477" spans="1:57" x14ac:dyDescent="0.25">
      <c r="A477" s="21"/>
      <c r="B477" s="64"/>
      <c r="C477" s="75">
        <v>20</v>
      </c>
      <c r="D477" s="74">
        <v>21</v>
      </c>
      <c r="E477" s="74">
        <v>22</v>
      </c>
      <c r="F477" s="74">
        <v>23</v>
      </c>
      <c r="G477" s="74">
        <v>24</v>
      </c>
      <c r="H477" s="73">
        <v>25</v>
      </c>
      <c r="I477" s="122"/>
      <c r="J477" s="118">
        <f t="shared" ref="J477" si="1569">V468</f>
        <v>1</v>
      </c>
      <c r="K477" s="69">
        <f t="shared" ref="K477" si="1570">W468</f>
        <v>0</v>
      </c>
      <c r="L477" s="69">
        <f t="shared" ref="L477" si="1571">X468</f>
        <v>1</v>
      </c>
      <c r="M477" s="69">
        <f t="shared" ref="M477" si="1572">Y468</f>
        <v>0</v>
      </c>
      <c r="N477" s="69">
        <f t="shared" ref="N477" si="1573">Z468</f>
        <v>1</v>
      </c>
      <c r="O477" s="119">
        <f t="shared" ref="O477" si="1574">AA468</f>
        <v>1</v>
      </c>
      <c r="P477" s="122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</row>
    <row r="478" spans="1:57" x14ac:dyDescent="0.25">
      <c r="A478" s="21"/>
      <c r="B478" s="64"/>
      <c r="C478" s="75">
        <v>24</v>
      </c>
      <c r="D478" s="74">
        <v>25</v>
      </c>
      <c r="E478" s="74">
        <v>26</v>
      </c>
      <c r="F478" s="74">
        <v>27</v>
      </c>
      <c r="G478" s="74">
        <v>28</v>
      </c>
      <c r="H478" s="73">
        <v>29</v>
      </c>
      <c r="I478" s="122"/>
      <c r="J478" s="118">
        <f t="shared" ref="J478" si="1575">Z468</f>
        <v>1</v>
      </c>
      <c r="K478" s="69">
        <f t="shared" ref="K478" si="1576">AA468</f>
        <v>1</v>
      </c>
      <c r="L478" s="69">
        <f t="shared" ref="L478" si="1577">AB468</f>
        <v>0</v>
      </c>
      <c r="M478" s="69">
        <f t="shared" ref="M478" si="1578">AC468</f>
        <v>1</v>
      </c>
      <c r="N478" s="69">
        <f t="shared" ref="N478" si="1579">AD468</f>
        <v>0</v>
      </c>
      <c r="O478" s="119">
        <f t="shared" ref="O478" si="1580">AE468</f>
        <v>1</v>
      </c>
      <c r="P478" s="122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</row>
    <row r="479" spans="1:57" x14ac:dyDescent="0.25">
      <c r="A479" s="21"/>
      <c r="B479" s="64"/>
      <c r="C479" s="75">
        <v>28</v>
      </c>
      <c r="D479" s="74">
        <v>29</v>
      </c>
      <c r="E479" s="74">
        <v>30</v>
      </c>
      <c r="F479" s="74">
        <v>31</v>
      </c>
      <c r="G479" s="74">
        <v>32</v>
      </c>
      <c r="H479" s="73">
        <v>1</v>
      </c>
      <c r="I479" s="122"/>
      <c r="J479" s="70">
        <f>AD468</f>
        <v>0</v>
      </c>
      <c r="K479" s="71">
        <f>AE468</f>
        <v>1</v>
      </c>
      <c r="L479" s="71">
        <f>AF468</f>
        <v>0</v>
      </c>
      <c r="M479" s="71">
        <f>AG468</f>
        <v>1</v>
      </c>
      <c r="N479" s="71">
        <f>AH468</f>
        <v>0</v>
      </c>
      <c r="O479" s="121">
        <f>C468</f>
        <v>1</v>
      </c>
      <c r="P479" s="122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</row>
    <row r="480" spans="1:57" x14ac:dyDescent="0.25">
      <c r="A480" s="21"/>
      <c r="B480" s="64"/>
      <c r="C480" s="62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</row>
    <row r="481" spans="1:57" x14ac:dyDescent="0.25">
      <c r="A481" s="21"/>
      <c r="B481" s="64"/>
      <c r="C481" s="62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</row>
    <row r="482" spans="1:57" x14ac:dyDescent="0.25">
      <c r="A482" s="124" t="s">
        <v>533</v>
      </c>
      <c r="B482" s="124"/>
      <c r="C482" s="125">
        <v>1</v>
      </c>
      <c r="D482" s="126">
        <v>2</v>
      </c>
      <c r="E482" s="125">
        <v>3</v>
      </c>
      <c r="F482" s="126">
        <v>4</v>
      </c>
      <c r="G482" s="125">
        <v>5</v>
      </c>
      <c r="H482" s="126">
        <v>6</v>
      </c>
      <c r="I482" s="125">
        <v>7</v>
      </c>
      <c r="J482" s="126">
        <v>8</v>
      </c>
      <c r="K482" s="125">
        <v>9</v>
      </c>
      <c r="L482" s="126">
        <v>10</v>
      </c>
      <c r="M482" s="125">
        <v>11</v>
      </c>
      <c r="N482" s="126">
        <v>12</v>
      </c>
      <c r="O482" s="125">
        <v>13</v>
      </c>
      <c r="P482" s="126">
        <v>14</v>
      </c>
      <c r="Q482" s="125">
        <v>15</v>
      </c>
      <c r="R482" s="126">
        <v>16</v>
      </c>
      <c r="S482" s="125">
        <v>17</v>
      </c>
      <c r="T482" s="126">
        <v>18</v>
      </c>
      <c r="U482" s="125">
        <v>19</v>
      </c>
      <c r="V482" s="126">
        <v>20</v>
      </c>
      <c r="W482" s="125">
        <v>21</v>
      </c>
      <c r="X482" s="126">
        <v>22</v>
      </c>
      <c r="Y482" s="125">
        <v>23</v>
      </c>
      <c r="Z482" s="126">
        <v>24</v>
      </c>
      <c r="AA482" s="125">
        <v>25</v>
      </c>
      <c r="AB482" s="126">
        <v>26</v>
      </c>
      <c r="AC482" s="125">
        <v>27</v>
      </c>
      <c r="AD482" s="126">
        <v>28</v>
      </c>
      <c r="AE482" s="125">
        <v>29</v>
      </c>
      <c r="AF482" s="126">
        <v>30</v>
      </c>
      <c r="AG482" s="125">
        <v>31</v>
      </c>
      <c r="AH482" s="126">
        <v>32</v>
      </c>
      <c r="AI482" s="125">
        <v>33</v>
      </c>
      <c r="AJ482" s="126">
        <v>34</v>
      </c>
      <c r="AK482" s="125">
        <v>35</v>
      </c>
      <c r="AL482" s="126">
        <v>36</v>
      </c>
      <c r="AM482" s="125">
        <v>37</v>
      </c>
      <c r="AN482" s="126">
        <v>38</v>
      </c>
      <c r="AO482" s="125">
        <v>39</v>
      </c>
      <c r="AP482" s="126">
        <v>40</v>
      </c>
      <c r="AQ482" s="125">
        <v>41</v>
      </c>
      <c r="AR482" s="126">
        <v>42</v>
      </c>
      <c r="AS482" s="125">
        <v>43</v>
      </c>
      <c r="AT482" s="126">
        <v>44</v>
      </c>
      <c r="AU482" s="125">
        <v>45</v>
      </c>
      <c r="AV482" s="126">
        <v>46</v>
      </c>
      <c r="AW482" s="125">
        <v>47</v>
      </c>
      <c r="AX482" s="126">
        <v>48</v>
      </c>
      <c r="AY482" s="21"/>
      <c r="AZ482" s="21"/>
      <c r="BA482" s="21"/>
      <c r="BB482" s="21"/>
      <c r="BC482" s="21"/>
      <c r="BD482" s="21"/>
      <c r="BE482" s="21"/>
    </row>
    <row r="483" spans="1:57" x14ac:dyDescent="0.25">
      <c r="A483" s="21"/>
      <c r="B483" s="64"/>
      <c r="C483" s="125">
        <f t="shared" ref="C483" si="1581">J472</f>
        <v>0</v>
      </c>
      <c r="D483" s="125">
        <f t="shared" ref="D483" si="1582">K472</f>
        <v>1</v>
      </c>
      <c r="E483" s="125">
        <f t="shared" ref="E483" si="1583">L472</f>
        <v>0</v>
      </c>
      <c r="F483" s="125">
        <f t="shared" ref="F483" si="1584">M472</f>
        <v>1</v>
      </c>
      <c r="G483" s="126">
        <f t="shared" ref="G483" si="1585">N472</f>
        <v>0</v>
      </c>
      <c r="H483" s="126">
        <f t="shared" ref="H483" si="1586">O472</f>
        <v>0</v>
      </c>
      <c r="I483" s="125">
        <f t="shared" ref="I483" si="1587">J473</f>
        <v>0</v>
      </c>
      <c r="J483" s="125">
        <f t="shared" ref="J483" si="1588">K473</f>
        <v>0</v>
      </c>
      <c r="K483" s="125">
        <f t="shared" ref="K483" si="1589">L473</f>
        <v>0</v>
      </c>
      <c r="L483" s="125">
        <f t="shared" ref="L483" si="1590">M473</f>
        <v>1</v>
      </c>
      <c r="M483" s="125">
        <f t="shared" ref="M483" si="1591">N473</f>
        <v>1</v>
      </c>
      <c r="N483" s="125">
        <f t="shared" ref="N483" si="1592">O473</f>
        <v>1</v>
      </c>
      <c r="O483" s="126">
        <f t="shared" ref="O483" si="1593">J474</f>
        <v>1</v>
      </c>
      <c r="P483" s="126">
        <f t="shared" ref="P483" si="1594">K474</f>
        <v>1</v>
      </c>
      <c r="Q483" s="126">
        <f t="shared" ref="Q483" si="1595">L474</f>
        <v>0</v>
      </c>
      <c r="R483" s="126">
        <f t="shared" ref="R483" si="1596">M474</f>
        <v>0</v>
      </c>
      <c r="S483" s="126">
        <f t="shared" ref="S483" si="1597">N474</f>
        <v>1</v>
      </c>
      <c r="T483" s="126">
        <f t="shared" ref="T483" si="1598">O474</f>
        <v>0</v>
      </c>
      <c r="U483" s="125">
        <f t="shared" ref="U483" si="1599">J475</f>
        <v>1</v>
      </c>
      <c r="V483" s="126">
        <f t="shared" ref="V483" si="1600">K475</f>
        <v>0</v>
      </c>
      <c r="W483" s="125">
        <f t="shared" ref="W483" si="1601">L475</f>
        <v>0</v>
      </c>
      <c r="X483" s="126">
        <f t="shared" ref="X483" si="1602">M475</f>
        <v>1</v>
      </c>
      <c r="Y483" s="125">
        <f t="shared" ref="Y483" si="1603">N475</f>
        <v>0</v>
      </c>
      <c r="Z483" s="126">
        <f t="shared" ref="Z483" si="1604">O475</f>
        <v>0</v>
      </c>
      <c r="AA483" s="125">
        <f t="shared" ref="AA483" si="1605">J476</f>
        <v>0</v>
      </c>
      <c r="AB483" s="126">
        <f t="shared" ref="AB483" si="1606">K476</f>
        <v>0</v>
      </c>
      <c r="AC483" s="125">
        <f>L476</f>
        <v>1</v>
      </c>
      <c r="AD483" s="126">
        <f t="shared" ref="AD483" si="1607">M476</f>
        <v>0</v>
      </c>
      <c r="AE483" s="125">
        <f t="shared" ref="AE483" si="1608">N476</f>
        <v>1</v>
      </c>
      <c r="AF483" s="126">
        <f t="shared" ref="AF483" si="1609">O476</f>
        <v>0</v>
      </c>
      <c r="AG483" s="125">
        <f t="shared" ref="AG483" si="1610">J477</f>
        <v>1</v>
      </c>
      <c r="AH483" s="126">
        <f t="shared" ref="AH483" si="1611">K477</f>
        <v>0</v>
      </c>
      <c r="AI483" s="125">
        <f t="shared" ref="AI483" si="1612">L477</f>
        <v>1</v>
      </c>
      <c r="AJ483" s="126">
        <f t="shared" ref="AJ483" si="1613">M477</f>
        <v>0</v>
      </c>
      <c r="AK483" s="125">
        <f t="shared" ref="AK483" si="1614">N477</f>
        <v>1</v>
      </c>
      <c r="AL483" s="126">
        <f t="shared" ref="AL483" si="1615">O477</f>
        <v>1</v>
      </c>
      <c r="AM483" s="125">
        <f t="shared" ref="AM483" si="1616">J478</f>
        <v>1</v>
      </c>
      <c r="AN483" s="126">
        <f t="shared" ref="AN483" si="1617">K478</f>
        <v>1</v>
      </c>
      <c r="AO483" s="125">
        <f t="shared" ref="AO483" si="1618">L478</f>
        <v>0</v>
      </c>
      <c r="AP483" s="126">
        <f t="shared" ref="AP483" si="1619">M478</f>
        <v>1</v>
      </c>
      <c r="AQ483" s="125">
        <f t="shared" ref="AQ483" si="1620">N478</f>
        <v>0</v>
      </c>
      <c r="AR483" s="126">
        <f t="shared" ref="AR483" si="1621">O478</f>
        <v>1</v>
      </c>
      <c r="AS483" s="125">
        <f t="shared" ref="AS483" si="1622">J479</f>
        <v>0</v>
      </c>
      <c r="AT483" s="126">
        <f t="shared" ref="AT483" si="1623">K479</f>
        <v>1</v>
      </c>
      <c r="AU483" s="125">
        <f t="shared" ref="AU483" si="1624">L479</f>
        <v>0</v>
      </c>
      <c r="AV483" s="126">
        <f t="shared" ref="AV483" si="1625">M479</f>
        <v>1</v>
      </c>
      <c r="AW483" s="125">
        <f t="shared" ref="AW483" si="1626">N479</f>
        <v>0</v>
      </c>
      <c r="AX483" s="126">
        <f t="shared" ref="AX483" si="1627">O479</f>
        <v>1</v>
      </c>
      <c r="AY483" s="21"/>
      <c r="AZ483" s="21"/>
      <c r="BA483" s="21"/>
      <c r="BB483" s="21"/>
      <c r="BC483" s="21"/>
      <c r="BD483" s="21"/>
      <c r="BE483" s="21"/>
    </row>
    <row r="484" spans="1:57" x14ac:dyDescent="0.25">
      <c r="A484" s="21"/>
      <c r="B484" s="64"/>
      <c r="C484" s="62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</row>
    <row r="485" spans="1:57" x14ac:dyDescent="0.25">
      <c r="A485" s="21"/>
      <c r="B485" s="64"/>
      <c r="C485" s="62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</row>
    <row r="486" spans="1:57" x14ac:dyDescent="0.25">
      <c r="A486" s="127" t="s">
        <v>606</v>
      </c>
      <c r="B486" s="127"/>
      <c r="C486" s="77">
        <f>'Key Generator'!D268</f>
        <v>1</v>
      </c>
      <c r="D486" s="77">
        <f>'Key Generator'!E268</f>
        <v>2</v>
      </c>
      <c r="E486" s="77">
        <f>'Key Generator'!F268</f>
        <v>3</v>
      </c>
      <c r="F486" s="77">
        <f>'Key Generator'!G268</f>
        <v>4</v>
      </c>
      <c r="G486" s="77">
        <f>'Key Generator'!H268</f>
        <v>5</v>
      </c>
      <c r="H486" s="77">
        <f>'Key Generator'!I268</f>
        <v>6</v>
      </c>
      <c r="I486" s="77">
        <f>'Key Generator'!J268</f>
        <v>7</v>
      </c>
      <c r="J486" s="77">
        <f>'Key Generator'!K268</f>
        <v>8</v>
      </c>
      <c r="K486" s="77">
        <f>'Key Generator'!L268</f>
        <v>9</v>
      </c>
      <c r="L486" s="77">
        <f>'Key Generator'!M268</f>
        <v>10</v>
      </c>
      <c r="M486" s="77">
        <f>'Key Generator'!N268</f>
        <v>11</v>
      </c>
      <c r="N486" s="77">
        <f>'Key Generator'!O268</f>
        <v>12</v>
      </c>
      <c r="O486" s="77">
        <f>'Key Generator'!P268</f>
        <v>13</v>
      </c>
      <c r="P486" s="77">
        <f>'Key Generator'!Q268</f>
        <v>14</v>
      </c>
      <c r="Q486" s="77">
        <f>'Key Generator'!R268</f>
        <v>15</v>
      </c>
      <c r="R486" s="77">
        <f>'Key Generator'!S268</f>
        <v>16</v>
      </c>
      <c r="S486" s="77">
        <f>'Key Generator'!T268</f>
        <v>17</v>
      </c>
      <c r="T486" s="77">
        <f>'Key Generator'!U268</f>
        <v>18</v>
      </c>
      <c r="U486" s="77">
        <f>'Key Generator'!V268</f>
        <v>19</v>
      </c>
      <c r="V486" s="77">
        <f>'Key Generator'!W268</f>
        <v>20</v>
      </c>
      <c r="W486" s="77">
        <f>'Key Generator'!X268</f>
        <v>21</v>
      </c>
      <c r="X486" s="77">
        <f>'Key Generator'!Y268</f>
        <v>22</v>
      </c>
      <c r="Y486" s="77">
        <f>'Key Generator'!Z268</f>
        <v>23</v>
      </c>
      <c r="Z486" s="77">
        <f>'Key Generator'!AA268</f>
        <v>24</v>
      </c>
      <c r="AA486" s="77">
        <f>'Key Generator'!AB268</f>
        <v>25</v>
      </c>
      <c r="AB486" s="77">
        <f>'Key Generator'!AC268</f>
        <v>26</v>
      </c>
      <c r="AC486" s="77">
        <f>'Key Generator'!AD268</f>
        <v>27</v>
      </c>
      <c r="AD486" s="77">
        <f>'Key Generator'!AE268</f>
        <v>28</v>
      </c>
      <c r="AE486" s="77">
        <f>'Key Generator'!AF268</f>
        <v>29</v>
      </c>
      <c r="AF486" s="77">
        <f>'Key Generator'!AG268</f>
        <v>30</v>
      </c>
      <c r="AG486" s="77">
        <f>'Key Generator'!AH268</f>
        <v>31</v>
      </c>
      <c r="AH486" s="77">
        <f>'Key Generator'!AI268</f>
        <v>32</v>
      </c>
      <c r="AI486" s="77">
        <f>'Key Generator'!AJ268</f>
        <v>33</v>
      </c>
      <c r="AJ486" s="77">
        <f>'Key Generator'!AK268</f>
        <v>34</v>
      </c>
      <c r="AK486" s="77">
        <f>'Key Generator'!AL268</f>
        <v>35</v>
      </c>
      <c r="AL486" s="77">
        <f>'Key Generator'!AM268</f>
        <v>36</v>
      </c>
      <c r="AM486" s="77">
        <f>'Key Generator'!AN268</f>
        <v>37</v>
      </c>
      <c r="AN486" s="77">
        <f>'Key Generator'!AO268</f>
        <v>38</v>
      </c>
      <c r="AO486" s="77">
        <f>'Key Generator'!AP268</f>
        <v>39</v>
      </c>
      <c r="AP486" s="77">
        <f>'Key Generator'!AQ268</f>
        <v>40</v>
      </c>
      <c r="AQ486" s="77">
        <f>'Key Generator'!AR268</f>
        <v>41</v>
      </c>
      <c r="AR486" s="77">
        <f>'Key Generator'!AS268</f>
        <v>42</v>
      </c>
      <c r="AS486" s="77">
        <f>'Key Generator'!AT268</f>
        <v>43</v>
      </c>
      <c r="AT486" s="77">
        <f>'Key Generator'!AU268</f>
        <v>44</v>
      </c>
      <c r="AU486" s="77">
        <f>'Key Generator'!AV268</f>
        <v>45</v>
      </c>
      <c r="AV486" s="77">
        <f>'Key Generator'!AW268</f>
        <v>46</v>
      </c>
      <c r="AW486" s="77">
        <f>'Key Generator'!AX268</f>
        <v>47</v>
      </c>
      <c r="AX486" s="77">
        <f>'Key Generator'!AY268</f>
        <v>48</v>
      </c>
      <c r="AY486" s="21"/>
      <c r="AZ486" s="21"/>
      <c r="BA486" s="21"/>
      <c r="BB486" s="21"/>
      <c r="BC486" s="21"/>
      <c r="BD486" s="21"/>
      <c r="BE486" s="21"/>
    </row>
    <row r="487" spans="1:57" x14ac:dyDescent="0.25">
      <c r="A487" s="21"/>
      <c r="B487" s="64"/>
      <c r="C487" s="77">
        <f>'Key Generator'!D269</f>
        <v>0</v>
      </c>
      <c r="D487" s="77">
        <f>'Key Generator'!E269</f>
        <v>1</v>
      </c>
      <c r="E487" s="77">
        <f>'Key Generator'!F269</f>
        <v>0</v>
      </c>
      <c r="F487" s="77">
        <f>'Key Generator'!G269</f>
        <v>1</v>
      </c>
      <c r="G487" s="77">
        <f>'Key Generator'!H269</f>
        <v>0</v>
      </c>
      <c r="H487" s="77">
        <f>'Key Generator'!I269</f>
        <v>0</v>
      </c>
      <c r="I487" s="77">
        <f>'Key Generator'!J269</f>
        <v>0</v>
      </c>
      <c r="J487" s="77">
        <f>'Key Generator'!K269</f>
        <v>1</v>
      </c>
      <c r="K487" s="77">
        <f>'Key Generator'!L269</f>
        <v>0</v>
      </c>
      <c r="L487" s="77">
        <f>'Key Generator'!M269</f>
        <v>0</v>
      </c>
      <c r="M487" s="77">
        <f>'Key Generator'!N269</f>
        <v>1</v>
      </c>
      <c r="N487" s="77">
        <f>'Key Generator'!O269</f>
        <v>0</v>
      </c>
      <c r="O487" s="77">
        <f>'Key Generator'!P269</f>
        <v>1</v>
      </c>
      <c r="P487" s="77">
        <f>'Key Generator'!Q269</f>
        <v>1</v>
      </c>
      <c r="Q487" s="77">
        <f>'Key Generator'!R269</f>
        <v>0</v>
      </c>
      <c r="R487" s="77">
        <f>'Key Generator'!S269</f>
        <v>0</v>
      </c>
      <c r="S487" s="77">
        <f>'Key Generator'!T269</f>
        <v>0</v>
      </c>
      <c r="T487" s="77">
        <f>'Key Generator'!U269</f>
        <v>1</v>
      </c>
      <c r="U487" s="77">
        <f>'Key Generator'!V269</f>
        <v>1</v>
      </c>
      <c r="V487" s="77">
        <f>'Key Generator'!W269</f>
        <v>0</v>
      </c>
      <c r="W487" s="77">
        <f>'Key Generator'!X269</f>
        <v>0</v>
      </c>
      <c r="X487" s="77">
        <f>'Key Generator'!Y269</f>
        <v>0</v>
      </c>
      <c r="Y487" s="77">
        <f>'Key Generator'!Z269</f>
        <v>0</v>
      </c>
      <c r="Z487" s="77">
        <f>'Key Generator'!AA269</f>
        <v>0</v>
      </c>
      <c r="AA487" s="77">
        <f>'Key Generator'!AB269</f>
        <v>1</v>
      </c>
      <c r="AB487" s="77">
        <f>'Key Generator'!AC269</f>
        <v>0</v>
      </c>
      <c r="AC487" s="77">
        <f>'Key Generator'!AD269</f>
        <v>1</v>
      </c>
      <c r="AD487" s="77">
        <f>'Key Generator'!AE269</f>
        <v>0</v>
      </c>
      <c r="AE487" s="77">
        <f>'Key Generator'!AF269</f>
        <v>0</v>
      </c>
      <c r="AF487" s="77">
        <f>'Key Generator'!AG269</f>
        <v>0</v>
      </c>
      <c r="AG487" s="77">
        <f>'Key Generator'!AH269</f>
        <v>0</v>
      </c>
      <c r="AH487" s="77">
        <f>'Key Generator'!AI269</f>
        <v>1</v>
      </c>
      <c r="AI487" s="77">
        <f>'Key Generator'!AJ269</f>
        <v>0</v>
      </c>
      <c r="AJ487" s="77">
        <f>'Key Generator'!AK269</f>
        <v>0</v>
      </c>
      <c r="AK487" s="77">
        <f>'Key Generator'!AL269</f>
        <v>0</v>
      </c>
      <c r="AL487" s="77">
        <f>'Key Generator'!AM269</f>
        <v>1</v>
      </c>
      <c r="AM487" s="77">
        <f>'Key Generator'!AN269</f>
        <v>1</v>
      </c>
      <c r="AN487" s="77">
        <f>'Key Generator'!AO269</f>
        <v>1</v>
      </c>
      <c r="AO487" s="77">
        <f>'Key Generator'!AP269</f>
        <v>0</v>
      </c>
      <c r="AP487" s="77">
        <f>'Key Generator'!AQ269</f>
        <v>1</v>
      </c>
      <c r="AQ487" s="77">
        <f>'Key Generator'!AR269</f>
        <v>1</v>
      </c>
      <c r="AR487" s="77">
        <f>'Key Generator'!AS269</f>
        <v>0</v>
      </c>
      <c r="AS487" s="77">
        <f>'Key Generator'!AT269</f>
        <v>1</v>
      </c>
      <c r="AT487" s="77">
        <f>'Key Generator'!AU269</f>
        <v>1</v>
      </c>
      <c r="AU487" s="77">
        <f>'Key Generator'!AV269</f>
        <v>1</v>
      </c>
      <c r="AV487" s="77">
        <f>'Key Generator'!AW269</f>
        <v>0</v>
      </c>
      <c r="AW487" s="77">
        <f>'Key Generator'!AX269</f>
        <v>1</v>
      </c>
      <c r="AX487" s="77">
        <f>'Key Generator'!AY269</f>
        <v>1</v>
      </c>
      <c r="AY487" s="21"/>
      <c r="AZ487" s="21"/>
      <c r="BA487" s="21"/>
      <c r="BB487" s="21"/>
      <c r="BC487" s="21"/>
      <c r="BD487" s="21"/>
      <c r="BE487" s="21"/>
    </row>
    <row r="488" spans="1:57" x14ac:dyDescent="0.25">
      <c r="A488" s="21"/>
      <c r="B488" s="64"/>
      <c r="C488" s="62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</row>
    <row r="489" spans="1:57" x14ac:dyDescent="0.25">
      <c r="A489" s="21"/>
      <c r="B489" s="64"/>
      <c r="C489" s="62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</row>
    <row r="490" spans="1:57" x14ac:dyDescent="0.25">
      <c r="A490" s="128" t="s">
        <v>535</v>
      </c>
      <c r="B490" s="129"/>
      <c r="C490" s="79">
        <v>1</v>
      </c>
      <c r="D490" s="80">
        <v>2</v>
      </c>
      <c r="E490" s="79">
        <v>3</v>
      </c>
      <c r="F490" s="80">
        <v>4</v>
      </c>
      <c r="G490" s="79">
        <v>5</v>
      </c>
      <c r="H490" s="80">
        <v>6</v>
      </c>
      <c r="I490" s="79">
        <v>7</v>
      </c>
      <c r="J490" s="80">
        <v>8</v>
      </c>
      <c r="K490" s="79">
        <v>9</v>
      </c>
      <c r="L490" s="80">
        <v>10</v>
      </c>
      <c r="M490" s="79">
        <v>11</v>
      </c>
      <c r="N490" s="80">
        <v>12</v>
      </c>
      <c r="O490" s="79">
        <v>13</v>
      </c>
      <c r="P490" s="80">
        <v>14</v>
      </c>
      <c r="Q490" s="79">
        <v>15</v>
      </c>
      <c r="R490" s="80">
        <v>16</v>
      </c>
      <c r="S490" s="79">
        <v>17</v>
      </c>
      <c r="T490" s="80">
        <v>18</v>
      </c>
      <c r="U490" s="79">
        <v>19</v>
      </c>
      <c r="V490" s="80">
        <v>20</v>
      </c>
      <c r="W490" s="79">
        <v>21</v>
      </c>
      <c r="X490" s="80">
        <v>22</v>
      </c>
      <c r="Y490" s="79">
        <v>23</v>
      </c>
      <c r="Z490" s="80">
        <v>24</v>
      </c>
      <c r="AA490" s="79">
        <v>25</v>
      </c>
      <c r="AB490" s="80">
        <v>26</v>
      </c>
      <c r="AC490" s="79">
        <v>27</v>
      </c>
      <c r="AD490" s="80">
        <v>28</v>
      </c>
      <c r="AE490" s="79">
        <v>29</v>
      </c>
      <c r="AF490" s="80">
        <v>30</v>
      </c>
      <c r="AG490" s="79">
        <v>31</v>
      </c>
      <c r="AH490" s="80">
        <v>32</v>
      </c>
      <c r="AI490" s="79">
        <v>33</v>
      </c>
      <c r="AJ490" s="80">
        <v>34</v>
      </c>
      <c r="AK490" s="79">
        <v>35</v>
      </c>
      <c r="AL490" s="80">
        <v>36</v>
      </c>
      <c r="AM490" s="79">
        <v>37</v>
      </c>
      <c r="AN490" s="80">
        <v>38</v>
      </c>
      <c r="AO490" s="79">
        <v>39</v>
      </c>
      <c r="AP490" s="80">
        <v>40</v>
      </c>
      <c r="AQ490" s="79">
        <v>41</v>
      </c>
      <c r="AR490" s="80">
        <v>42</v>
      </c>
      <c r="AS490" s="79">
        <v>43</v>
      </c>
      <c r="AT490" s="80">
        <v>44</v>
      </c>
      <c r="AU490" s="79">
        <v>45</v>
      </c>
      <c r="AV490" s="80">
        <v>46</v>
      </c>
      <c r="AW490" s="79">
        <v>47</v>
      </c>
      <c r="AX490" s="80">
        <v>48</v>
      </c>
      <c r="AY490" s="21"/>
      <c r="AZ490" s="21"/>
      <c r="BA490" s="21"/>
      <c r="BB490" s="21"/>
      <c r="BC490" s="21"/>
      <c r="BD490" s="21"/>
      <c r="BE490" s="21"/>
    </row>
    <row r="491" spans="1:57" x14ac:dyDescent="0.25">
      <c r="A491" s="21"/>
      <c r="B491" s="64"/>
      <c r="C491" s="88">
        <f>--_xlfn.XOR(C483,'Key Generator'!D269)</f>
        <v>0</v>
      </c>
      <c r="D491" s="88">
        <f>--_xlfn.XOR(D483,'Key Generator'!E269)</f>
        <v>0</v>
      </c>
      <c r="E491" s="88">
        <f>--_xlfn.XOR(E483,'Key Generator'!F269)</f>
        <v>0</v>
      </c>
      <c r="F491" s="88">
        <f>--_xlfn.XOR(F483,'Key Generator'!G269)</f>
        <v>0</v>
      </c>
      <c r="G491" s="88">
        <f>--_xlfn.XOR(G483,'Key Generator'!H269)</f>
        <v>0</v>
      </c>
      <c r="H491" s="88">
        <f>--_xlfn.XOR(H483,'Key Generator'!I269)</f>
        <v>0</v>
      </c>
      <c r="I491" s="87">
        <f>--_xlfn.XOR(I483,'Key Generator'!J269)</f>
        <v>0</v>
      </c>
      <c r="J491" s="87">
        <f>--_xlfn.XOR(J483,'Key Generator'!K269)</f>
        <v>1</v>
      </c>
      <c r="K491" s="87">
        <f>--_xlfn.XOR(K483,'Key Generator'!L269)</f>
        <v>0</v>
      </c>
      <c r="L491" s="87">
        <f>--_xlfn.XOR(L483,'Key Generator'!M269)</f>
        <v>1</v>
      </c>
      <c r="M491" s="87">
        <f>--_xlfn.XOR(M483,'Key Generator'!N269)</f>
        <v>0</v>
      </c>
      <c r="N491" s="87">
        <f>--_xlfn.XOR(N483,'Key Generator'!O269)</f>
        <v>1</v>
      </c>
      <c r="O491" s="89">
        <f>--_xlfn.XOR(O483,'Key Generator'!P269)</f>
        <v>0</v>
      </c>
      <c r="P491" s="89">
        <f>--_xlfn.XOR(P483,'Key Generator'!Q269)</f>
        <v>0</v>
      </c>
      <c r="Q491" s="89">
        <f>--_xlfn.XOR(Q483,'Key Generator'!R269)</f>
        <v>0</v>
      </c>
      <c r="R491" s="89">
        <f>--_xlfn.XOR(R483,'Key Generator'!S269)</f>
        <v>0</v>
      </c>
      <c r="S491" s="89">
        <f>--_xlfn.XOR(S483,'Key Generator'!T269)</f>
        <v>1</v>
      </c>
      <c r="T491" s="89">
        <f>--_xlfn.XOR(T483,'Key Generator'!U269)</f>
        <v>1</v>
      </c>
      <c r="U491" s="149">
        <f>--_xlfn.XOR(U483,'Key Generator'!V269)</f>
        <v>0</v>
      </c>
      <c r="V491" s="149">
        <f>--_xlfn.XOR(V483,'Key Generator'!W269)</f>
        <v>0</v>
      </c>
      <c r="W491" s="149">
        <f>--_xlfn.XOR(W483,'Key Generator'!X269)</f>
        <v>0</v>
      </c>
      <c r="X491" s="149">
        <f>--_xlfn.XOR(X483,'Key Generator'!Y269)</f>
        <v>1</v>
      </c>
      <c r="Y491" s="149">
        <f>--_xlfn.XOR(Y483,'Key Generator'!Z269)</f>
        <v>0</v>
      </c>
      <c r="Z491" s="149">
        <f>--_xlfn.XOR(Z483,'Key Generator'!AA269)</f>
        <v>0</v>
      </c>
      <c r="AA491" s="91">
        <f>--_xlfn.XOR(AA483,'Key Generator'!AB269)</f>
        <v>1</v>
      </c>
      <c r="AB491" s="91">
        <f>--_xlfn.XOR(AB483,'Key Generator'!AC269)</f>
        <v>0</v>
      </c>
      <c r="AC491" s="91">
        <f>--_xlfn.XOR(AC483,'Key Generator'!AD269)</f>
        <v>0</v>
      </c>
      <c r="AD491" s="91">
        <f>--_xlfn.XOR(AD483,'Key Generator'!AE269)</f>
        <v>0</v>
      </c>
      <c r="AE491" s="91">
        <f>--_xlfn.XOR(AE483,'Key Generator'!AF269)</f>
        <v>1</v>
      </c>
      <c r="AF491" s="91">
        <f>--_xlfn.XOR(AF483,'Key Generator'!AG269)</f>
        <v>0</v>
      </c>
      <c r="AG491" s="92">
        <f>--_xlfn.XOR(AG483,'Key Generator'!AH269)</f>
        <v>1</v>
      </c>
      <c r="AH491" s="92">
        <f>--_xlfn.XOR(AH483,'Key Generator'!AI269)</f>
        <v>1</v>
      </c>
      <c r="AI491" s="92">
        <f>--_xlfn.XOR(AI483,'Key Generator'!AJ269)</f>
        <v>1</v>
      </c>
      <c r="AJ491" s="92">
        <f>--_xlfn.XOR(AJ483,'Key Generator'!AK269)</f>
        <v>0</v>
      </c>
      <c r="AK491" s="92">
        <f>--_xlfn.XOR(AK483,'Key Generator'!AL269)</f>
        <v>1</v>
      </c>
      <c r="AL491" s="92">
        <f>--_xlfn.XOR(AL483,'Key Generator'!AM269)</f>
        <v>0</v>
      </c>
      <c r="AM491" s="86">
        <f>--_xlfn.XOR(AM483,'Key Generator'!AN269)</f>
        <v>0</v>
      </c>
      <c r="AN491" s="86">
        <f>--_xlfn.XOR(AN483,'Key Generator'!AO269)</f>
        <v>0</v>
      </c>
      <c r="AO491" s="86">
        <f>--_xlfn.XOR(AO483,'Key Generator'!AP269)</f>
        <v>0</v>
      </c>
      <c r="AP491" s="86">
        <f>--_xlfn.XOR(AP483,'Key Generator'!AQ269)</f>
        <v>0</v>
      </c>
      <c r="AQ491" s="86">
        <f>--_xlfn.XOR(AQ483,'Key Generator'!AR269)</f>
        <v>1</v>
      </c>
      <c r="AR491" s="86">
        <f>--_xlfn.XOR(AR483,'Key Generator'!AS269)</f>
        <v>1</v>
      </c>
      <c r="AS491" s="81">
        <f>--_xlfn.XOR(AS483,'Key Generator'!AT269)</f>
        <v>1</v>
      </c>
      <c r="AT491" s="81">
        <f>--_xlfn.XOR(AT483,'Key Generator'!AU269)</f>
        <v>0</v>
      </c>
      <c r="AU491" s="81">
        <f>--_xlfn.XOR(AU483,'Key Generator'!AV269)</f>
        <v>1</v>
      </c>
      <c r="AV491" s="81">
        <f>--_xlfn.XOR(AV483,'Key Generator'!AW269)</f>
        <v>1</v>
      </c>
      <c r="AW491" s="81">
        <f>--_xlfn.XOR(AW483,'Key Generator'!AX269)</f>
        <v>1</v>
      </c>
      <c r="AX491" s="81">
        <f>--_xlfn.XOR(AX483,'Key Generator'!AY269)</f>
        <v>0</v>
      </c>
      <c r="AY491" s="21"/>
      <c r="AZ491" s="21"/>
      <c r="BA491" s="21"/>
      <c r="BB491" s="21"/>
      <c r="BC491" s="21"/>
      <c r="BD491" s="21"/>
      <c r="BE491" s="21"/>
    </row>
    <row r="492" spans="1:57" x14ac:dyDescent="0.25">
      <c r="A492" s="21"/>
      <c r="B492" s="64"/>
      <c r="C492" s="93"/>
      <c r="D492" s="94"/>
      <c r="E492" s="94"/>
      <c r="F492" s="94"/>
      <c r="G492" s="94"/>
      <c r="H492" s="94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</row>
    <row r="493" spans="1:57" x14ac:dyDescent="0.25">
      <c r="A493" s="96" t="s">
        <v>545</v>
      </c>
      <c r="B493" s="97"/>
      <c r="C493" s="161">
        <f>D491*8+E491*4+F491*2+G491</f>
        <v>0</v>
      </c>
      <c r="D493" s="97" t="s">
        <v>536</v>
      </c>
      <c r="E493" s="97"/>
      <c r="F493" s="97"/>
      <c r="G493" s="97"/>
      <c r="H493" s="97"/>
      <c r="I493" s="161">
        <f>J491*8+K491*4+L491*2+M491</f>
        <v>10</v>
      </c>
      <c r="J493" s="97" t="s">
        <v>537</v>
      </c>
      <c r="K493" s="97"/>
      <c r="L493" s="97"/>
      <c r="M493" s="97"/>
      <c r="N493" s="97"/>
      <c r="O493" s="161">
        <f>P491*8+Q491*4+R491*2+S491</f>
        <v>1</v>
      </c>
      <c r="P493" s="97" t="s">
        <v>538</v>
      </c>
      <c r="Q493" s="97"/>
      <c r="R493" s="97"/>
      <c r="S493" s="97"/>
      <c r="T493" s="97"/>
      <c r="U493" s="161">
        <f>V491*8+W491*4+X491*2+Y491</f>
        <v>2</v>
      </c>
      <c r="V493" s="97" t="s">
        <v>539</v>
      </c>
      <c r="W493" s="97"/>
      <c r="X493" s="97"/>
      <c r="Y493" s="97"/>
      <c r="Z493" s="97"/>
      <c r="AA493" s="161">
        <f>AB491*8+AC491*4+AD491*2+AE491</f>
        <v>1</v>
      </c>
      <c r="AB493" s="97" t="s">
        <v>540</v>
      </c>
      <c r="AC493" s="97"/>
      <c r="AD493" s="97"/>
      <c r="AE493" s="97"/>
      <c r="AF493" s="97"/>
      <c r="AG493" s="161">
        <f>AH491*8+AI491*4+AJ491*2+AK491</f>
        <v>13</v>
      </c>
      <c r="AH493" s="97" t="s">
        <v>541</v>
      </c>
      <c r="AI493" s="97"/>
      <c r="AJ493" s="97"/>
      <c r="AK493" s="97"/>
      <c r="AL493" s="97"/>
      <c r="AM493" s="161">
        <f>AN491*8+AO491*4+AP491*2+AQ491</f>
        <v>1</v>
      </c>
      <c r="AN493" s="97" t="s">
        <v>542</v>
      </c>
      <c r="AO493" s="97"/>
      <c r="AP493" s="97"/>
      <c r="AQ493" s="97"/>
      <c r="AR493" s="97"/>
      <c r="AS493" s="161">
        <f>AT491*8+AU491*4+AV491*2+AW491</f>
        <v>7</v>
      </c>
      <c r="AT493" s="97" t="s">
        <v>543</v>
      </c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</row>
    <row r="494" spans="1:57" x14ac:dyDescent="0.25">
      <c r="A494" s="100" t="s">
        <v>546</v>
      </c>
      <c r="B494" s="99"/>
      <c r="C494" s="87">
        <f>C491*2+H491</f>
        <v>0</v>
      </c>
      <c r="D494" s="98"/>
      <c r="E494" s="98"/>
      <c r="F494" s="99"/>
      <c r="G494" s="99"/>
      <c r="H494" s="99"/>
      <c r="I494" s="87">
        <f>I491*2+N491</f>
        <v>1</v>
      </c>
      <c r="J494" s="99"/>
      <c r="K494" s="99"/>
      <c r="L494" s="99"/>
      <c r="M494" s="99"/>
      <c r="N494" s="99"/>
      <c r="O494" s="87">
        <f>O491*2+T491</f>
        <v>1</v>
      </c>
      <c r="P494" s="99"/>
      <c r="Q494" s="99"/>
      <c r="R494" s="99"/>
      <c r="S494" s="99"/>
      <c r="T494" s="99"/>
      <c r="U494" s="87">
        <f>U491*2+Z491</f>
        <v>0</v>
      </c>
      <c r="V494" s="99"/>
      <c r="W494" s="99"/>
      <c r="X494" s="99"/>
      <c r="Y494" s="99"/>
      <c r="Z494" s="99"/>
      <c r="AA494" s="87">
        <f>AA491*2+AF491</f>
        <v>2</v>
      </c>
      <c r="AB494" s="99"/>
      <c r="AC494" s="99"/>
      <c r="AD494" s="99"/>
      <c r="AE494" s="99"/>
      <c r="AF494" s="99"/>
      <c r="AG494" s="87">
        <f>AG491*2+AL491</f>
        <v>2</v>
      </c>
      <c r="AH494" s="99"/>
      <c r="AI494" s="99"/>
      <c r="AJ494" s="99"/>
      <c r="AK494" s="99"/>
      <c r="AL494" s="99"/>
      <c r="AM494" s="87">
        <f>AM491*2+AR491</f>
        <v>1</v>
      </c>
      <c r="AN494" s="99"/>
      <c r="AO494" s="99"/>
      <c r="AP494" s="99"/>
      <c r="AQ494" s="99"/>
      <c r="AR494" s="99"/>
      <c r="AS494" s="87">
        <f>AS491*2+AX491</f>
        <v>2</v>
      </c>
      <c r="AT494" s="99"/>
      <c r="AU494" s="99"/>
      <c r="AV494" s="99"/>
      <c r="AW494" s="99"/>
      <c r="AX494" s="99"/>
      <c r="AY494" s="99"/>
      <c r="AZ494" s="99"/>
      <c r="BA494" s="99"/>
      <c r="BB494" s="99"/>
      <c r="BC494" s="99"/>
      <c r="BD494" s="99"/>
      <c r="BE494" s="99"/>
    </row>
    <row r="495" spans="1:57" x14ac:dyDescent="0.25">
      <c r="A495" s="21"/>
      <c r="B495" s="64"/>
      <c r="C495" s="62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</row>
    <row r="496" spans="1:57" x14ac:dyDescent="0.25">
      <c r="A496" s="117" t="s">
        <v>547</v>
      </c>
      <c r="B496" s="64"/>
      <c r="C496" s="72">
        <f>INDEX('S-Box'!D3:S6,'DES-Dec'!C494+1,'DES-Dec'!C493+1)</f>
        <v>14</v>
      </c>
      <c r="D496" s="21"/>
      <c r="E496" s="21"/>
      <c r="F496" s="21"/>
      <c r="G496" s="21"/>
      <c r="H496" s="21"/>
      <c r="I496" s="168">
        <f>INDEX('S-Box'!D9:S12,'DES-Dec'!I494+1,'DES-Dec'!I493+1)</f>
        <v>1</v>
      </c>
      <c r="J496" s="21"/>
      <c r="K496" s="21"/>
      <c r="L496" s="21"/>
      <c r="M496" s="21"/>
      <c r="N496" s="21"/>
      <c r="O496" s="168">
        <f>INDEX('S-Box'!D15:S18,'DES-Dec'!O494+1,'DES-Dec'!O493+1)</f>
        <v>7</v>
      </c>
      <c r="P496" s="21"/>
      <c r="Q496" s="21"/>
      <c r="R496" s="21"/>
      <c r="S496" s="21"/>
      <c r="T496" s="21"/>
      <c r="U496" s="168">
        <f>INDEX('S-Box'!D21:S24,'DES-Dec'!U494+1,'DES-Dec'!U493+1)</f>
        <v>14</v>
      </c>
      <c r="V496" s="21"/>
      <c r="W496" s="21"/>
      <c r="X496" s="21"/>
      <c r="Y496" s="21"/>
      <c r="Z496" s="21"/>
      <c r="AA496" s="168">
        <f>INDEX('S-Box'!D27:S30,'DES-Dec'!AA494+1,'DES-Dec'!AA493+1)</f>
        <v>2</v>
      </c>
      <c r="AB496" s="21"/>
      <c r="AC496" s="21"/>
      <c r="AD496" s="21"/>
      <c r="AE496" s="21"/>
      <c r="AF496" s="21"/>
      <c r="AG496" s="168">
        <f>INDEX('S-Box'!D33:S36,'DES-Dec'!AG494+1,'DES-Dec'!AG493+1)</f>
        <v>13</v>
      </c>
      <c r="AH496" s="21"/>
      <c r="AI496" s="21"/>
      <c r="AJ496" s="21"/>
      <c r="AK496" s="21"/>
      <c r="AL496" s="21"/>
      <c r="AM496" s="168">
        <f>INDEX('S-Box'!D39:S42,'DES-Dec'!AM494+1,'DES-Dec'!AM493+1)</f>
        <v>0</v>
      </c>
      <c r="AN496" s="21"/>
      <c r="AO496" s="21"/>
      <c r="AP496" s="21"/>
      <c r="AQ496" s="21"/>
      <c r="AR496" s="21"/>
      <c r="AS496" s="168">
        <f>INDEX('S-Box'!D45:S48,'DES-Dec'!AS494+1,'DES-Dec'!AS493+1)</f>
        <v>2</v>
      </c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</row>
    <row r="497" spans="1:57" x14ac:dyDescent="0.25">
      <c r="A497" s="21"/>
      <c r="B497" s="64"/>
      <c r="C497" s="104"/>
      <c r="D497" s="21"/>
      <c r="E497" s="21"/>
      <c r="F497" s="21"/>
      <c r="G497" s="21"/>
      <c r="H497" s="21"/>
      <c r="I497" s="95"/>
      <c r="J497" s="21"/>
      <c r="K497" s="21"/>
      <c r="L497" s="21"/>
      <c r="M497" s="21"/>
      <c r="N497" s="21"/>
      <c r="O497" s="95"/>
      <c r="P497" s="21"/>
      <c r="Q497" s="21"/>
      <c r="R497" s="21"/>
      <c r="S497" s="21"/>
      <c r="T497" s="21"/>
      <c r="U497" s="95"/>
      <c r="V497" s="21"/>
      <c r="W497" s="21"/>
      <c r="X497" s="21"/>
      <c r="Y497" s="21"/>
      <c r="Z497" s="21"/>
      <c r="AA497" s="95"/>
      <c r="AB497" s="21"/>
      <c r="AC497" s="21"/>
      <c r="AD497" s="21"/>
      <c r="AE497" s="21"/>
      <c r="AF497" s="21"/>
      <c r="AG497" s="95"/>
      <c r="AH497" s="21"/>
      <c r="AI497" s="21"/>
      <c r="AJ497" s="21"/>
      <c r="AK497" s="21"/>
      <c r="AL497" s="21"/>
      <c r="AM497" s="95"/>
      <c r="AN497" s="21"/>
      <c r="AO497" s="21"/>
      <c r="AP497" s="21"/>
      <c r="AQ497" s="21"/>
      <c r="AR497" s="21"/>
      <c r="AS497" s="95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</row>
    <row r="498" spans="1:57" x14ac:dyDescent="0.25">
      <c r="A498" s="21"/>
      <c r="B498" s="64"/>
      <c r="C498" s="105" t="str">
        <f>MID(DEC2BIN(C496,4),1,1)</f>
        <v>1</v>
      </c>
      <c r="D498" s="106" t="str">
        <f>MID(DEC2BIN(C496,4),2,1)</f>
        <v>1</v>
      </c>
      <c r="E498" s="106" t="str">
        <f>MID(DEC2BIN(C496,4),3,1)</f>
        <v>1</v>
      </c>
      <c r="F498" s="107" t="str">
        <f>MID(DEC2BIN(C496,4),4,1)</f>
        <v>0</v>
      </c>
      <c r="G498" s="21"/>
      <c r="H498" s="21"/>
      <c r="I498" s="105" t="str">
        <f>MID(DEC2BIN(I496,4),1,1)</f>
        <v>0</v>
      </c>
      <c r="J498" s="106" t="str">
        <f>MID(DEC2BIN(I496,4),2,1)</f>
        <v>0</v>
      </c>
      <c r="K498" s="106" t="str">
        <f>MID(DEC2BIN(I496,4),3,1)</f>
        <v>0</v>
      </c>
      <c r="L498" s="107" t="str">
        <f>MID(DEC2BIN(I496,4),4,1)</f>
        <v>1</v>
      </c>
      <c r="M498" s="21"/>
      <c r="N498" s="21"/>
      <c r="O498" s="105" t="str">
        <f>MID(DEC2BIN(O496,4),1,1)</f>
        <v>0</v>
      </c>
      <c r="P498" s="106" t="str">
        <f>MID(DEC2BIN(O496,4),2,1)</f>
        <v>1</v>
      </c>
      <c r="Q498" s="106" t="str">
        <f>MID(DEC2BIN(O496,4),3,1)</f>
        <v>1</v>
      </c>
      <c r="R498" s="107" t="str">
        <f>MID(DEC2BIN(O496,4),4,1)</f>
        <v>1</v>
      </c>
      <c r="S498" s="21"/>
      <c r="T498" s="21"/>
      <c r="U498" s="105" t="str">
        <f>MID(DEC2BIN(U496,4),1,1)</f>
        <v>1</v>
      </c>
      <c r="V498" s="106" t="str">
        <f>MID(DEC2BIN(U496,4),2,1)</f>
        <v>1</v>
      </c>
      <c r="W498" s="106" t="str">
        <f>MID(DEC2BIN(U496,4),3,1)</f>
        <v>1</v>
      </c>
      <c r="X498" s="107" t="str">
        <f>MID(DEC2BIN(U496,4),4,1)</f>
        <v>0</v>
      </c>
      <c r="Y498" s="21"/>
      <c r="Z498" s="21"/>
      <c r="AA498" s="105" t="str">
        <f>MID(DEC2BIN(AA496,4),1,1)</f>
        <v>0</v>
      </c>
      <c r="AB498" s="106" t="str">
        <f>MID(DEC2BIN(AA496,4),2,1)</f>
        <v>0</v>
      </c>
      <c r="AC498" s="106" t="str">
        <f>MID(DEC2BIN(AA496,4),3,1)</f>
        <v>1</v>
      </c>
      <c r="AD498" s="107" t="str">
        <f>MID(DEC2BIN(AA496,4),4,1)</f>
        <v>0</v>
      </c>
      <c r="AE498" s="21"/>
      <c r="AF498" s="21"/>
      <c r="AG498" s="105" t="str">
        <f>MID(DEC2BIN(AG496,4),1,1)</f>
        <v>1</v>
      </c>
      <c r="AH498" s="106" t="str">
        <f>MID(DEC2BIN(AG496,4),2,1)</f>
        <v>1</v>
      </c>
      <c r="AI498" s="106" t="str">
        <f>MID(DEC2BIN(AG496,4),3,1)</f>
        <v>0</v>
      </c>
      <c r="AJ498" s="107" t="str">
        <f>MID(DEC2BIN(AG496,4),4,1)</f>
        <v>1</v>
      </c>
      <c r="AK498" s="21"/>
      <c r="AL498" s="21"/>
      <c r="AM498" s="105" t="str">
        <f>MID(DEC2BIN(AM496,4),1,1)</f>
        <v>0</v>
      </c>
      <c r="AN498" s="106" t="str">
        <f>MID(DEC2BIN(AM496,4),2,1)</f>
        <v>0</v>
      </c>
      <c r="AO498" s="106" t="str">
        <f>MID(DEC2BIN(AM496,4),3,1)</f>
        <v>0</v>
      </c>
      <c r="AP498" s="107" t="str">
        <f>MID(DEC2BIN(AM496,4),4,1)</f>
        <v>0</v>
      </c>
      <c r="AQ498" s="21"/>
      <c r="AR498" s="21"/>
      <c r="AS498" s="105" t="str">
        <f>MID(DEC2BIN(AS496,4),1,1)</f>
        <v>0</v>
      </c>
      <c r="AT498" s="106" t="str">
        <f>MID(DEC2BIN(AS496,4),2,1)</f>
        <v>0</v>
      </c>
      <c r="AU498" s="106" t="str">
        <f>MID(DEC2BIN(AS496,4),3,1)</f>
        <v>1</v>
      </c>
      <c r="AV498" s="107" t="str">
        <f>MID(DEC2BIN(AS496,4),4,1)</f>
        <v>0</v>
      </c>
      <c r="AW498" s="21"/>
      <c r="AX498" s="21"/>
      <c r="AY498" s="21"/>
      <c r="AZ498" s="21"/>
      <c r="BA498" s="21"/>
      <c r="BB498" s="21"/>
      <c r="BC498" s="21"/>
      <c r="BD498" s="21"/>
      <c r="BE498" s="21"/>
    </row>
    <row r="499" spans="1:57" s="21" customFormat="1" ht="24.95" customHeight="1" x14ac:dyDescent="0.25">
      <c r="B499" s="64"/>
      <c r="C499" s="21">
        <f>VALUE(C498)</f>
        <v>1</v>
      </c>
      <c r="D499" s="21">
        <f t="shared" ref="D499" si="1628">VALUE(D498)</f>
        <v>1</v>
      </c>
      <c r="E499" s="21">
        <f t="shared" ref="E499" si="1629">VALUE(E498)</f>
        <v>1</v>
      </c>
      <c r="F499" s="21">
        <f t="shared" ref="F499" si="1630">VALUE(F498)</f>
        <v>0</v>
      </c>
      <c r="I499" s="21">
        <f t="shared" ref="I499" si="1631">VALUE(I498)</f>
        <v>0</v>
      </c>
      <c r="J499" s="21">
        <f t="shared" ref="J499" si="1632">VALUE(J498)</f>
        <v>0</v>
      </c>
      <c r="K499" s="21">
        <f t="shared" ref="K499" si="1633">VALUE(K498)</f>
        <v>0</v>
      </c>
      <c r="L499" s="21">
        <f t="shared" ref="L499" si="1634">VALUE(L498)</f>
        <v>1</v>
      </c>
      <c r="O499" s="21">
        <f>VALUE(O498)</f>
        <v>0</v>
      </c>
      <c r="P499" s="21">
        <f t="shared" ref="P499" si="1635">VALUE(P498)</f>
        <v>1</v>
      </c>
      <c r="Q499" s="21">
        <f t="shared" ref="Q499" si="1636">VALUE(Q498)</f>
        <v>1</v>
      </c>
      <c r="R499" s="21">
        <f t="shared" ref="R499" si="1637">VALUE(R498)</f>
        <v>1</v>
      </c>
      <c r="U499" s="21">
        <f>VALUE(U498)</f>
        <v>1</v>
      </c>
      <c r="V499" s="21">
        <f t="shared" ref="V499" si="1638">VALUE(V498)</f>
        <v>1</v>
      </c>
      <c r="W499" s="21">
        <f t="shared" ref="W499" si="1639">VALUE(W498)</f>
        <v>1</v>
      </c>
      <c r="X499" s="21">
        <f t="shared" ref="X499" si="1640">VALUE(X498)</f>
        <v>0</v>
      </c>
      <c r="AA499" s="21">
        <f>VALUE(AA498)</f>
        <v>0</v>
      </c>
      <c r="AB499" s="21">
        <f t="shared" ref="AB499" si="1641">VALUE(AB498)</f>
        <v>0</v>
      </c>
      <c r="AC499" s="21">
        <f t="shared" ref="AC499" si="1642">VALUE(AC498)</f>
        <v>1</v>
      </c>
      <c r="AD499" s="21">
        <f t="shared" ref="AD499" si="1643">VALUE(AD498)</f>
        <v>0</v>
      </c>
      <c r="AG499" s="21">
        <f>VALUE(AG498)</f>
        <v>1</v>
      </c>
      <c r="AH499" s="21">
        <f t="shared" ref="AH499" si="1644">VALUE(AH498)</f>
        <v>1</v>
      </c>
      <c r="AI499" s="21">
        <f t="shared" ref="AI499" si="1645">VALUE(AI498)</f>
        <v>0</v>
      </c>
      <c r="AJ499" s="21">
        <f t="shared" ref="AJ499" si="1646">VALUE(AJ498)</f>
        <v>1</v>
      </c>
      <c r="AM499" s="21">
        <f>VALUE(AM498)</f>
        <v>0</v>
      </c>
      <c r="AN499" s="21">
        <f t="shared" ref="AN499" si="1647">VALUE(AN498)</f>
        <v>0</v>
      </c>
      <c r="AO499" s="21">
        <f t="shared" ref="AO499" si="1648">VALUE(AO498)</f>
        <v>0</v>
      </c>
      <c r="AP499" s="21">
        <f t="shared" ref="AP499" si="1649">VALUE(AP498)</f>
        <v>0</v>
      </c>
      <c r="AS499" s="21">
        <f>VALUE(AS498)</f>
        <v>0</v>
      </c>
      <c r="AT499" s="21">
        <f t="shared" ref="AT499" si="1650">VALUE(AT498)</f>
        <v>0</v>
      </c>
      <c r="AU499" s="21">
        <f t="shared" ref="AU499" si="1651">VALUE(AU498)</f>
        <v>1</v>
      </c>
      <c r="AV499" s="21">
        <f t="shared" ref="AV499" si="1652">VALUE(AV498)</f>
        <v>0</v>
      </c>
    </row>
    <row r="500" spans="1:57" s="21" customFormat="1" ht="24.95" customHeight="1" x14ac:dyDescent="0.25">
      <c r="A500" s="111" t="s">
        <v>588</v>
      </c>
      <c r="B500" s="111"/>
      <c r="C500" s="111">
        <v>1</v>
      </c>
      <c r="D500" s="76">
        <v>2</v>
      </c>
      <c r="E500" s="111">
        <v>3</v>
      </c>
      <c r="F500" s="76">
        <v>4</v>
      </c>
      <c r="G500" s="111">
        <v>5</v>
      </c>
      <c r="H500" s="76">
        <v>6</v>
      </c>
      <c r="I500" s="111">
        <v>7</v>
      </c>
      <c r="J500" s="76">
        <v>8</v>
      </c>
      <c r="K500" s="111">
        <v>9</v>
      </c>
      <c r="L500" s="76">
        <v>10</v>
      </c>
      <c r="M500" s="111">
        <v>11</v>
      </c>
      <c r="N500" s="76">
        <v>12</v>
      </c>
      <c r="O500" s="111">
        <v>13</v>
      </c>
      <c r="P500" s="76">
        <v>14</v>
      </c>
      <c r="Q500" s="111">
        <v>15</v>
      </c>
      <c r="R500" s="76">
        <v>16</v>
      </c>
      <c r="S500" s="111">
        <v>17</v>
      </c>
      <c r="T500" s="76">
        <v>18</v>
      </c>
      <c r="U500" s="111">
        <v>19</v>
      </c>
      <c r="V500" s="76">
        <v>20</v>
      </c>
      <c r="W500" s="111">
        <v>21</v>
      </c>
      <c r="X500" s="76">
        <v>22</v>
      </c>
      <c r="Y500" s="111">
        <v>23</v>
      </c>
      <c r="Z500" s="76">
        <v>24</v>
      </c>
      <c r="AA500" s="111">
        <v>25</v>
      </c>
      <c r="AB500" s="76">
        <v>26</v>
      </c>
      <c r="AC500" s="111">
        <v>27</v>
      </c>
      <c r="AD500" s="76">
        <v>28</v>
      </c>
      <c r="AE500" s="111">
        <v>29</v>
      </c>
      <c r="AF500" s="76">
        <v>30</v>
      </c>
      <c r="AG500" s="111">
        <v>31</v>
      </c>
      <c r="AH500" s="76">
        <v>32</v>
      </c>
    </row>
    <row r="501" spans="1:57" s="21" customFormat="1" ht="24.95" customHeight="1" x14ac:dyDescent="0.25">
      <c r="B501" s="64"/>
      <c r="C501" s="108">
        <f>C499</f>
        <v>1</v>
      </c>
      <c r="D501" s="108">
        <f t="shared" ref="D501:F501" si="1653">D499</f>
        <v>1</v>
      </c>
      <c r="E501" s="108">
        <f t="shared" si="1653"/>
        <v>1</v>
      </c>
      <c r="F501" s="108">
        <f t="shared" si="1653"/>
        <v>0</v>
      </c>
      <c r="G501" s="23">
        <f>I499</f>
        <v>0</v>
      </c>
      <c r="H501" s="23">
        <f t="shared" ref="H501" si="1654">J499</f>
        <v>0</v>
      </c>
      <c r="I501" s="23">
        <f t="shared" ref="I501" si="1655">K499</f>
        <v>0</v>
      </c>
      <c r="J501" s="23">
        <f t="shared" ref="J501" si="1656">L499</f>
        <v>1</v>
      </c>
      <c r="K501" s="23">
        <f>O499</f>
        <v>0</v>
      </c>
      <c r="L501" s="23">
        <f t="shared" ref="L501" si="1657">P499</f>
        <v>1</v>
      </c>
      <c r="M501" s="23">
        <f t="shared" ref="M501" si="1658">Q499</f>
        <v>1</v>
      </c>
      <c r="N501" s="23">
        <f t="shared" ref="N501" si="1659">R499</f>
        <v>1</v>
      </c>
      <c r="O501" s="23">
        <f>U499</f>
        <v>1</v>
      </c>
      <c r="P501" s="23">
        <f t="shared" ref="P501" si="1660">V499</f>
        <v>1</v>
      </c>
      <c r="Q501" s="23">
        <f t="shared" ref="Q501" si="1661">W499</f>
        <v>1</v>
      </c>
      <c r="R501" s="23">
        <f t="shared" ref="R501" si="1662">X499</f>
        <v>0</v>
      </c>
      <c r="S501" s="23">
        <f>AA499</f>
        <v>0</v>
      </c>
      <c r="T501" s="23">
        <f t="shared" ref="T501" si="1663">AB499</f>
        <v>0</v>
      </c>
      <c r="U501" s="23">
        <f t="shared" ref="U501" si="1664">AC499</f>
        <v>1</v>
      </c>
      <c r="V501" s="23">
        <f t="shared" ref="V501" si="1665">AD499</f>
        <v>0</v>
      </c>
      <c r="W501" s="23">
        <f>AG499</f>
        <v>1</v>
      </c>
      <c r="X501" s="23">
        <f t="shared" ref="X501" si="1666">AH499</f>
        <v>1</v>
      </c>
      <c r="Y501" s="23">
        <f t="shared" ref="Y501" si="1667">AI499</f>
        <v>0</v>
      </c>
      <c r="Z501" s="23">
        <f t="shared" ref="Z501" si="1668">AJ499</f>
        <v>1</v>
      </c>
      <c r="AA501" s="23">
        <f>AM499</f>
        <v>0</v>
      </c>
      <c r="AB501" s="23">
        <f t="shared" ref="AB501" si="1669">AN499</f>
        <v>0</v>
      </c>
      <c r="AC501" s="23">
        <f t="shared" ref="AC501" si="1670">AO499</f>
        <v>0</v>
      </c>
      <c r="AD501" s="23">
        <f t="shared" ref="AD501" si="1671">AP499</f>
        <v>0</v>
      </c>
      <c r="AE501" s="23">
        <f>AS499</f>
        <v>0</v>
      </c>
      <c r="AF501" s="23">
        <f t="shared" ref="AF501" si="1672">AT499</f>
        <v>0</v>
      </c>
      <c r="AG501" s="23">
        <f t="shared" ref="AG501" si="1673">AU499</f>
        <v>1</v>
      </c>
      <c r="AH501" s="23">
        <f t="shared" ref="AH501" si="1674">AV499</f>
        <v>0</v>
      </c>
    </row>
    <row r="502" spans="1:57" x14ac:dyDescent="0.25">
      <c r="A502" s="21"/>
      <c r="B502" s="64"/>
      <c r="C502" s="62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</row>
    <row r="503" spans="1:57" x14ac:dyDescent="0.25">
      <c r="A503" s="110" t="s">
        <v>548</v>
      </c>
      <c r="B503" s="110"/>
      <c r="C503" s="109">
        <v>16</v>
      </c>
      <c r="D503" s="110">
        <v>7</v>
      </c>
      <c r="E503" s="110">
        <v>20</v>
      </c>
      <c r="F503" s="110">
        <v>21</v>
      </c>
      <c r="G503" s="110">
        <v>29</v>
      </c>
      <c r="H503" s="110">
        <v>12</v>
      </c>
      <c r="I503" s="110">
        <v>28</v>
      </c>
      <c r="J503" s="110">
        <v>17</v>
      </c>
      <c r="K503" s="110">
        <v>1</v>
      </c>
      <c r="L503" s="110">
        <v>15</v>
      </c>
      <c r="M503" s="110">
        <v>23</v>
      </c>
      <c r="N503" s="110">
        <v>26</v>
      </c>
      <c r="O503" s="110">
        <v>5</v>
      </c>
      <c r="P503" s="110">
        <v>18</v>
      </c>
      <c r="Q503" s="110">
        <v>31</v>
      </c>
      <c r="R503" s="110">
        <v>10</v>
      </c>
      <c r="S503" s="110">
        <v>2</v>
      </c>
      <c r="T503" s="110">
        <v>8</v>
      </c>
      <c r="U503" s="110">
        <v>24</v>
      </c>
      <c r="V503" s="110">
        <v>14</v>
      </c>
      <c r="W503" s="110">
        <v>32</v>
      </c>
      <c r="X503" s="110">
        <v>27</v>
      </c>
      <c r="Y503" s="110">
        <v>3</v>
      </c>
      <c r="Z503" s="110">
        <v>9</v>
      </c>
      <c r="AA503" s="110">
        <v>19</v>
      </c>
      <c r="AB503" s="110">
        <v>13</v>
      </c>
      <c r="AC503" s="110">
        <v>30</v>
      </c>
      <c r="AD503" s="110">
        <v>6</v>
      </c>
      <c r="AE503" s="110">
        <v>22</v>
      </c>
      <c r="AF503" s="110">
        <v>11</v>
      </c>
      <c r="AG503" s="110">
        <v>4</v>
      </c>
      <c r="AH503" s="110">
        <v>25</v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</row>
    <row r="504" spans="1:57" x14ac:dyDescent="0.25">
      <c r="A504" s="21"/>
      <c r="B504" s="64"/>
      <c r="C504" s="103">
        <f>K501</f>
        <v>0</v>
      </c>
      <c r="D504" s="103">
        <f>S501</f>
        <v>0</v>
      </c>
      <c r="E504" s="103">
        <f>Y501</f>
        <v>0</v>
      </c>
      <c r="F504" s="112">
        <f>AG501</f>
        <v>1</v>
      </c>
      <c r="G504" s="103">
        <f>O501</f>
        <v>1</v>
      </c>
      <c r="H504" s="103">
        <f>AD501</f>
        <v>0</v>
      </c>
      <c r="I504" s="103">
        <f>D501</f>
        <v>1</v>
      </c>
      <c r="J504" s="103">
        <f>T501</f>
        <v>0</v>
      </c>
      <c r="K504" s="103">
        <f>Z501</f>
        <v>1</v>
      </c>
      <c r="L504" s="103">
        <f>R501</f>
        <v>0</v>
      </c>
      <c r="M504" s="103">
        <f>AF501</f>
        <v>0</v>
      </c>
      <c r="N504" s="103">
        <f>H501</f>
        <v>0</v>
      </c>
      <c r="O504" s="103">
        <f>AB501</f>
        <v>0</v>
      </c>
      <c r="P504" s="103">
        <f>V501</f>
        <v>0</v>
      </c>
      <c r="Q504" s="103">
        <f>L501</f>
        <v>1</v>
      </c>
      <c r="R504" s="103">
        <f>C501</f>
        <v>1</v>
      </c>
      <c r="S504" s="103">
        <f>J501</f>
        <v>1</v>
      </c>
      <c r="T504" s="103">
        <f>P501</f>
        <v>1</v>
      </c>
      <c r="U504" s="103">
        <f>AA501</f>
        <v>0</v>
      </c>
      <c r="V504" s="103">
        <f>E501</f>
        <v>1</v>
      </c>
      <c r="W504" s="103">
        <f>F501</f>
        <v>0</v>
      </c>
      <c r="X504" s="103">
        <f>AE501</f>
        <v>0</v>
      </c>
      <c r="Y504" s="103">
        <f>M501</f>
        <v>1</v>
      </c>
      <c r="Z504" s="103">
        <f>U501</f>
        <v>1</v>
      </c>
      <c r="AA504" s="103">
        <f>AH501</f>
        <v>0</v>
      </c>
      <c r="AB504" s="103">
        <f>N501</f>
        <v>1</v>
      </c>
      <c r="AC504" s="103">
        <f>X501</f>
        <v>1</v>
      </c>
      <c r="AD504" s="103">
        <f>I501</f>
        <v>0</v>
      </c>
      <c r="AE504" s="103">
        <f>G501</f>
        <v>0</v>
      </c>
      <c r="AF504" s="103">
        <f>AC501</f>
        <v>0</v>
      </c>
      <c r="AG504" s="103">
        <f>Q501</f>
        <v>1</v>
      </c>
      <c r="AH504" s="103">
        <f>W501</f>
        <v>1</v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</row>
    <row r="505" spans="1:57" x14ac:dyDescent="0.25">
      <c r="A505" s="21"/>
      <c r="B505" s="64"/>
      <c r="C505" s="130">
        <v>1</v>
      </c>
      <c r="D505" s="131">
        <v>2</v>
      </c>
      <c r="E505" s="130">
        <v>3</v>
      </c>
      <c r="F505" s="131">
        <v>4</v>
      </c>
      <c r="G505" s="130">
        <v>5</v>
      </c>
      <c r="H505" s="131">
        <v>6</v>
      </c>
      <c r="I505" s="130">
        <v>7</v>
      </c>
      <c r="J505" s="131">
        <v>8</v>
      </c>
      <c r="K505" s="130">
        <v>9</v>
      </c>
      <c r="L505" s="131">
        <v>10</v>
      </c>
      <c r="M505" s="130">
        <v>11</v>
      </c>
      <c r="N505" s="131">
        <v>12</v>
      </c>
      <c r="O505" s="130">
        <v>13</v>
      </c>
      <c r="P505" s="131">
        <v>14</v>
      </c>
      <c r="Q505" s="130">
        <v>15</v>
      </c>
      <c r="R505" s="131">
        <v>16</v>
      </c>
      <c r="S505" s="130">
        <v>17</v>
      </c>
      <c r="T505" s="131">
        <v>18</v>
      </c>
      <c r="U505" s="130">
        <v>19</v>
      </c>
      <c r="V505" s="131">
        <v>20</v>
      </c>
      <c r="W505" s="130">
        <v>21</v>
      </c>
      <c r="X505" s="131">
        <v>22</v>
      </c>
      <c r="Y505" s="130">
        <v>23</v>
      </c>
      <c r="Z505" s="131">
        <v>24</v>
      </c>
      <c r="AA505" s="130">
        <v>25</v>
      </c>
      <c r="AB505" s="131">
        <v>26</v>
      </c>
      <c r="AC505" s="130">
        <v>27</v>
      </c>
      <c r="AD505" s="131">
        <v>28</v>
      </c>
      <c r="AE505" s="130">
        <v>29</v>
      </c>
      <c r="AF505" s="131">
        <v>30</v>
      </c>
      <c r="AG505" s="130">
        <v>31</v>
      </c>
      <c r="AH505" s="131">
        <v>32</v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</row>
    <row r="506" spans="1:57" x14ac:dyDescent="0.25">
      <c r="A506" s="21"/>
      <c r="B506" s="64"/>
      <c r="C506" s="62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</row>
    <row r="507" spans="1:57" x14ac:dyDescent="0.25">
      <c r="A507" s="21"/>
      <c r="B507" s="64"/>
      <c r="C507" s="62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</row>
    <row r="508" spans="1:57" x14ac:dyDescent="0.25">
      <c r="A508" s="21"/>
      <c r="B508" s="64"/>
      <c r="C508" s="62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</row>
    <row r="509" spans="1:57" x14ac:dyDescent="0.25">
      <c r="A509" s="114" t="s">
        <v>566</v>
      </c>
      <c r="B509" s="114"/>
      <c r="C509" s="114"/>
      <c r="D509" s="68">
        <v>1</v>
      </c>
      <c r="E509" s="68">
        <v>2</v>
      </c>
      <c r="F509" s="68">
        <v>3</v>
      </c>
      <c r="G509" s="68">
        <v>4</v>
      </c>
      <c r="H509" s="68">
        <v>5</v>
      </c>
      <c r="I509" s="68">
        <v>6</v>
      </c>
      <c r="J509" s="68">
        <v>7</v>
      </c>
      <c r="K509" s="68">
        <v>8</v>
      </c>
      <c r="L509" s="68">
        <v>9</v>
      </c>
      <c r="M509" s="68">
        <v>10</v>
      </c>
      <c r="N509" s="68">
        <v>11</v>
      </c>
      <c r="O509" s="68">
        <v>12</v>
      </c>
      <c r="P509" s="68">
        <v>13</v>
      </c>
      <c r="Q509" s="68">
        <v>14</v>
      </c>
      <c r="R509" s="68">
        <v>15</v>
      </c>
      <c r="S509" s="68">
        <v>16</v>
      </c>
      <c r="T509" s="68">
        <v>17</v>
      </c>
      <c r="U509" s="68">
        <v>18</v>
      </c>
      <c r="V509" s="68">
        <v>19</v>
      </c>
      <c r="W509" s="68">
        <v>20</v>
      </c>
      <c r="X509" s="68">
        <v>21</v>
      </c>
      <c r="Y509" s="68">
        <v>22</v>
      </c>
      <c r="Z509" s="68">
        <v>23</v>
      </c>
      <c r="AA509" s="68">
        <v>24</v>
      </c>
      <c r="AB509" s="68">
        <v>25</v>
      </c>
      <c r="AC509" s="68">
        <v>26</v>
      </c>
      <c r="AD509" s="68">
        <v>27</v>
      </c>
      <c r="AE509" s="68">
        <v>28</v>
      </c>
      <c r="AF509" s="68">
        <v>29</v>
      </c>
      <c r="AG509" s="68">
        <v>30</v>
      </c>
      <c r="AH509" s="68">
        <v>31</v>
      </c>
      <c r="AI509" s="68">
        <v>32</v>
      </c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</row>
    <row r="510" spans="1:57" x14ac:dyDescent="0.25">
      <c r="A510" s="64" t="s">
        <v>549</v>
      </c>
      <c r="B510" s="64"/>
      <c r="C510" s="62"/>
      <c r="D510" s="68">
        <f>C468</f>
        <v>1</v>
      </c>
      <c r="E510" s="68">
        <f t="shared" ref="E510" si="1675">D468</f>
        <v>0</v>
      </c>
      <c r="F510" s="68">
        <f t="shared" ref="F510" si="1676">E468</f>
        <v>1</v>
      </c>
      <c r="G510" s="68">
        <f t="shared" ref="G510" si="1677">F468</f>
        <v>0</v>
      </c>
      <c r="H510" s="68">
        <f t="shared" ref="H510" si="1678">G468</f>
        <v>0</v>
      </c>
      <c r="I510" s="68">
        <f t="shared" ref="I510" si="1679">H468</f>
        <v>0</v>
      </c>
      <c r="J510" s="68">
        <f t="shared" ref="J510" si="1680">I468</f>
        <v>1</v>
      </c>
      <c r="K510" s="68">
        <f t="shared" ref="K510" si="1681">J468</f>
        <v>1</v>
      </c>
      <c r="L510" s="68">
        <f t="shared" ref="L510" si="1682">K468</f>
        <v>1</v>
      </c>
      <c r="M510" s="68">
        <f t="shared" ref="M510" si="1683">L468</f>
        <v>0</v>
      </c>
      <c r="N510" s="68">
        <f t="shared" ref="N510" si="1684">M468</f>
        <v>0</v>
      </c>
      <c r="O510" s="68">
        <f t="shared" ref="O510" si="1685">N468</f>
        <v>1</v>
      </c>
      <c r="P510" s="68">
        <f t="shared" ref="P510" si="1686">O468</f>
        <v>0</v>
      </c>
      <c r="Q510" s="68">
        <f t="shared" ref="Q510" si="1687">P468</f>
        <v>0</v>
      </c>
      <c r="R510" s="68">
        <f t="shared" ref="R510" si="1688">Q468</f>
        <v>1</v>
      </c>
      <c r="S510" s="68">
        <f t="shared" ref="S510" si="1689">R468</f>
        <v>0</v>
      </c>
      <c r="T510" s="68">
        <f t="shared" ref="T510" si="1690">S468</f>
        <v>0</v>
      </c>
      <c r="U510" s="68">
        <f t="shared" ref="U510" si="1691">T468</f>
        <v>1</v>
      </c>
      <c r="V510" s="68">
        <f t="shared" ref="V510" si="1692">U468</f>
        <v>0</v>
      </c>
      <c r="W510" s="68">
        <f t="shared" ref="W510" si="1693">V468</f>
        <v>1</v>
      </c>
      <c r="X510" s="68">
        <f t="shared" ref="X510" si="1694">W468</f>
        <v>0</v>
      </c>
      <c r="Y510" s="68">
        <f t="shared" ref="Y510" si="1695">X468</f>
        <v>1</v>
      </c>
      <c r="Z510" s="68">
        <f t="shared" ref="Z510" si="1696">Y468</f>
        <v>0</v>
      </c>
      <c r="AA510" s="68">
        <f t="shared" ref="AA510" si="1697">Z468</f>
        <v>1</v>
      </c>
      <c r="AB510" s="68">
        <f t="shared" ref="AB510" si="1698">AA468</f>
        <v>1</v>
      </c>
      <c r="AC510" s="68">
        <f t="shared" ref="AC510" si="1699">AB468</f>
        <v>0</v>
      </c>
      <c r="AD510" s="68">
        <f t="shared" ref="AD510" si="1700">AC468</f>
        <v>1</v>
      </c>
      <c r="AE510" s="68">
        <f t="shared" ref="AE510" si="1701">AD468</f>
        <v>0</v>
      </c>
      <c r="AF510" s="68">
        <f t="shared" ref="AF510" si="1702">AE468</f>
        <v>1</v>
      </c>
      <c r="AG510" s="68">
        <f t="shared" ref="AG510" si="1703">AF468</f>
        <v>0</v>
      </c>
      <c r="AH510" s="68">
        <f t="shared" ref="AH510" si="1704">AG468</f>
        <v>1</v>
      </c>
      <c r="AI510" s="68">
        <f t="shared" ref="AI510" si="1705">AH468</f>
        <v>0</v>
      </c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</row>
    <row r="511" spans="1:57" x14ac:dyDescent="0.25">
      <c r="A511" s="21"/>
      <c r="B511" s="64"/>
      <c r="C511" s="62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</row>
    <row r="512" spans="1:57" x14ac:dyDescent="0.25">
      <c r="A512" s="114" t="s">
        <v>567</v>
      </c>
      <c r="B512" s="114"/>
      <c r="C512" s="114"/>
      <c r="D512" s="70">
        <v>1</v>
      </c>
      <c r="E512" s="70">
        <v>2</v>
      </c>
      <c r="F512" s="70">
        <v>3</v>
      </c>
      <c r="G512" s="70">
        <v>4</v>
      </c>
      <c r="H512" s="70">
        <v>5</v>
      </c>
      <c r="I512" s="70">
        <v>6</v>
      </c>
      <c r="J512" s="70">
        <v>7</v>
      </c>
      <c r="K512" s="70">
        <v>8</v>
      </c>
      <c r="L512" s="70">
        <v>9</v>
      </c>
      <c r="M512" s="70">
        <v>10</v>
      </c>
      <c r="N512" s="70">
        <v>11</v>
      </c>
      <c r="O512" s="70">
        <v>12</v>
      </c>
      <c r="P512" s="70">
        <v>13</v>
      </c>
      <c r="Q512" s="70">
        <v>14</v>
      </c>
      <c r="R512" s="70">
        <v>15</v>
      </c>
      <c r="S512" s="70">
        <v>16</v>
      </c>
      <c r="T512" s="70">
        <v>17</v>
      </c>
      <c r="U512" s="70">
        <v>18</v>
      </c>
      <c r="V512" s="70">
        <v>19</v>
      </c>
      <c r="W512" s="70">
        <v>20</v>
      </c>
      <c r="X512" s="70">
        <v>21</v>
      </c>
      <c r="Y512" s="70">
        <v>22</v>
      </c>
      <c r="Z512" s="70">
        <v>23</v>
      </c>
      <c r="AA512" s="70">
        <v>24</v>
      </c>
      <c r="AB512" s="70">
        <v>25</v>
      </c>
      <c r="AC512" s="70">
        <v>26</v>
      </c>
      <c r="AD512" s="70">
        <v>27</v>
      </c>
      <c r="AE512" s="70">
        <v>28</v>
      </c>
      <c r="AF512" s="70">
        <v>29</v>
      </c>
      <c r="AG512" s="70">
        <v>30</v>
      </c>
      <c r="AH512" s="70">
        <v>31</v>
      </c>
      <c r="AI512" s="70">
        <v>32</v>
      </c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</row>
    <row r="513" spans="1:57" x14ac:dyDescent="0.25">
      <c r="A513" s="64" t="s">
        <v>551</v>
      </c>
      <c r="B513" s="64"/>
      <c r="C513" s="62"/>
      <c r="D513" s="70">
        <f>--_xlfn.XOR(C504,D461)</f>
        <v>0</v>
      </c>
      <c r="E513" s="70">
        <f t="shared" ref="E513:AI513" si="1706">--_xlfn.XOR(D504,E461)</f>
        <v>0</v>
      </c>
      <c r="F513" s="70">
        <f t="shared" si="1706"/>
        <v>0</v>
      </c>
      <c r="G513" s="70">
        <f t="shared" si="1706"/>
        <v>0</v>
      </c>
      <c r="H513" s="70">
        <f t="shared" si="1706"/>
        <v>0</v>
      </c>
      <c r="I513" s="70">
        <f t="shared" si="1706"/>
        <v>0</v>
      </c>
      <c r="J513" s="70">
        <f t="shared" si="1706"/>
        <v>0</v>
      </c>
      <c r="K513" s="70">
        <f t="shared" si="1706"/>
        <v>0</v>
      </c>
      <c r="L513" s="70">
        <f t="shared" si="1706"/>
        <v>1</v>
      </c>
      <c r="M513" s="70">
        <f t="shared" si="1706"/>
        <v>1</v>
      </c>
      <c r="N513" s="70">
        <f t="shared" si="1706"/>
        <v>1</v>
      </c>
      <c r="O513" s="70">
        <f t="shared" si="1706"/>
        <v>0</v>
      </c>
      <c r="P513" s="70">
        <f t="shared" si="1706"/>
        <v>0</v>
      </c>
      <c r="Q513" s="70">
        <f t="shared" si="1706"/>
        <v>1</v>
      </c>
      <c r="R513" s="70">
        <f t="shared" si="1706"/>
        <v>1</v>
      </c>
      <c r="S513" s="70">
        <f t="shared" si="1706"/>
        <v>0</v>
      </c>
      <c r="T513" s="70">
        <f t="shared" si="1706"/>
        <v>0</v>
      </c>
      <c r="U513" s="70">
        <f t="shared" si="1706"/>
        <v>1</v>
      </c>
      <c r="V513" s="70">
        <f t="shared" si="1706"/>
        <v>0</v>
      </c>
      <c r="W513" s="70">
        <f t="shared" si="1706"/>
        <v>1</v>
      </c>
      <c r="X513" s="70">
        <f t="shared" si="1706"/>
        <v>0</v>
      </c>
      <c r="Y513" s="70">
        <f t="shared" si="1706"/>
        <v>1</v>
      </c>
      <c r="Z513" s="70">
        <f t="shared" si="1706"/>
        <v>1</v>
      </c>
      <c r="AA513" s="70">
        <f t="shared" si="1706"/>
        <v>1</v>
      </c>
      <c r="AB513" s="70">
        <f t="shared" si="1706"/>
        <v>0</v>
      </c>
      <c r="AC513" s="70">
        <f t="shared" si="1706"/>
        <v>1</v>
      </c>
      <c r="AD513" s="70">
        <f t="shared" si="1706"/>
        <v>0</v>
      </c>
      <c r="AE513" s="70">
        <f t="shared" si="1706"/>
        <v>0</v>
      </c>
      <c r="AF513" s="70">
        <f t="shared" si="1706"/>
        <v>1</v>
      </c>
      <c r="AG513" s="70">
        <f t="shared" si="1706"/>
        <v>0</v>
      </c>
      <c r="AH513" s="70">
        <f t="shared" si="1706"/>
        <v>1</v>
      </c>
      <c r="AI513" s="70">
        <f t="shared" si="1706"/>
        <v>0</v>
      </c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</row>
    <row r="514" spans="1:57" x14ac:dyDescent="0.25">
      <c r="A514" s="132" t="s">
        <v>640</v>
      </c>
      <c r="B514" s="64"/>
      <c r="C514" s="62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</row>
    <row r="515" spans="1:57" x14ac:dyDescent="0.25">
      <c r="A515" s="132"/>
      <c r="B515" s="133"/>
      <c r="C515" s="134"/>
      <c r="D515" s="132"/>
      <c r="E515" s="132"/>
      <c r="F515" s="132"/>
      <c r="G515" s="132"/>
      <c r="H515" s="132"/>
      <c r="I515" s="132"/>
      <c r="J515" s="132"/>
      <c r="K515" s="132"/>
      <c r="L515" s="132"/>
      <c r="M515" s="132"/>
      <c r="N515" s="132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  <c r="Y515" s="132"/>
      <c r="Z515" s="132"/>
      <c r="AA515" s="132"/>
      <c r="AB515" s="132"/>
      <c r="AC515" s="132"/>
      <c r="AD515" s="132"/>
      <c r="AE515" s="132"/>
      <c r="AF515" s="132"/>
      <c r="AG515" s="132"/>
      <c r="AH515" s="132"/>
      <c r="AI515" s="132"/>
      <c r="AJ515" s="132"/>
      <c r="AK515" s="132"/>
      <c r="AL515" s="132"/>
      <c r="AM515" s="132"/>
      <c r="AN515" s="132"/>
      <c r="AO515" s="132"/>
      <c r="AP515" s="132"/>
      <c r="AQ515" s="132"/>
      <c r="AR515" s="132"/>
      <c r="AS515" s="132"/>
      <c r="AT515" s="132"/>
      <c r="AU515" s="132"/>
      <c r="AV515" s="132"/>
      <c r="AW515" s="132"/>
      <c r="AX515" s="132"/>
      <c r="AY515" s="132"/>
      <c r="AZ515" s="132"/>
      <c r="BA515" s="132"/>
      <c r="BB515" s="132"/>
      <c r="BC515" s="132"/>
      <c r="BD515" s="132"/>
      <c r="BE515" s="132"/>
    </row>
    <row r="516" spans="1:57" x14ac:dyDescent="0.25">
      <c r="A516" s="21"/>
      <c r="B516" s="21"/>
      <c r="C516" s="70">
        <v>1</v>
      </c>
      <c r="D516" s="70">
        <v>2</v>
      </c>
      <c r="E516" s="70">
        <v>3</v>
      </c>
      <c r="F516" s="70">
        <v>4</v>
      </c>
      <c r="G516" s="70">
        <v>5</v>
      </c>
      <c r="H516" s="70">
        <v>6</v>
      </c>
      <c r="I516" s="70">
        <v>7</v>
      </c>
      <c r="J516" s="70">
        <v>8</v>
      </c>
      <c r="K516" s="70">
        <v>9</v>
      </c>
      <c r="L516" s="70">
        <v>10</v>
      </c>
      <c r="M516" s="70">
        <v>11</v>
      </c>
      <c r="N516" s="70">
        <v>12</v>
      </c>
      <c r="O516" s="70">
        <v>13</v>
      </c>
      <c r="P516" s="70">
        <v>14</v>
      </c>
      <c r="Q516" s="70">
        <v>15</v>
      </c>
      <c r="R516" s="70">
        <v>16</v>
      </c>
      <c r="S516" s="70">
        <v>17</v>
      </c>
      <c r="T516" s="70">
        <v>18</v>
      </c>
      <c r="U516" s="70">
        <v>19</v>
      </c>
      <c r="V516" s="70">
        <v>20</v>
      </c>
      <c r="W516" s="70">
        <v>21</v>
      </c>
      <c r="X516" s="70">
        <v>22</v>
      </c>
      <c r="Y516" s="70">
        <v>23</v>
      </c>
      <c r="Z516" s="70">
        <v>24</v>
      </c>
      <c r="AA516" s="70">
        <v>25</v>
      </c>
      <c r="AB516" s="70">
        <v>26</v>
      </c>
      <c r="AC516" s="70">
        <v>27</v>
      </c>
      <c r="AD516" s="70">
        <v>28</v>
      </c>
      <c r="AE516" s="70">
        <v>29</v>
      </c>
      <c r="AF516" s="70">
        <v>30</v>
      </c>
      <c r="AG516" s="70">
        <v>31</v>
      </c>
      <c r="AH516" s="70">
        <v>32</v>
      </c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</row>
    <row r="517" spans="1:57" x14ac:dyDescent="0.25">
      <c r="A517" s="114" t="s">
        <v>567</v>
      </c>
      <c r="B517" s="114"/>
      <c r="C517" s="70">
        <f>D513</f>
        <v>0</v>
      </c>
      <c r="D517" s="70">
        <f t="shared" ref="D517" si="1707">E513</f>
        <v>0</v>
      </c>
      <c r="E517" s="70">
        <f t="shared" ref="E517" si="1708">F513</f>
        <v>0</v>
      </c>
      <c r="F517" s="70">
        <f t="shared" ref="F517" si="1709">G513</f>
        <v>0</v>
      </c>
      <c r="G517" s="70">
        <f t="shared" ref="G517" si="1710">H513</f>
        <v>0</v>
      </c>
      <c r="H517" s="70">
        <f t="shared" ref="H517" si="1711">I513</f>
        <v>0</v>
      </c>
      <c r="I517" s="70">
        <f t="shared" ref="I517" si="1712">J513</f>
        <v>0</v>
      </c>
      <c r="J517" s="70">
        <f t="shared" ref="J517" si="1713">K513</f>
        <v>0</v>
      </c>
      <c r="K517" s="70">
        <f t="shared" ref="K517" si="1714">L513</f>
        <v>1</v>
      </c>
      <c r="L517" s="70">
        <f t="shared" ref="L517" si="1715">M513</f>
        <v>1</v>
      </c>
      <c r="M517" s="70">
        <f t="shared" ref="M517" si="1716">N513</f>
        <v>1</v>
      </c>
      <c r="N517" s="70">
        <f t="shared" ref="N517" si="1717">O513</f>
        <v>0</v>
      </c>
      <c r="O517" s="70">
        <f t="shared" ref="O517" si="1718">P513</f>
        <v>0</v>
      </c>
      <c r="P517" s="70">
        <f t="shared" ref="P517" si="1719">Q513</f>
        <v>1</v>
      </c>
      <c r="Q517" s="70">
        <f t="shared" ref="Q517" si="1720">R513</f>
        <v>1</v>
      </c>
      <c r="R517" s="70">
        <f t="shared" ref="R517" si="1721">S513</f>
        <v>0</v>
      </c>
      <c r="S517" s="70">
        <f t="shared" ref="S517" si="1722">T513</f>
        <v>0</v>
      </c>
      <c r="T517" s="70">
        <f t="shared" ref="T517" si="1723">U513</f>
        <v>1</v>
      </c>
      <c r="U517" s="70">
        <f t="shared" ref="U517" si="1724">V513</f>
        <v>0</v>
      </c>
      <c r="V517" s="70">
        <f t="shared" ref="V517" si="1725">W513</f>
        <v>1</v>
      </c>
      <c r="W517" s="70">
        <f t="shared" ref="W517" si="1726">X513</f>
        <v>0</v>
      </c>
      <c r="X517" s="70">
        <f t="shared" ref="X517" si="1727">Y513</f>
        <v>1</v>
      </c>
      <c r="Y517" s="70">
        <f t="shared" ref="Y517" si="1728">Z513</f>
        <v>1</v>
      </c>
      <c r="Z517" s="70">
        <f t="shared" ref="Z517" si="1729">AA513</f>
        <v>1</v>
      </c>
      <c r="AA517" s="70">
        <f t="shared" ref="AA517" si="1730">AB513</f>
        <v>0</v>
      </c>
      <c r="AB517" s="70">
        <f t="shared" ref="AB517" si="1731">AC513</f>
        <v>1</v>
      </c>
      <c r="AC517" s="70">
        <f t="shared" ref="AC517" si="1732">AD513</f>
        <v>0</v>
      </c>
      <c r="AD517" s="70">
        <f t="shared" ref="AD517" si="1733">AE513</f>
        <v>0</v>
      </c>
      <c r="AE517" s="70">
        <f t="shared" ref="AE517" si="1734">AF513</f>
        <v>1</v>
      </c>
      <c r="AF517" s="70">
        <f t="shared" ref="AF517" si="1735">AG513</f>
        <v>0</v>
      </c>
      <c r="AG517" s="70">
        <f t="shared" ref="AG517" si="1736">AH513</f>
        <v>1</v>
      </c>
      <c r="AH517" s="70">
        <f t="shared" ref="AH517" si="1737">AI513</f>
        <v>0</v>
      </c>
      <c r="AI517" s="135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</row>
    <row r="518" spans="1:57" x14ac:dyDescent="0.25">
      <c r="A518" s="21"/>
      <c r="B518" s="64"/>
      <c r="C518" s="62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</row>
    <row r="519" spans="1:57" x14ac:dyDescent="0.25">
      <c r="A519" s="132"/>
      <c r="B519" s="133"/>
      <c r="C519" s="134"/>
      <c r="D519" s="132"/>
      <c r="E519" s="132"/>
      <c r="F519" s="132"/>
      <c r="G519" s="132"/>
      <c r="H519" s="132"/>
      <c r="I519" s="132"/>
      <c r="J519" s="132"/>
      <c r="K519" s="132"/>
      <c r="L519" s="132"/>
      <c r="M519" s="132"/>
      <c r="N519" s="132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  <c r="Y519" s="132"/>
      <c r="Z519" s="132"/>
      <c r="AA519" s="132"/>
      <c r="AB519" s="132"/>
      <c r="AC519" s="132"/>
      <c r="AD519" s="132"/>
      <c r="AE519" s="132"/>
      <c r="AF519" s="132"/>
      <c r="AG519" s="132"/>
      <c r="AH519" s="132"/>
      <c r="AI519" s="132"/>
      <c r="AJ519" s="132"/>
      <c r="AK519" s="132"/>
      <c r="AL519" s="132"/>
      <c r="AM519" s="132"/>
      <c r="AN519" s="132"/>
      <c r="AO519" s="132"/>
      <c r="AP519" s="132"/>
      <c r="AQ519" s="132"/>
      <c r="AR519" s="132"/>
      <c r="AS519" s="132"/>
      <c r="AT519" s="132"/>
      <c r="AU519" s="132"/>
      <c r="AV519" s="132"/>
      <c r="AW519" s="132"/>
      <c r="AX519" s="132"/>
      <c r="AY519" s="132"/>
      <c r="AZ519" s="21"/>
      <c r="BA519" s="21"/>
      <c r="BB519" s="21"/>
      <c r="BC519" s="21"/>
      <c r="BD519" s="21"/>
      <c r="BE519" s="21"/>
    </row>
    <row r="520" spans="1:57" x14ac:dyDescent="0.25">
      <c r="A520" s="21"/>
      <c r="B520" s="64"/>
      <c r="C520" s="62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</row>
    <row r="521" spans="1:57" x14ac:dyDescent="0.25">
      <c r="A521" s="118" t="s">
        <v>532</v>
      </c>
      <c r="B521" s="118"/>
      <c r="C521" s="75">
        <v>32</v>
      </c>
      <c r="D521" s="74">
        <v>1</v>
      </c>
      <c r="E521" s="74">
        <v>2</v>
      </c>
      <c r="F521" s="74">
        <v>3</v>
      </c>
      <c r="G521" s="74">
        <v>4</v>
      </c>
      <c r="H521" s="73">
        <v>5</v>
      </c>
      <c r="I521" s="122"/>
      <c r="J521" s="118">
        <f>AH517</f>
        <v>0</v>
      </c>
      <c r="K521" s="118">
        <f>C517</f>
        <v>0</v>
      </c>
      <c r="L521" s="118">
        <f>D517</f>
        <v>0</v>
      </c>
      <c r="M521" s="118">
        <f>E517</f>
        <v>0</v>
      </c>
      <c r="N521" s="69">
        <f>F517</f>
        <v>0</v>
      </c>
      <c r="O521" s="119">
        <f>G517</f>
        <v>0</v>
      </c>
      <c r="P521" s="122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</row>
    <row r="522" spans="1:57" x14ac:dyDescent="0.25">
      <c r="A522" s="21"/>
      <c r="B522" s="64"/>
      <c r="C522" s="75">
        <v>4</v>
      </c>
      <c r="D522" s="74">
        <v>5</v>
      </c>
      <c r="E522" s="74">
        <v>6</v>
      </c>
      <c r="F522" s="74">
        <v>7</v>
      </c>
      <c r="G522" s="74">
        <v>8</v>
      </c>
      <c r="H522" s="73">
        <v>9</v>
      </c>
      <c r="I522" s="122"/>
      <c r="J522" s="118">
        <f t="shared" ref="J522" si="1738">F517</f>
        <v>0</v>
      </c>
      <c r="K522" s="69">
        <f t="shared" ref="K522" si="1739">G517</f>
        <v>0</v>
      </c>
      <c r="L522" s="69">
        <f t="shared" ref="L522" si="1740">H517</f>
        <v>0</v>
      </c>
      <c r="M522" s="69">
        <f t="shared" ref="M522" si="1741">I517</f>
        <v>0</v>
      </c>
      <c r="N522" s="69">
        <f t="shared" ref="N522" si="1742">J517</f>
        <v>0</v>
      </c>
      <c r="O522" s="119">
        <f t="shared" ref="O522" si="1743">K517</f>
        <v>1</v>
      </c>
      <c r="P522" s="122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</row>
    <row r="523" spans="1:57" x14ac:dyDescent="0.25">
      <c r="A523" s="21"/>
      <c r="B523" s="64"/>
      <c r="C523" s="75">
        <v>8</v>
      </c>
      <c r="D523" s="74">
        <v>9</v>
      </c>
      <c r="E523" s="74">
        <v>10</v>
      </c>
      <c r="F523" s="74">
        <v>11</v>
      </c>
      <c r="G523" s="74">
        <v>12</v>
      </c>
      <c r="H523" s="73">
        <v>13</v>
      </c>
      <c r="I523" s="123"/>
      <c r="J523" s="120">
        <f t="shared" ref="J523:O523" si="1744">J517</f>
        <v>0</v>
      </c>
      <c r="K523" s="69">
        <f t="shared" si="1744"/>
        <v>1</v>
      </c>
      <c r="L523" s="69">
        <f t="shared" si="1744"/>
        <v>1</v>
      </c>
      <c r="M523" s="69">
        <f t="shared" si="1744"/>
        <v>1</v>
      </c>
      <c r="N523" s="69">
        <f t="shared" si="1744"/>
        <v>0</v>
      </c>
      <c r="O523" s="119">
        <f t="shared" si="1744"/>
        <v>0</v>
      </c>
      <c r="P523" s="123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</row>
    <row r="524" spans="1:57" x14ac:dyDescent="0.25">
      <c r="A524" s="21"/>
      <c r="B524" s="64"/>
      <c r="C524" s="75">
        <v>12</v>
      </c>
      <c r="D524" s="74">
        <v>13</v>
      </c>
      <c r="E524" s="74">
        <v>14</v>
      </c>
      <c r="F524" s="74">
        <v>15</v>
      </c>
      <c r="G524" s="74">
        <v>16</v>
      </c>
      <c r="H524" s="73">
        <v>17</v>
      </c>
      <c r="I524" s="122"/>
      <c r="J524" s="118">
        <f t="shared" ref="J524" si="1745">N517</f>
        <v>0</v>
      </c>
      <c r="K524" s="69">
        <f t="shared" ref="K524" si="1746">O517</f>
        <v>0</v>
      </c>
      <c r="L524" s="69">
        <f t="shared" ref="L524" si="1747">P517</f>
        <v>1</v>
      </c>
      <c r="M524" s="69">
        <f t="shared" ref="M524" si="1748">Q517</f>
        <v>1</v>
      </c>
      <c r="N524" s="69">
        <f t="shared" ref="N524" si="1749">R517</f>
        <v>0</v>
      </c>
      <c r="O524" s="119">
        <f t="shared" ref="O524" si="1750">S517</f>
        <v>0</v>
      </c>
      <c r="P524" s="122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</row>
    <row r="525" spans="1:57" x14ac:dyDescent="0.25">
      <c r="A525" s="21"/>
      <c r="B525" s="64"/>
      <c r="C525" s="75">
        <v>16</v>
      </c>
      <c r="D525" s="74">
        <v>17</v>
      </c>
      <c r="E525" s="74">
        <v>18</v>
      </c>
      <c r="F525" s="74">
        <v>19</v>
      </c>
      <c r="G525" s="74">
        <v>20</v>
      </c>
      <c r="H525" s="73">
        <v>21</v>
      </c>
      <c r="I525" s="122"/>
      <c r="J525" s="118">
        <f t="shared" ref="J525" si="1751">R517</f>
        <v>0</v>
      </c>
      <c r="K525" s="69">
        <f t="shared" ref="K525" si="1752">S517</f>
        <v>0</v>
      </c>
      <c r="L525" s="69">
        <f t="shared" ref="L525" si="1753">T517</f>
        <v>1</v>
      </c>
      <c r="M525" s="69">
        <f t="shared" ref="M525" si="1754">U517</f>
        <v>0</v>
      </c>
      <c r="N525" s="69">
        <f t="shared" ref="N525" si="1755">V517</f>
        <v>1</v>
      </c>
      <c r="O525" s="119">
        <f t="shared" ref="O525" si="1756">W517</f>
        <v>0</v>
      </c>
      <c r="P525" s="122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</row>
    <row r="526" spans="1:57" x14ac:dyDescent="0.25">
      <c r="A526" s="21"/>
      <c r="B526" s="64"/>
      <c r="C526" s="75">
        <v>20</v>
      </c>
      <c r="D526" s="74">
        <v>21</v>
      </c>
      <c r="E526" s="74">
        <v>22</v>
      </c>
      <c r="F526" s="74">
        <v>23</v>
      </c>
      <c r="G526" s="74">
        <v>24</v>
      </c>
      <c r="H526" s="73">
        <v>25</v>
      </c>
      <c r="I526" s="122"/>
      <c r="J526" s="118">
        <f t="shared" ref="J526" si="1757">V517</f>
        <v>1</v>
      </c>
      <c r="K526" s="69">
        <f t="shared" ref="K526" si="1758">W517</f>
        <v>0</v>
      </c>
      <c r="L526" s="69">
        <f t="shared" ref="L526" si="1759">X517</f>
        <v>1</v>
      </c>
      <c r="M526" s="69">
        <f t="shared" ref="M526" si="1760">Y517</f>
        <v>1</v>
      </c>
      <c r="N526" s="69">
        <f t="shared" ref="N526" si="1761">Z517</f>
        <v>1</v>
      </c>
      <c r="O526" s="119">
        <f t="shared" ref="O526" si="1762">AA517</f>
        <v>0</v>
      </c>
      <c r="P526" s="122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</row>
    <row r="527" spans="1:57" x14ac:dyDescent="0.25">
      <c r="A527" s="21"/>
      <c r="B527" s="64"/>
      <c r="C527" s="75">
        <v>24</v>
      </c>
      <c r="D527" s="74">
        <v>25</v>
      </c>
      <c r="E527" s="74">
        <v>26</v>
      </c>
      <c r="F527" s="74">
        <v>27</v>
      </c>
      <c r="G527" s="74">
        <v>28</v>
      </c>
      <c r="H527" s="73">
        <v>29</v>
      </c>
      <c r="I527" s="122"/>
      <c r="J527" s="118">
        <f t="shared" ref="J527" si="1763">Z517</f>
        <v>1</v>
      </c>
      <c r="K527" s="69">
        <f t="shared" ref="K527" si="1764">AA517</f>
        <v>0</v>
      </c>
      <c r="L527" s="69">
        <f t="shared" ref="L527" si="1765">AB517</f>
        <v>1</v>
      </c>
      <c r="M527" s="69">
        <f t="shared" ref="M527" si="1766">AC517</f>
        <v>0</v>
      </c>
      <c r="N527" s="69">
        <f t="shared" ref="N527" si="1767">AD517</f>
        <v>0</v>
      </c>
      <c r="O527" s="119">
        <f t="shared" ref="O527" si="1768">AE517</f>
        <v>1</v>
      </c>
      <c r="P527" s="122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</row>
    <row r="528" spans="1:57" x14ac:dyDescent="0.25">
      <c r="A528" s="21"/>
      <c r="B528" s="64"/>
      <c r="C528" s="75">
        <v>28</v>
      </c>
      <c r="D528" s="74">
        <v>29</v>
      </c>
      <c r="E528" s="74">
        <v>30</v>
      </c>
      <c r="F528" s="74">
        <v>31</v>
      </c>
      <c r="G528" s="74">
        <v>32</v>
      </c>
      <c r="H528" s="73">
        <v>1</v>
      </c>
      <c r="I528" s="122"/>
      <c r="J528" s="70">
        <f>AD517</f>
        <v>0</v>
      </c>
      <c r="K528" s="71">
        <f>AE517</f>
        <v>1</v>
      </c>
      <c r="L528" s="71">
        <f>AF517</f>
        <v>0</v>
      </c>
      <c r="M528" s="71">
        <f>AG517</f>
        <v>1</v>
      </c>
      <c r="N528" s="71">
        <f>AH517</f>
        <v>0</v>
      </c>
      <c r="O528" s="121">
        <f>C517</f>
        <v>0</v>
      </c>
      <c r="P528" s="122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</row>
    <row r="529" spans="1:57" x14ac:dyDescent="0.25">
      <c r="A529" s="21"/>
      <c r="B529" s="64"/>
      <c r="C529" s="62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</row>
    <row r="530" spans="1:57" x14ac:dyDescent="0.25">
      <c r="A530" s="21"/>
      <c r="B530" s="64"/>
      <c r="C530" s="62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</row>
    <row r="531" spans="1:57" x14ac:dyDescent="0.25">
      <c r="A531" s="124" t="s">
        <v>533</v>
      </c>
      <c r="B531" s="124"/>
      <c r="C531" s="125">
        <v>1</v>
      </c>
      <c r="D531" s="126">
        <v>2</v>
      </c>
      <c r="E531" s="125">
        <v>3</v>
      </c>
      <c r="F531" s="126">
        <v>4</v>
      </c>
      <c r="G531" s="125">
        <v>5</v>
      </c>
      <c r="H531" s="126">
        <v>6</v>
      </c>
      <c r="I531" s="125">
        <v>7</v>
      </c>
      <c r="J531" s="126">
        <v>8</v>
      </c>
      <c r="K531" s="125">
        <v>9</v>
      </c>
      <c r="L531" s="126">
        <v>10</v>
      </c>
      <c r="M531" s="125">
        <v>11</v>
      </c>
      <c r="N531" s="126">
        <v>12</v>
      </c>
      <c r="O531" s="125">
        <v>13</v>
      </c>
      <c r="P531" s="126">
        <v>14</v>
      </c>
      <c r="Q531" s="125">
        <v>15</v>
      </c>
      <c r="R531" s="126">
        <v>16</v>
      </c>
      <c r="S531" s="125">
        <v>17</v>
      </c>
      <c r="T531" s="126">
        <v>18</v>
      </c>
      <c r="U531" s="125">
        <v>19</v>
      </c>
      <c r="V531" s="126">
        <v>20</v>
      </c>
      <c r="W531" s="125">
        <v>21</v>
      </c>
      <c r="X531" s="126">
        <v>22</v>
      </c>
      <c r="Y531" s="125">
        <v>23</v>
      </c>
      <c r="Z531" s="126">
        <v>24</v>
      </c>
      <c r="AA531" s="125">
        <v>25</v>
      </c>
      <c r="AB531" s="126">
        <v>26</v>
      </c>
      <c r="AC531" s="125">
        <v>27</v>
      </c>
      <c r="AD531" s="126">
        <v>28</v>
      </c>
      <c r="AE531" s="125">
        <v>29</v>
      </c>
      <c r="AF531" s="126">
        <v>30</v>
      </c>
      <c r="AG531" s="125">
        <v>31</v>
      </c>
      <c r="AH531" s="126">
        <v>32</v>
      </c>
      <c r="AI531" s="125">
        <v>33</v>
      </c>
      <c r="AJ531" s="126">
        <v>34</v>
      </c>
      <c r="AK531" s="125">
        <v>35</v>
      </c>
      <c r="AL531" s="126">
        <v>36</v>
      </c>
      <c r="AM531" s="125">
        <v>37</v>
      </c>
      <c r="AN531" s="126">
        <v>38</v>
      </c>
      <c r="AO531" s="125">
        <v>39</v>
      </c>
      <c r="AP531" s="126">
        <v>40</v>
      </c>
      <c r="AQ531" s="125">
        <v>41</v>
      </c>
      <c r="AR531" s="126">
        <v>42</v>
      </c>
      <c r="AS531" s="125">
        <v>43</v>
      </c>
      <c r="AT531" s="126">
        <v>44</v>
      </c>
      <c r="AU531" s="125">
        <v>45</v>
      </c>
      <c r="AV531" s="126">
        <v>46</v>
      </c>
      <c r="AW531" s="125">
        <v>47</v>
      </c>
      <c r="AX531" s="126">
        <v>48</v>
      </c>
      <c r="AY531" s="21"/>
      <c r="AZ531" s="21"/>
      <c r="BA531" s="21"/>
      <c r="BB531" s="21"/>
      <c r="BC531" s="21"/>
      <c r="BD531" s="21"/>
      <c r="BE531" s="21"/>
    </row>
    <row r="532" spans="1:57" x14ac:dyDescent="0.25">
      <c r="A532" s="21"/>
      <c r="B532" s="64"/>
      <c r="C532" s="125">
        <f t="shared" ref="C532" si="1769">J521</f>
        <v>0</v>
      </c>
      <c r="D532" s="125">
        <f t="shared" ref="D532" si="1770">K521</f>
        <v>0</v>
      </c>
      <c r="E532" s="125">
        <f t="shared" ref="E532" si="1771">L521</f>
        <v>0</v>
      </c>
      <c r="F532" s="125">
        <f t="shared" ref="F532" si="1772">M521</f>
        <v>0</v>
      </c>
      <c r="G532" s="126">
        <f t="shared" ref="G532" si="1773">N521</f>
        <v>0</v>
      </c>
      <c r="H532" s="126">
        <f t="shared" ref="H532" si="1774">O521</f>
        <v>0</v>
      </c>
      <c r="I532" s="125">
        <f t="shared" ref="I532" si="1775">J522</f>
        <v>0</v>
      </c>
      <c r="J532" s="125">
        <f t="shared" ref="J532" si="1776">K522</f>
        <v>0</v>
      </c>
      <c r="K532" s="125">
        <f t="shared" ref="K532" si="1777">L522</f>
        <v>0</v>
      </c>
      <c r="L532" s="125">
        <f t="shared" ref="L532" si="1778">M522</f>
        <v>0</v>
      </c>
      <c r="M532" s="125">
        <f t="shared" ref="M532" si="1779">N522</f>
        <v>0</v>
      </c>
      <c r="N532" s="125">
        <f t="shared" ref="N532" si="1780">O522</f>
        <v>1</v>
      </c>
      <c r="O532" s="126">
        <f t="shared" ref="O532" si="1781">J523</f>
        <v>0</v>
      </c>
      <c r="P532" s="126">
        <f t="shared" ref="P532" si="1782">K523</f>
        <v>1</v>
      </c>
      <c r="Q532" s="126">
        <f t="shared" ref="Q532" si="1783">L523</f>
        <v>1</v>
      </c>
      <c r="R532" s="126">
        <f t="shared" ref="R532" si="1784">M523</f>
        <v>1</v>
      </c>
      <c r="S532" s="126">
        <f t="shared" ref="S532" si="1785">N523</f>
        <v>0</v>
      </c>
      <c r="T532" s="126">
        <f t="shared" ref="T532" si="1786">O523</f>
        <v>0</v>
      </c>
      <c r="U532" s="125">
        <f t="shared" ref="U532" si="1787">J524</f>
        <v>0</v>
      </c>
      <c r="V532" s="126">
        <f t="shared" ref="V532" si="1788">K524</f>
        <v>0</v>
      </c>
      <c r="W532" s="125">
        <f t="shared" ref="W532" si="1789">L524</f>
        <v>1</v>
      </c>
      <c r="X532" s="126">
        <f t="shared" ref="X532" si="1790">M524</f>
        <v>1</v>
      </c>
      <c r="Y532" s="125">
        <f t="shared" ref="Y532" si="1791">N524</f>
        <v>0</v>
      </c>
      <c r="Z532" s="126">
        <f t="shared" ref="Z532" si="1792">O524</f>
        <v>0</v>
      </c>
      <c r="AA532" s="125">
        <f t="shared" ref="AA532" si="1793">J525</f>
        <v>0</v>
      </c>
      <c r="AB532" s="126">
        <f t="shared" ref="AB532" si="1794">K525</f>
        <v>0</v>
      </c>
      <c r="AC532" s="125">
        <f>L525</f>
        <v>1</v>
      </c>
      <c r="AD532" s="126">
        <f t="shared" ref="AD532" si="1795">M525</f>
        <v>0</v>
      </c>
      <c r="AE532" s="125">
        <f t="shared" ref="AE532" si="1796">N525</f>
        <v>1</v>
      </c>
      <c r="AF532" s="126">
        <f t="shared" ref="AF532" si="1797">O525</f>
        <v>0</v>
      </c>
      <c r="AG532" s="125">
        <f t="shared" ref="AG532" si="1798">J526</f>
        <v>1</v>
      </c>
      <c r="AH532" s="126">
        <f t="shared" ref="AH532" si="1799">K526</f>
        <v>0</v>
      </c>
      <c r="AI532" s="125">
        <f t="shared" ref="AI532" si="1800">L526</f>
        <v>1</v>
      </c>
      <c r="AJ532" s="126">
        <f t="shared" ref="AJ532" si="1801">M526</f>
        <v>1</v>
      </c>
      <c r="AK532" s="125">
        <f t="shared" ref="AK532" si="1802">N526</f>
        <v>1</v>
      </c>
      <c r="AL532" s="126">
        <f t="shared" ref="AL532" si="1803">O526</f>
        <v>0</v>
      </c>
      <c r="AM532" s="125">
        <f t="shared" ref="AM532" si="1804">J527</f>
        <v>1</v>
      </c>
      <c r="AN532" s="126">
        <f t="shared" ref="AN532" si="1805">K527</f>
        <v>0</v>
      </c>
      <c r="AO532" s="125">
        <f t="shared" ref="AO532" si="1806">L527</f>
        <v>1</v>
      </c>
      <c r="AP532" s="126">
        <f t="shared" ref="AP532" si="1807">M527</f>
        <v>0</v>
      </c>
      <c r="AQ532" s="125">
        <f t="shared" ref="AQ532" si="1808">N527</f>
        <v>0</v>
      </c>
      <c r="AR532" s="126">
        <f t="shared" ref="AR532" si="1809">O527</f>
        <v>1</v>
      </c>
      <c r="AS532" s="125">
        <f t="shared" ref="AS532" si="1810">J528</f>
        <v>0</v>
      </c>
      <c r="AT532" s="126">
        <f t="shared" ref="AT532" si="1811">K528</f>
        <v>1</v>
      </c>
      <c r="AU532" s="125">
        <f t="shared" ref="AU532" si="1812">L528</f>
        <v>0</v>
      </c>
      <c r="AV532" s="126">
        <f t="shared" ref="AV532" si="1813">M528</f>
        <v>1</v>
      </c>
      <c r="AW532" s="125">
        <f t="shared" ref="AW532" si="1814">N528</f>
        <v>0</v>
      </c>
      <c r="AX532" s="126">
        <f t="shared" ref="AX532" si="1815">O528</f>
        <v>0</v>
      </c>
      <c r="AY532" s="21"/>
      <c r="AZ532" s="21"/>
      <c r="BA532" s="21"/>
      <c r="BB532" s="21"/>
      <c r="BC532" s="21"/>
      <c r="BD532" s="21"/>
      <c r="BE532" s="21"/>
    </row>
    <row r="533" spans="1:57" x14ac:dyDescent="0.25">
      <c r="A533" s="21"/>
      <c r="B533" s="64"/>
      <c r="C533" s="62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</row>
    <row r="534" spans="1:57" x14ac:dyDescent="0.25">
      <c r="A534" s="21"/>
      <c r="B534" s="64"/>
      <c r="C534" s="62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</row>
    <row r="535" spans="1:57" x14ac:dyDescent="0.25">
      <c r="A535" s="127" t="s">
        <v>604</v>
      </c>
      <c r="B535" s="127"/>
      <c r="C535" s="77">
        <f>'Key Generator'!D235</f>
        <v>1</v>
      </c>
      <c r="D535" s="77">
        <f>'Key Generator'!E235</f>
        <v>2</v>
      </c>
      <c r="E535" s="77">
        <f>'Key Generator'!F235</f>
        <v>3</v>
      </c>
      <c r="F535" s="77">
        <f>'Key Generator'!G235</f>
        <v>4</v>
      </c>
      <c r="G535" s="77">
        <f>'Key Generator'!H235</f>
        <v>5</v>
      </c>
      <c r="H535" s="77">
        <f>'Key Generator'!I235</f>
        <v>6</v>
      </c>
      <c r="I535" s="77">
        <f>'Key Generator'!J235</f>
        <v>7</v>
      </c>
      <c r="J535" s="77">
        <f>'Key Generator'!K235</f>
        <v>8</v>
      </c>
      <c r="K535" s="77">
        <f>'Key Generator'!L235</f>
        <v>9</v>
      </c>
      <c r="L535" s="77">
        <f>'Key Generator'!M235</f>
        <v>10</v>
      </c>
      <c r="M535" s="77">
        <f>'Key Generator'!N235</f>
        <v>11</v>
      </c>
      <c r="N535" s="77">
        <f>'Key Generator'!O235</f>
        <v>12</v>
      </c>
      <c r="O535" s="77">
        <f>'Key Generator'!P235</f>
        <v>13</v>
      </c>
      <c r="P535" s="77">
        <f>'Key Generator'!Q235</f>
        <v>14</v>
      </c>
      <c r="Q535" s="77">
        <f>'Key Generator'!R235</f>
        <v>15</v>
      </c>
      <c r="R535" s="77">
        <f>'Key Generator'!S235</f>
        <v>16</v>
      </c>
      <c r="S535" s="77">
        <f>'Key Generator'!T235</f>
        <v>17</v>
      </c>
      <c r="T535" s="77">
        <f>'Key Generator'!U235</f>
        <v>18</v>
      </c>
      <c r="U535" s="77">
        <f>'Key Generator'!V235</f>
        <v>19</v>
      </c>
      <c r="V535" s="77">
        <f>'Key Generator'!W235</f>
        <v>20</v>
      </c>
      <c r="W535" s="77">
        <f>'Key Generator'!X235</f>
        <v>21</v>
      </c>
      <c r="X535" s="77">
        <f>'Key Generator'!Y235</f>
        <v>22</v>
      </c>
      <c r="Y535" s="77">
        <f>'Key Generator'!Z235</f>
        <v>23</v>
      </c>
      <c r="Z535" s="77">
        <f>'Key Generator'!AA235</f>
        <v>24</v>
      </c>
      <c r="AA535" s="77">
        <f>'Key Generator'!AB235</f>
        <v>25</v>
      </c>
      <c r="AB535" s="77">
        <f>'Key Generator'!AC235</f>
        <v>26</v>
      </c>
      <c r="AC535" s="77">
        <f>'Key Generator'!AD235</f>
        <v>27</v>
      </c>
      <c r="AD535" s="77">
        <f>'Key Generator'!AE235</f>
        <v>28</v>
      </c>
      <c r="AE535" s="77">
        <f>'Key Generator'!AF235</f>
        <v>29</v>
      </c>
      <c r="AF535" s="77">
        <f>'Key Generator'!AG235</f>
        <v>30</v>
      </c>
      <c r="AG535" s="77">
        <f>'Key Generator'!AH235</f>
        <v>31</v>
      </c>
      <c r="AH535" s="77">
        <f>'Key Generator'!AI235</f>
        <v>32</v>
      </c>
      <c r="AI535" s="77">
        <f>'Key Generator'!AJ235</f>
        <v>33</v>
      </c>
      <c r="AJ535" s="77">
        <f>'Key Generator'!AK235</f>
        <v>34</v>
      </c>
      <c r="AK535" s="77">
        <f>'Key Generator'!AL235</f>
        <v>35</v>
      </c>
      <c r="AL535" s="77">
        <f>'Key Generator'!AM235</f>
        <v>36</v>
      </c>
      <c r="AM535" s="77">
        <f>'Key Generator'!AN235</f>
        <v>37</v>
      </c>
      <c r="AN535" s="77">
        <f>'Key Generator'!AO235</f>
        <v>38</v>
      </c>
      <c r="AO535" s="77">
        <f>'Key Generator'!AP235</f>
        <v>39</v>
      </c>
      <c r="AP535" s="77">
        <f>'Key Generator'!AQ235</f>
        <v>40</v>
      </c>
      <c r="AQ535" s="77">
        <f>'Key Generator'!AR235</f>
        <v>41</v>
      </c>
      <c r="AR535" s="77">
        <f>'Key Generator'!AS235</f>
        <v>42</v>
      </c>
      <c r="AS535" s="77">
        <f>'Key Generator'!AT235</f>
        <v>43</v>
      </c>
      <c r="AT535" s="77">
        <f>'Key Generator'!AU235</f>
        <v>44</v>
      </c>
      <c r="AU535" s="77">
        <f>'Key Generator'!AV235</f>
        <v>45</v>
      </c>
      <c r="AV535" s="77">
        <f>'Key Generator'!AW235</f>
        <v>46</v>
      </c>
      <c r="AW535" s="77">
        <f>'Key Generator'!AX235</f>
        <v>47</v>
      </c>
      <c r="AX535" s="77">
        <f>'Key Generator'!AY235</f>
        <v>48</v>
      </c>
      <c r="AY535" s="21"/>
      <c r="AZ535" s="21"/>
      <c r="BA535" s="21"/>
      <c r="BB535" s="21"/>
      <c r="BC535" s="21"/>
      <c r="BD535" s="21"/>
      <c r="BE535" s="21"/>
    </row>
    <row r="536" spans="1:57" x14ac:dyDescent="0.25">
      <c r="A536" s="21"/>
      <c r="B536" s="64"/>
      <c r="C536" s="77">
        <f>'Key Generator'!D236</f>
        <v>1</v>
      </c>
      <c r="D536" s="77">
        <f>'Key Generator'!E236</f>
        <v>1</v>
      </c>
      <c r="E536" s="77">
        <f>'Key Generator'!F236</f>
        <v>0</v>
      </c>
      <c r="F536" s="77">
        <f>'Key Generator'!G236</f>
        <v>1</v>
      </c>
      <c r="G536" s="77">
        <f>'Key Generator'!H236</f>
        <v>0</v>
      </c>
      <c r="H536" s="77">
        <f>'Key Generator'!I236</f>
        <v>0</v>
      </c>
      <c r="I536" s="77">
        <f>'Key Generator'!J236</f>
        <v>0</v>
      </c>
      <c r="J536" s="77">
        <f>'Key Generator'!K236</f>
        <v>0</v>
      </c>
      <c r="K536" s="77">
        <f>'Key Generator'!L236</f>
        <v>0</v>
      </c>
      <c r="L536" s="77">
        <f>'Key Generator'!M236</f>
        <v>1</v>
      </c>
      <c r="M536" s="77">
        <f>'Key Generator'!N236</f>
        <v>1</v>
      </c>
      <c r="N536" s="77">
        <f>'Key Generator'!O236</f>
        <v>0</v>
      </c>
      <c r="O536" s="77">
        <f>'Key Generator'!P236</f>
        <v>1</v>
      </c>
      <c r="P536" s="77">
        <f>'Key Generator'!Q236</f>
        <v>1</v>
      </c>
      <c r="Q536" s="77">
        <f>'Key Generator'!R236</f>
        <v>0</v>
      </c>
      <c r="R536" s="77">
        <f>'Key Generator'!S236</f>
        <v>0</v>
      </c>
      <c r="S536" s="77">
        <f>'Key Generator'!T236</f>
        <v>1</v>
      </c>
      <c r="T536" s="77">
        <f>'Key Generator'!U236</f>
        <v>0</v>
      </c>
      <c r="U536" s="77">
        <f>'Key Generator'!V236</f>
        <v>0</v>
      </c>
      <c r="V536" s="77">
        <f>'Key Generator'!W236</f>
        <v>0</v>
      </c>
      <c r="W536" s="77">
        <f>'Key Generator'!X236</f>
        <v>0</v>
      </c>
      <c r="X536" s="77">
        <f>'Key Generator'!Y236</f>
        <v>1</v>
      </c>
      <c r="Y536" s="77">
        <f>'Key Generator'!Z236</f>
        <v>0</v>
      </c>
      <c r="Z536" s="77">
        <f>'Key Generator'!AA236</f>
        <v>0</v>
      </c>
      <c r="AA536" s="77">
        <f>'Key Generator'!AB236</f>
        <v>1</v>
      </c>
      <c r="AB536" s="77">
        <f>'Key Generator'!AC236</f>
        <v>1</v>
      </c>
      <c r="AC536" s="77">
        <f>'Key Generator'!AD236</f>
        <v>1</v>
      </c>
      <c r="AD536" s="77">
        <f>'Key Generator'!AE236</f>
        <v>0</v>
      </c>
      <c r="AE536" s="77">
        <f>'Key Generator'!AF236</f>
        <v>0</v>
      </c>
      <c r="AF536" s="77">
        <f>'Key Generator'!AG236</f>
        <v>0</v>
      </c>
      <c r="AG536" s="77">
        <f>'Key Generator'!AH236</f>
        <v>1</v>
      </c>
      <c r="AH536" s="77">
        <f>'Key Generator'!AI236</f>
        <v>1</v>
      </c>
      <c r="AI536" s="77">
        <f>'Key Generator'!AJ236</f>
        <v>1</v>
      </c>
      <c r="AJ536" s="77">
        <f>'Key Generator'!AK236</f>
        <v>0</v>
      </c>
      <c r="AK536" s="77">
        <f>'Key Generator'!AL236</f>
        <v>0</v>
      </c>
      <c r="AL536" s="77">
        <f>'Key Generator'!AM236</f>
        <v>1</v>
      </c>
      <c r="AM536" s="77">
        <f>'Key Generator'!AN236</f>
        <v>1</v>
      </c>
      <c r="AN536" s="77">
        <f>'Key Generator'!AO236</f>
        <v>0</v>
      </c>
      <c r="AO536" s="77">
        <f>'Key Generator'!AP236</f>
        <v>0</v>
      </c>
      <c r="AP536" s="77">
        <f>'Key Generator'!AQ236</f>
        <v>0</v>
      </c>
      <c r="AQ536" s="77">
        <f>'Key Generator'!AR236</f>
        <v>0</v>
      </c>
      <c r="AR536" s="77">
        <f>'Key Generator'!AS236</f>
        <v>0</v>
      </c>
      <c r="AS536" s="77">
        <f>'Key Generator'!AT236</f>
        <v>1</v>
      </c>
      <c r="AT536" s="77">
        <f>'Key Generator'!AU236</f>
        <v>1</v>
      </c>
      <c r="AU536" s="77">
        <f>'Key Generator'!AV236</f>
        <v>0</v>
      </c>
      <c r="AV536" s="77">
        <f>'Key Generator'!AW236</f>
        <v>1</v>
      </c>
      <c r="AW536" s="77">
        <f>'Key Generator'!AX236</f>
        <v>1</v>
      </c>
      <c r="AX536" s="77">
        <f>'Key Generator'!AY236</f>
        <v>0</v>
      </c>
      <c r="AY536" s="21"/>
      <c r="AZ536" s="21"/>
      <c r="BA536" s="21"/>
      <c r="BB536" s="21"/>
      <c r="BC536" s="21"/>
      <c r="BD536" s="21"/>
      <c r="BE536" s="21"/>
    </row>
    <row r="537" spans="1:57" x14ac:dyDescent="0.25">
      <c r="A537" s="21"/>
      <c r="B537" s="64"/>
      <c r="C537" s="62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</row>
    <row r="538" spans="1:57" x14ac:dyDescent="0.25">
      <c r="A538" s="21"/>
      <c r="B538" s="64"/>
      <c r="C538" s="62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</row>
    <row r="539" spans="1:57" x14ac:dyDescent="0.25">
      <c r="A539" s="128" t="s">
        <v>535</v>
      </c>
      <c r="B539" s="129"/>
      <c r="C539" s="79">
        <v>1</v>
      </c>
      <c r="D539" s="80">
        <v>2</v>
      </c>
      <c r="E539" s="79">
        <v>3</v>
      </c>
      <c r="F539" s="80">
        <v>4</v>
      </c>
      <c r="G539" s="79">
        <v>5</v>
      </c>
      <c r="H539" s="80">
        <v>6</v>
      </c>
      <c r="I539" s="79">
        <v>7</v>
      </c>
      <c r="J539" s="80">
        <v>8</v>
      </c>
      <c r="K539" s="79">
        <v>9</v>
      </c>
      <c r="L539" s="80">
        <v>10</v>
      </c>
      <c r="M539" s="79">
        <v>11</v>
      </c>
      <c r="N539" s="80">
        <v>12</v>
      </c>
      <c r="O539" s="79">
        <v>13</v>
      </c>
      <c r="P539" s="80">
        <v>14</v>
      </c>
      <c r="Q539" s="79">
        <v>15</v>
      </c>
      <c r="R539" s="80">
        <v>16</v>
      </c>
      <c r="S539" s="79">
        <v>17</v>
      </c>
      <c r="T539" s="80">
        <v>18</v>
      </c>
      <c r="U539" s="79">
        <v>19</v>
      </c>
      <c r="V539" s="80">
        <v>20</v>
      </c>
      <c r="W539" s="79">
        <v>21</v>
      </c>
      <c r="X539" s="80">
        <v>22</v>
      </c>
      <c r="Y539" s="79">
        <v>23</v>
      </c>
      <c r="Z539" s="80">
        <v>24</v>
      </c>
      <c r="AA539" s="79">
        <v>25</v>
      </c>
      <c r="AB539" s="80">
        <v>26</v>
      </c>
      <c r="AC539" s="79">
        <v>27</v>
      </c>
      <c r="AD539" s="80">
        <v>28</v>
      </c>
      <c r="AE539" s="79">
        <v>29</v>
      </c>
      <c r="AF539" s="80">
        <v>30</v>
      </c>
      <c r="AG539" s="79">
        <v>31</v>
      </c>
      <c r="AH539" s="80">
        <v>32</v>
      </c>
      <c r="AI539" s="79">
        <v>33</v>
      </c>
      <c r="AJ539" s="80">
        <v>34</v>
      </c>
      <c r="AK539" s="79">
        <v>35</v>
      </c>
      <c r="AL539" s="80">
        <v>36</v>
      </c>
      <c r="AM539" s="79">
        <v>37</v>
      </c>
      <c r="AN539" s="80">
        <v>38</v>
      </c>
      <c r="AO539" s="79">
        <v>39</v>
      </c>
      <c r="AP539" s="80">
        <v>40</v>
      </c>
      <c r="AQ539" s="79">
        <v>41</v>
      </c>
      <c r="AR539" s="80">
        <v>42</v>
      </c>
      <c r="AS539" s="79">
        <v>43</v>
      </c>
      <c r="AT539" s="80">
        <v>44</v>
      </c>
      <c r="AU539" s="79">
        <v>45</v>
      </c>
      <c r="AV539" s="80">
        <v>46</v>
      </c>
      <c r="AW539" s="79">
        <v>47</v>
      </c>
      <c r="AX539" s="80">
        <v>48</v>
      </c>
      <c r="AY539" s="21"/>
      <c r="AZ539" s="21"/>
      <c r="BA539" s="21"/>
      <c r="BB539" s="21"/>
      <c r="BC539" s="21"/>
      <c r="BD539" s="21"/>
      <c r="BE539" s="21"/>
    </row>
    <row r="540" spans="1:57" x14ac:dyDescent="0.25">
      <c r="A540" s="21"/>
      <c r="B540" s="64"/>
      <c r="C540" s="88">
        <f>--_xlfn.XOR(C532,'Key Generator'!D236)</f>
        <v>1</v>
      </c>
      <c r="D540" s="88">
        <f>--_xlfn.XOR(D532,'Key Generator'!E236)</f>
        <v>1</v>
      </c>
      <c r="E540" s="88">
        <f>--_xlfn.XOR(E532,'Key Generator'!F236)</f>
        <v>0</v>
      </c>
      <c r="F540" s="88">
        <f>--_xlfn.XOR(F532,'Key Generator'!G236)</f>
        <v>1</v>
      </c>
      <c r="G540" s="88">
        <f>--_xlfn.XOR(G532,'Key Generator'!H236)</f>
        <v>0</v>
      </c>
      <c r="H540" s="88">
        <f>--_xlfn.XOR(H532,'Key Generator'!I236)</f>
        <v>0</v>
      </c>
      <c r="I540" s="87">
        <f>--_xlfn.XOR(I532,'Key Generator'!J236)</f>
        <v>0</v>
      </c>
      <c r="J540" s="87">
        <f>--_xlfn.XOR(J532,'Key Generator'!K236)</f>
        <v>0</v>
      </c>
      <c r="K540" s="87">
        <f>--_xlfn.XOR(K532,'Key Generator'!L236)</f>
        <v>0</v>
      </c>
      <c r="L540" s="87">
        <f>--_xlfn.XOR(L532,'Key Generator'!M236)</f>
        <v>1</v>
      </c>
      <c r="M540" s="87">
        <f>--_xlfn.XOR(M532,'Key Generator'!N236)</f>
        <v>1</v>
      </c>
      <c r="N540" s="87">
        <f>--_xlfn.XOR(N532,'Key Generator'!O236)</f>
        <v>1</v>
      </c>
      <c r="O540" s="89">
        <f>--_xlfn.XOR(O532,'Key Generator'!P236)</f>
        <v>1</v>
      </c>
      <c r="P540" s="89">
        <f>--_xlfn.XOR(P532,'Key Generator'!Q236)</f>
        <v>0</v>
      </c>
      <c r="Q540" s="89">
        <f>--_xlfn.XOR(Q532,'Key Generator'!R236)</f>
        <v>1</v>
      </c>
      <c r="R540" s="89">
        <f>--_xlfn.XOR(R532,'Key Generator'!S236)</f>
        <v>1</v>
      </c>
      <c r="S540" s="89">
        <f>--_xlfn.XOR(S532,'Key Generator'!T236)</f>
        <v>1</v>
      </c>
      <c r="T540" s="89">
        <f>--_xlfn.XOR(T532,'Key Generator'!U236)</f>
        <v>0</v>
      </c>
      <c r="U540" s="149">
        <f>--_xlfn.XOR(U532,'Key Generator'!V236)</f>
        <v>0</v>
      </c>
      <c r="V540" s="149">
        <f>--_xlfn.XOR(V532,'Key Generator'!W236)</f>
        <v>0</v>
      </c>
      <c r="W540" s="149">
        <f>--_xlfn.XOR(W532,'Key Generator'!X236)</f>
        <v>1</v>
      </c>
      <c r="X540" s="149">
        <f>--_xlfn.XOR(X532,'Key Generator'!Y236)</f>
        <v>0</v>
      </c>
      <c r="Y540" s="149">
        <f>--_xlfn.XOR(Y532,'Key Generator'!Z236)</f>
        <v>0</v>
      </c>
      <c r="Z540" s="149">
        <f>--_xlfn.XOR(Z532,'Key Generator'!AA236)</f>
        <v>0</v>
      </c>
      <c r="AA540" s="91">
        <f>--_xlfn.XOR(AA532,'Key Generator'!AB236)</f>
        <v>1</v>
      </c>
      <c r="AB540" s="91">
        <f>--_xlfn.XOR(AB532,'Key Generator'!AC236)</f>
        <v>1</v>
      </c>
      <c r="AC540" s="91">
        <f>--_xlfn.XOR(AC532,'Key Generator'!AD236)</f>
        <v>0</v>
      </c>
      <c r="AD540" s="91">
        <f>--_xlfn.XOR(AD532,'Key Generator'!AE236)</f>
        <v>0</v>
      </c>
      <c r="AE540" s="91">
        <f>--_xlfn.XOR(AE532,'Key Generator'!AF236)</f>
        <v>1</v>
      </c>
      <c r="AF540" s="91">
        <f>--_xlfn.XOR(AF532,'Key Generator'!AG236)</f>
        <v>0</v>
      </c>
      <c r="AG540" s="92">
        <f>--_xlfn.XOR(AG532,'Key Generator'!AH236)</f>
        <v>0</v>
      </c>
      <c r="AH540" s="92">
        <f>--_xlfn.XOR(AH532,'Key Generator'!AI236)</f>
        <v>1</v>
      </c>
      <c r="AI540" s="92">
        <f>--_xlfn.XOR(AI532,'Key Generator'!AJ236)</f>
        <v>0</v>
      </c>
      <c r="AJ540" s="92">
        <f>--_xlfn.XOR(AJ532,'Key Generator'!AK236)</f>
        <v>1</v>
      </c>
      <c r="AK540" s="92">
        <f>--_xlfn.XOR(AK532,'Key Generator'!AL236)</f>
        <v>1</v>
      </c>
      <c r="AL540" s="92">
        <f>--_xlfn.XOR(AL532,'Key Generator'!AM236)</f>
        <v>1</v>
      </c>
      <c r="AM540" s="86">
        <f>--_xlfn.XOR(AM532,'Key Generator'!AN236)</f>
        <v>0</v>
      </c>
      <c r="AN540" s="86">
        <f>--_xlfn.XOR(AN532,'Key Generator'!AO236)</f>
        <v>0</v>
      </c>
      <c r="AO540" s="86">
        <f>--_xlfn.XOR(AO532,'Key Generator'!AP236)</f>
        <v>1</v>
      </c>
      <c r="AP540" s="86">
        <f>--_xlfn.XOR(AP532,'Key Generator'!AQ236)</f>
        <v>0</v>
      </c>
      <c r="AQ540" s="86">
        <f>--_xlfn.XOR(AQ532,'Key Generator'!AR236)</f>
        <v>0</v>
      </c>
      <c r="AR540" s="86">
        <f>--_xlfn.XOR(AR532,'Key Generator'!AS236)</f>
        <v>1</v>
      </c>
      <c r="AS540" s="81">
        <f>--_xlfn.XOR(AS532,'Key Generator'!AT236)</f>
        <v>1</v>
      </c>
      <c r="AT540" s="81">
        <f>--_xlfn.XOR(AT532,'Key Generator'!AU236)</f>
        <v>0</v>
      </c>
      <c r="AU540" s="81">
        <f>--_xlfn.XOR(AU532,'Key Generator'!AV236)</f>
        <v>0</v>
      </c>
      <c r="AV540" s="81">
        <f>--_xlfn.XOR(AV532,'Key Generator'!AW236)</f>
        <v>0</v>
      </c>
      <c r="AW540" s="81">
        <f>--_xlfn.XOR(AW532,'Key Generator'!AX236)</f>
        <v>1</v>
      </c>
      <c r="AX540" s="81">
        <f>--_xlfn.XOR(AX532,'Key Generator'!AY236)</f>
        <v>0</v>
      </c>
      <c r="AY540" s="21"/>
      <c r="AZ540" s="21"/>
      <c r="BA540" s="21"/>
      <c r="BB540" s="21"/>
      <c r="BC540" s="21"/>
      <c r="BD540" s="21"/>
      <c r="BE540" s="21"/>
    </row>
    <row r="541" spans="1:57" x14ac:dyDescent="0.25">
      <c r="A541" s="21"/>
      <c r="B541" s="64"/>
      <c r="C541" s="93"/>
      <c r="D541" s="94"/>
      <c r="E541" s="94"/>
      <c r="F541" s="94"/>
      <c r="G541" s="94"/>
      <c r="H541" s="94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</row>
    <row r="542" spans="1:57" x14ac:dyDescent="0.25">
      <c r="A542" s="96" t="s">
        <v>545</v>
      </c>
      <c r="B542" s="97"/>
      <c r="C542" s="161">
        <f>D540*8+E540*4+F540*2+G540</f>
        <v>10</v>
      </c>
      <c r="D542" s="97" t="s">
        <v>536</v>
      </c>
      <c r="E542" s="97"/>
      <c r="F542" s="97"/>
      <c r="G542" s="97"/>
      <c r="H542" s="97"/>
      <c r="I542" s="161">
        <f>J540*8+K540*4+L540*2+M540</f>
        <v>3</v>
      </c>
      <c r="J542" s="97" t="s">
        <v>537</v>
      </c>
      <c r="K542" s="97"/>
      <c r="L542" s="97"/>
      <c r="M542" s="97"/>
      <c r="N542" s="97"/>
      <c r="O542" s="161">
        <f>P540*8+Q540*4+R540*2+S540</f>
        <v>7</v>
      </c>
      <c r="P542" s="97" t="s">
        <v>538</v>
      </c>
      <c r="Q542" s="97"/>
      <c r="R542" s="97"/>
      <c r="S542" s="97"/>
      <c r="T542" s="97"/>
      <c r="U542" s="161">
        <f>V540*8+W540*4+X540*2+Y540</f>
        <v>4</v>
      </c>
      <c r="V542" s="97" t="s">
        <v>539</v>
      </c>
      <c r="W542" s="97"/>
      <c r="X542" s="97"/>
      <c r="Y542" s="97"/>
      <c r="Z542" s="97"/>
      <c r="AA542" s="161">
        <f>AB540*8+AC540*4+AD540*2+AE540</f>
        <v>9</v>
      </c>
      <c r="AB542" s="97" t="s">
        <v>540</v>
      </c>
      <c r="AC542" s="97"/>
      <c r="AD542" s="97"/>
      <c r="AE542" s="97"/>
      <c r="AF542" s="97"/>
      <c r="AG542" s="161">
        <f>AH540*8+AI540*4+AJ540*2+AK540</f>
        <v>11</v>
      </c>
      <c r="AH542" s="97" t="s">
        <v>541</v>
      </c>
      <c r="AI542" s="97"/>
      <c r="AJ542" s="97"/>
      <c r="AK542" s="97"/>
      <c r="AL542" s="97"/>
      <c r="AM542" s="161">
        <f>AN540*8+AO540*4+AP540*2+AQ540</f>
        <v>4</v>
      </c>
      <c r="AN542" s="97" t="s">
        <v>542</v>
      </c>
      <c r="AO542" s="97"/>
      <c r="AP542" s="97"/>
      <c r="AQ542" s="97"/>
      <c r="AR542" s="97"/>
      <c r="AS542" s="161">
        <f>AT540*8+AU540*4+AV540*2+AW540</f>
        <v>1</v>
      </c>
      <c r="AT542" s="97" t="s">
        <v>543</v>
      </c>
      <c r="AU542" s="97"/>
      <c r="AV542" s="97"/>
      <c r="AW542" s="97"/>
      <c r="AX542" s="97"/>
      <c r="AY542" s="97"/>
      <c r="AZ542" s="97"/>
      <c r="BA542" s="97"/>
      <c r="BB542" s="97"/>
      <c r="BC542" s="97"/>
      <c r="BD542" s="97"/>
      <c r="BE542" s="97"/>
    </row>
    <row r="543" spans="1:57" x14ac:dyDescent="0.25">
      <c r="A543" s="100" t="s">
        <v>546</v>
      </c>
      <c r="B543" s="99"/>
      <c r="C543" s="87">
        <f>C540*2+H540</f>
        <v>2</v>
      </c>
      <c r="D543" s="98"/>
      <c r="E543" s="98"/>
      <c r="F543" s="99"/>
      <c r="G543" s="99"/>
      <c r="H543" s="99"/>
      <c r="I543" s="87">
        <f>I540*2+N540</f>
        <v>1</v>
      </c>
      <c r="J543" s="99"/>
      <c r="K543" s="99"/>
      <c r="L543" s="99"/>
      <c r="M543" s="99"/>
      <c r="N543" s="99"/>
      <c r="O543" s="87">
        <f>O540*2+T540</f>
        <v>2</v>
      </c>
      <c r="P543" s="99"/>
      <c r="Q543" s="99"/>
      <c r="R543" s="99"/>
      <c r="S543" s="99"/>
      <c r="T543" s="99"/>
      <c r="U543" s="87">
        <f>U540*2+Z540</f>
        <v>0</v>
      </c>
      <c r="V543" s="99"/>
      <c r="W543" s="99"/>
      <c r="X543" s="99"/>
      <c r="Y543" s="99"/>
      <c r="Z543" s="99"/>
      <c r="AA543" s="87">
        <f>AA540*2+AF540</f>
        <v>2</v>
      </c>
      <c r="AB543" s="99"/>
      <c r="AC543" s="99"/>
      <c r="AD543" s="99"/>
      <c r="AE543" s="99"/>
      <c r="AF543" s="99"/>
      <c r="AG543" s="87">
        <f>AG540*2+AL540</f>
        <v>1</v>
      </c>
      <c r="AH543" s="99"/>
      <c r="AI543" s="99"/>
      <c r="AJ543" s="99"/>
      <c r="AK543" s="99"/>
      <c r="AL543" s="99"/>
      <c r="AM543" s="87">
        <f>AM540*2+AR540</f>
        <v>1</v>
      </c>
      <c r="AN543" s="99"/>
      <c r="AO543" s="99"/>
      <c r="AP543" s="99"/>
      <c r="AQ543" s="99"/>
      <c r="AR543" s="99"/>
      <c r="AS543" s="87">
        <f>AS540*2+AX540</f>
        <v>2</v>
      </c>
      <c r="AT543" s="99"/>
      <c r="AU543" s="99"/>
      <c r="AV543" s="99"/>
      <c r="AW543" s="99"/>
      <c r="AX543" s="99"/>
      <c r="AY543" s="99"/>
      <c r="AZ543" s="99"/>
      <c r="BA543" s="99"/>
      <c r="BB543" s="99"/>
      <c r="BC543" s="99"/>
      <c r="BD543" s="99"/>
      <c r="BE543" s="99"/>
    </row>
    <row r="544" spans="1:57" x14ac:dyDescent="0.25">
      <c r="A544" s="21"/>
      <c r="B544" s="64"/>
      <c r="C544" s="62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</row>
    <row r="545" spans="1:57" x14ac:dyDescent="0.25">
      <c r="A545" s="117" t="s">
        <v>547</v>
      </c>
      <c r="B545" s="64"/>
      <c r="C545" s="72">
        <f>INDEX('S-Box'!D3:S6,'DES-Dec'!C543+1,'DES-Dec'!C542+1)</f>
        <v>9</v>
      </c>
      <c r="D545" s="21"/>
      <c r="E545" s="21"/>
      <c r="F545" s="21"/>
      <c r="G545" s="21"/>
      <c r="H545" s="21"/>
      <c r="I545" s="168">
        <f>INDEX('S-Box'!D9:S12,'DES-Dec'!I543+1,'DES-Dec'!I542+1)</f>
        <v>7</v>
      </c>
      <c r="J545" s="21"/>
      <c r="K545" s="21"/>
      <c r="L545" s="21"/>
      <c r="M545" s="21"/>
      <c r="N545" s="21"/>
      <c r="O545" s="168">
        <f>INDEX('S-Box'!D15:S18,'DES-Dec'!O543+1,'DES-Dec'!O542+1)</f>
        <v>0</v>
      </c>
      <c r="P545" s="21"/>
      <c r="Q545" s="21"/>
      <c r="R545" s="21"/>
      <c r="S545" s="21"/>
      <c r="T545" s="21"/>
      <c r="U545" s="168">
        <f>INDEX('S-Box'!D21:S24,'DES-Dec'!U543+1,'DES-Dec'!U542+1)</f>
        <v>0</v>
      </c>
      <c r="V545" s="21"/>
      <c r="W545" s="21"/>
      <c r="X545" s="21"/>
      <c r="Y545" s="21"/>
      <c r="Z545" s="21"/>
      <c r="AA545" s="168">
        <f>INDEX('S-Box'!D27:S30,'DES-Dec'!AA543+1,'DES-Dec'!AA542+1)</f>
        <v>9</v>
      </c>
      <c r="AB545" s="21"/>
      <c r="AC545" s="21"/>
      <c r="AD545" s="21"/>
      <c r="AE545" s="21"/>
      <c r="AF545" s="21"/>
      <c r="AG545" s="168">
        <f>INDEX('S-Box'!D33:S36,'DES-Dec'!AG543+1,'DES-Dec'!AG542+1)</f>
        <v>14</v>
      </c>
      <c r="AH545" s="21"/>
      <c r="AI545" s="21"/>
      <c r="AJ545" s="21"/>
      <c r="AK545" s="21"/>
      <c r="AL545" s="21"/>
      <c r="AM545" s="168">
        <f>INDEX('S-Box'!D39:S42,'DES-Dec'!AM543+1,'DES-Dec'!AM542+1)</f>
        <v>4</v>
      </c>
      <c r="AN545" s="21"/>
      <c r="AO545" s="21"/>
      <c r="AP545" s="21"/>
      <c r="AQ545" s="21"/>
      <c r="AR545" s="21"/>
      <c r="AS545" s="168">
        <f>INDEX('S-Box'!D45:S48,'DES-Dec'!AS543+1,'DES-Dec'!AS542+1)</f>
        <v>11</v>
      </c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</row>
    <row r="546" spans="1:57" x14ac:dyDescent="0.25">
      <c r="A546" s="21"/>
      <c r="B546" s="64"/>
      <c r="C546" s="104"/>
      <c r="D546" s="21"/>
      <c r="E546" s="21"/>
      <c r="F546" s="21"/>
      <c r="G546" s="21"/>
      <c r="H546" s="21"/>
      <c r="I546" s="95"/>
      <c r="J546" s="21"/>
      <c r="K546" s="21"/>
      <c r="L546" s="21"/>
      <c r="M546" s="21"/>
      <c r="N546" s="21"/>
      <c r="O546" s="95"/>
      <c r="P546" s="21"/>
      <c r="Q546" s="21"/>
      <c r="R546" s="21"/>
      <c r="S546" s="21"/>
      <c r="T546" s="21"/>
      <c r="U546" s="95"/>
      <c r="V546" s="21"/>
      <c r="W546" s="21"/>
      <c r="X546" s="21"/>
      <c r="Y546" s="21"/>
      <c r="Z546" s="21"/>
      <c r="AA546" s="95"/>
      <c r="AB546" s="21"/>
      <c r="AC546" s="21"/>
      <c r="AD546" s="21"/>
      <c r="AE546" s="21"/>
      <c r="AF546" s="21"/>
      <c r="AG546" s="95"/>
      <c r="AH546" s="21"/>
      <c r="AI546" s="21"/>
      <c r="AJ546" s="21"/>
      <c r="AK546" s="21"/>
      <c r="AL546" s="21"/>
      <c r="AM546" s="95"/>
      <c r="AN546" s="21"/>
      <c r="AO546" s="21"/>
      <c r="AP546" s="21"/>
      <c r="AQ546" s="21"/>
      <c r="AR546" s="21"/>
      <c r="AS546" s="95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</row>
    <row r="547" spans="1:57" x14ac:dyDescent="0.25">
      <c r="A547" s="21"/>
      <c r="B547" s="64"/>
      <c r="C547" s="105" t="str">
        <f>MID(DEC2BIN(C545,4),1,1)</f>
        <v>1</v>
      </c>
      <c r="D547" s="106" t="str">
        <f>MID(DEC2BIN(C545,4),2,1)</f>
        <v>0</v>
      </c>
      <c r="E547" s="106" t="str">
        <f>MID(DEC2BIN(C545,4),3,1)</f>
        <v>0</v>
      </c>
      <c r="F547" s="107" t="str">
        <f>MID(DEC2BIN(C545,4),4,1)</f>
        <v>1</v>
      </c>
      <c r="G547" s="21"/>
      <c r="H547" s="21"/>
      <c r="I547" s="105" t="str">
        <f>MID(DEC2BIN(I545,4),1,1)</f>
        <v>0</v>
      </c>
      <c r="J547" s="106" t="str">
        <f>MID(DEC2BIN(I545,4),2,1)</f>
        <v>1</v>
      </c>
      <c r="K547" s="106" t="str">
        <f>MID(DEC2BIN(I545,4),3,1)</f>
        <v>1</v>
      </c>
      <c r="L547" s="107" t="str">
        <f>MID(DEC2BIN(I545,4),4,1)</f>
        <v>1</v>
      </c>
      <c r="M547" s="21"/>
      <c r="N547" s="21"/>
      <c r="O547" s="105" t="str">
        <f>MID(DEC2BIN(O545,4),1,1)</f>
        <v>0</v>
      </c>
      <c r="P547" s="106" t="str">
        <f>MID(DEC2BIN(O545,4),2,1)</f>
        <v>0</v>
      </c>
      <c r="Q547" s="106" t="str">
        <f>MID(DEC2BIN(O545,4),3,1)</f>
        <v>0</v>
      </c>
      <c r="R547" s="107" t="str">
        <f>MID(DEC2BIN(O545,4),4,1)</f>
        <v>0</v>
      </c>
      <c r="S547" s="21"/>
      <c r="T547" s="21"/>
      <c r="U547" s="105" t="str">
        <f>MID(DEC2BIN(U545,4),1,1)</f>
        <v>0</v>
      </c>
      <c r="V547" s="106" t="str">
        <f>MID(DEC2BIN(U545,4),2,1)</f>
        <v>0</v>
      </c>
      <c r="W547" s="106" t="str">
        <f>MID(DEC2BIN(U545,4),3,1)</f>
        <v>0</v>
      </c>
      <c r="X547" s="107" t="str">
        <f>MID(DEC2BIN(U545,4),4,1)</f>
        <v>0</v>
      </c>
      <c r="Y547" s="21"/>
      <c r="Z547" s="21"/>
      <c r="AA547" s="105" t="str">
        <f>MID(DEC2BIN(AA545,4),1,1)</f>
        <v>1</v>
      </c>
      <c r="AB547" s="106" t="str">
        <f>MID(DEC2BIN(AA545,4),2,1)</f>
        <v>0</v>
      </c>
      <c r="AC547" s="106" t="str">
        <f>MID(DEC2BIN(AA545,4),3,1)</f>
        <v>0</v>
      </c>
      <c r="AD547" s="107" t="str">
        <f>MID(DEC2BIN(AA545,4),4,1)</f>
        <v>1</v>
      </c>
      <c r="AE547" s="21"/>
      <c r="AF547" s="21"/>
      <c r="AG547" s="105" t="str">
        <f>MID(DEC2BIN(AG545,4),1,1)</f>
        <v>1</v>
      </c>
      <c r="AH547" s="106" t="str">
        <f>MID(DEC2BIN(AG545,4),2,1)</f>
        <v>1</v>
      </c>
      <c r="AI547" s="106" t="str">
        <f>MID(DEC2BIN(AG545,4),3,1)</f>
        <v>1</v>
      </c>
      <c r="AJ547" s="107" t="str">
        <f>MID(DEC2BIN(AG545,4),4,1)</f>
        <v>0</v>
      </c>
      <c r="AK547" s="21"/>
      <c r="AL547" s="21"/>
      <c r="AM547" s="105" t="str">
        <f>MID(DEC2BIN(AM545,4),1,1)</f>
        <v>0</v>
      </c>
      <c r="AN547" s="106" t="str">
        <f>MID(DEC2BIN(AM545,4),2,1)</f>
        <v>1</v>
      </c>
      <c r="AO547" s="106" t="str">
        <f>MID(DEC2BIN(AM545,4),3,1)</f>
        <v>0</v>
      </c>
      <c r="AP547" s="107" t="str">
        <f>MID(DEC2BIN(AM545,4),4,1)</f>
        <v>0</v>
      </c>
      <c r="AQ547" s="21"/>
      <c r="AR547" s="21"/>
      <c r="AS547" s="105" t="str">
        <f>MID(DEC2BIN(AS545,4),1,1)</f>
        <v>1</v>
      </c>
      <c r="AT547" s="106" t="str">
        <f>MID(DEC2BIN(AS545,4),2,1)</f>
        <v>0</v>
      </c>
      <c r="AU547" s="106" t="str">
        <f>MID(DEC2BIN(AS545,4),3,1)</f>
        <v>1</v>
      </c>
      <c r="AV547" s="107" t="str">
        <f>MID(DEC2BIN(AS545,4),4,1)</f>
        <v>1</v>
      </c>
      <c r="AW547" s="21"/>
      <c r="AX547" s="21"/>
      <c r="AY547" s="21"/>
      <c r="AZ547" s="21"/>
      <c r="BA547" s="21"/>
      <c r="BB547" s="21"/>
      <c r="BC547" s="21"/>
      <c r="BD547" s="21"/>
      <c r="BE547" s="21"/>
    </row>
    <row r="548" spans="1:57" s="21" customFormat="1" ht="24.95" customHeight="1" x14ac:dyDescent="0.25">
      <c r="B548" s="64"/>
      <c r="C548" s="21">
        <f>VALUE(C547)</f>
        <v>1</v>
      </c>
      <c r="D548" s="21">
        <f t="shared" ref="D548" si="1816">VALUE(D547)</f>
        <v>0</v>
      </c>
      <c r="E548" s="21">
        <f t="shared" ref="E548" si="1817">VALUE(E547)</f>
        <v>0</v>
      </c>
      <c r="F548" s="21">
        <f t="shared" ref="F548" si="1818">VALUE(F547)</f>
        <v>1</v>
      </c>
      <c r="I548" s="21">
        <f t="shared" ref="I548" si="1819">VALUE(I547)</f>
        <v>0</v>
      </c>
      <c r="J548" s="21">
        <f t="shared" ref="J548" si="1820">VALUE(J547)</f>
        <v>1</v>
      </c>
      <c r="K548" s="21">
        <f t="shared" ref="K548" si="1821">VALUE(K547)</f>
        <v>1</v>
      </c>
      <c r="L548" s="21">
        <f t="shared" ref="L548" si="1822">VALUE(L547)</f>
        <v>1</v>
      </c>
      <c r="O548" s="21">
        <f>VALUE(O547)</f>
        <v>0</v>
      </c>
      <c r="P548" s="21">
        <f t="shared" ref="P548" si="1823">VALUE(P547)</f>
        <v>0</v>
      </c>
      <c r="Q548" s="21">
        <f t="shared" ref="Q548" si="1824">VALUE(Q547)</f>
        <v>0</v>
      </c>
      <c r="R548" s="21">
        <f t="shared" ref="R548" si="1825">VALUE(R547)</f>
        <v>0</v>
      </c>
      <c r="U548" s="21">
        <f>VALUE(U547)</f>
        <v>0</v>
      </c>
      <c r="V548" s="21">
        <f t="shared" ref="V548" si="1826">VALUE(V547)</f>
        <v>0</v>
      </c>
      <c r="W548" s="21">
        <f t="shared" ref="W548" si="1827">VALUE(W547)</f>
        <v>0</v>
      </c>
      <c r="X548" s="21">
        <f t="shared" ref="X548" si="1828">VALUE(X547)</f>
        <v>0</v>
      </c>
      <c r="AA548" s="21">
        <f>VALUE(AA547)</f>
        <v>1</v>
      </c>
      <c r="AB548" s="21">
        <f t="shared" ref="AB548" si="1829">VALUE(AB547)</f>
        <v>0</v>
      </c>
      <c r="AC548" s="21">
        <f t="shared" ref="AC548" si="1830">VALUE(AC547)</f>
        <v>0</v>
      </c>
      <c r="AD548" s="21">
        <f t="shared" ref="AD548" si="1831">VALUE(AD547)</f>
        <v>1</v>
      </c>
      <c r="AG548" s="21">
        <f>VALUE(AG547)</f>
        <v>1</v>
      </c>
      <c r="AH548" s="21">
        <f t="shared" ref="AH548" si="1832">VALUE(AH547)</f>
        <v>1</v>
      </c>
      <c r="AI548" s="21">
        <f t="shared" ref="AI548" si="1833">VALUE(AI547)</f>
        <v>1</v>
      </c>
      <c r="AJ548" s="21">
        <f t="shared" ref="AJ548" si="1834">VALUE(AJ547)</f>
        <v>0</v>
      </c>
      <c r="AM548" s="21">
        <f>VALUE(AM547)</f>
        <v>0</v>
      </c>
      <c r="AN548" s="21">
        <f t="shared" ref="AN548" si="1835">VALUE(AN547)</f>
        <v>1</v>
      </c>
      <c r="AO548" s="21">
        <f t="shared" ref="AO548" si="1836">VALUE(AO547)</f>
        <v>0</v>
      </c>
      <c r="AP548" s="21">
        <f t="shared" ref="AP548" si="1837">VALUE(AP547)</f>
        <v>0</v>
      </c>
      <c r="AS548" s="21">
        <f>VALUE(AS547)</f>
        <v>1</v>
      </c>
      <c r="AT548" s="21">
        <f t="shared" ref="AT548" si="1838">VALUE(AT547)</f>
        <v>0</v>
      </c>
      <c r="AU548" s="21">
        <f t="shared" ref="AU548" si="1839">VALUE(AU547)</f>
        <v>1</v>
      </c>
      <c r="AV548" s="21">
        <f t="shared" ref="AV548" si="1840">VALUE(AV547)</f>
        <v>1</v>
      </c>
    </row>
    <row r="549" spans="1:57" s="21" customFormat="1" ht="24.95" customHeight="1" x14ac:dyDescent="0.25">
      <c r="A549" s="111" t="s">
        <v>588</v>
      </c>
      <c r="B549" s="111"/>
      <c r="C549" s="111">
        <v>1</v>
      </c>
      <c r="D549" s="76">
        <v>2</v>
      </c>
      <c r="E549" s="111">
        <v>3</v>
      </c>
      <c r="F549" s="76">
        <v>4</v>
      </c>
      <c r="G549" s="111">
        <v>5</v>
      </c>
      <c r="H549" s="76">
        <v>6</v>
      </c>
      <c r="I549" s="111">
        <v>7</v>
      </c>
      <c r="J549" s="76">
        <v>8</v>
      </c>
      <c r="K549" s="111">
        <v>9</v>
      </c>
      <c r="L549" s="76">
        <v>10</v>
      </c>
      <c r="M549" s="111">
        <v>11</v>
      </c>
      <c r="N549" s="76">
        <v>12</v>
      </c>
      <c r="O549" s="111">
        <v>13</v>
      </c>
      <c r="P549" s="76">
        <v>14</v>
      </c>
      <c r="Q549" s="111">
        <v>15</v>
      </c>
      <c r="R549" s="76">
        <v>16</v>
      </c>
      <c r="S549" s="111">
        <v>17</v>
      </c>
      <c r="T549" s="76">
        <v>18</v>
      </c>
      <c r="U549" s="111">
        <v>19</v>
      </c>
      <c r="V549" s="76">
        <v>20</v>
      </c>
      <c r="W549" s="111">
        <v>21</v>
      </c>
      <c r="X549" s="76">
        <v>22</v>
      </c>
      <c r="Y549" s="111">
        <v>23</v>
      </c>
      <c r="Z549" s="76">
        <v>24</v>
      </c>
      <c r="AA549" s="111">
        <v>25</v>
      </c>
      <c r="AB549" s="76">
        <v>26</v>
      </c>
      <c r="AC549" s="111">
        <v>27</v>
      </c>
      <c r="AD549" s="76">
        <v>28</v>
      </c>
      <c r="AE549" s="111">
        <v>29</v>
      </c>
      <c r="AF549" s="76">
        <v>30</v>
      </c>
      <c r="AG549" s="111">
        <v>31</v>
      </c>
      <c r="AH549" s="76">
        <v>32</v>
      </c>
    </row>
    <row r="550" spans="1:57" s="21" customFormat="1" ht="24.95" customHeight="1" x14ac:dyDescent="0.25">
      <c r="B550" s="64"/>
      <c r="C550" s="108">
        <f>C548</f>
        <v>1</v>
      </c>
      <c r="D550" s="108">
        <f t="shared" ref="D550:F550" si="1841">D548</f>
        <v>0</v>
      </c>
      <c r="E550" s="108">
        <f t="shared" si="1841"/>
        <v>0</v>
      </c>
      <c r="F550" s="108">
        <f t="shared" si="1841"/>
        <v>1</v>
      </c>
      <c r="G550" s="23">
        <f>I548</f>
        <v>0</v>
      </c>
      <c r="H550" s="23">
        <f t="shared" ref="H550" si="1842">J548</f>
        <v>1</v>
      </c>
      <c r="I550" s="23">
        <f t="shared" ref="I550" si="1843">K548</f>
        <v>1</v>
      </c>
      <c r="J550" s="23">
        <f t="shared" ref="J550" si="1844">L548</f>
        <v>1</v>
      </c>
      <c r="K550" s="23">
        <f>O548</f>
        <v>0</v>
      </c>
      <c r="L550" s="23">
        <f t="shared" ref="L550" si="1845">P548</f>
        <v>0</v>
      </c>
      <c r="M550" s="23">
        <f t="shared" ref="M550" si="1846">Q548</f>
        <v>0</v>
      </c>
      <c r="N550" s="23">
        <f t="shared" ref="N550" si="1847">R548</f>
        <v>0</v>
      </c>
      <c r="O550" s="23">
        <f>U548</f>
        <v>0</v>
      </c>
      <c r="P550" s="23">
        <f t="shared" ref="P550" si="1848">V548</f>
        <v>0</v>
      </c>
      <c r="Q550" s="23">
        <f t="shared" ref="Q550" si="1849">W548</f>
        <v>0</v>
      </c>
      <c r="R550" s="23">
        <f t="shared" ref="R550" si="1850">X548</f>
        <v>0</v>
      </c>
      <c r="S550" s="23">
        <f>AA548</f>
        <v>1</v>
      </c>
      <c r="T550" s="23">
        <f t="shared" ref="T550" si="1851">AB548</f>
        <v>0</v>
      </c>
      <c r="U550" s="23">
        <f t="shared" ref="U550" si="1852">AC548</f>
        <v>0</v>
      </c>
      <c r="V550" s="23">
        <f t="shared" ref="V550" si="1853">AD548</f>
        <v>1</v>
      </c>
      <c r="W550" s="23">
        <f>AG548</f>
        <v>1</v>
      </c>
      <c r="X550" s="23">
        <f t="shared" ref="X550" si="1854">AH548</f>
        <v>1</v>
      </c>
      <c r="Y550" s="23">
        <f t="shared" ref="Y550" si="1855">AI548</f>
        <v>1</v>
      </c>
      <c r="Z550" s="23">
        <f t="shared" ref="Z550" si="1856">AJ548</f>
        <v>0</v>
      </c>
      <c r="AA550" s="23">
        <f>AM548</f>
        <v>0</v>
      </c>
      <c r="AB550" s="23">
        <f t="shared" ref="AB550" si="1857">AN548</f>
        <v>1</v>
      </c>
      <c r="AC550" s="23">
        <f t="shared" ref="AC550" si="1858">AO548</f>
        <v>0</v>
      </c>
      <c r="AD550" s="23">
        <f t="shared" ref="AD550" si="1859">AP548</f>
        <v>0</v>
      </c>
      <c r="AE550" s="23">
        <f>AS548</f>
        <v>1</v>
      </c>
      <c r="AF550" s="23">
        <f t="shared" ref="AF550" si="1860">AT548</f>
        <v>0</v>
      </c>
      <c r="AG550" s="23">
        <f t="shared" ref="AG550" si="1861">AU548</f>
        <v>1</v>
      </c>
      <c r="AH550" s="23">
        <f t="shared" ref="AH550" si="1862">AV548</f>
        <v>1</v>
      </c>
    </row>
    <row r="551" spans="1:57" x14ac:dyDescent="0.25">
      <c r="A551" s="21"/>
      <c r="B551" s="64"/>
      <c r="C551" s="62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</row>
    <row r="552" spans="1:57" x14ac:dyDescent="0.25">
      <c r="A552" s="110" t="s">
        <v>548</v>
      </c>
      <c r="B552" s="110"/>
      <c r="C552" s="109">
        <v>16</v>
      </c>
      <c r="D552" s="110">
        <v>7</v>
      </c>
      <c r="E552" s="110">
        <v>20</v>
      </c>
      <c r="F552" s="110">
        <v>21</v>
      </c>
      <c r="G552" s="110">
        <v>29</v>
      </c>
      <c r="H552" s="110">
        <v>12</v>
      </c>
      <c r="I552" s="110">
        <v>28</v>
      </c>
      <c r="J552" s="110">
        <v>17</v>
      </c>
      <c r="K552" s="110">
        <v>1</v>
      </c>
      <c r="L552" s="110">
        <v>15</v>
      </c>
      <c r="M552" s="110">
        <v>23</v>
      </c>
      <c r="N552" s="110">
        <v>26</v>
      </c>
      <c r="O552" s="110">
        <v>5</v>
      </c>
      <c r="P552" s="110">
        <v>18</v>
      </c>
      <c r="Q552" s="110">
        <v>31</v>
      </c>
      <c r="R552" s="110">
        <v>10</v>
      </c>
      <c r="S552" s="110">
        <v>2</v>
      </c>
      <c r="T552" s="110">
        <v>8</v>
      </c>
      <c r="U552" s="110">
        <v>24</v>
      </c>
      <c r="V552" s="110">
        <v>14</v>
      </c>
      <c r="W552" s="110">
        <v>32</v>
      </c>
      <c r="X552" s="110">
        <v>27</v>
      </c>
      <c r="Y552" s="110">
        <v>3</v>
      </c>
      <c r="Z552" s="110">
        <v>9</v>
      </c>
      <c r="AA552" s="110">
        <v>19</v>
      </c>
      <c r="AB552" s="110">
        <v>13</v>
      </c>
      <c r="AC552" s="110">
        <v>30</v>
      </c>
      <c r="AD552" s="110">
        <v>6</v>
      </c>
      <c r="AE552" s="110">
        <v>22</v>
      </c>
      <c r="AF552" s="110">
        <v>11</v>
      </c>
      <c r="AG552" s="110">
        <v>4</v>
      </c>
      <c r="AH552" s="110">
        <v>25</v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</row>
    <row r="553" spans="1:57" x14ac:dyDescent="0.25">
      <c r="A553" s="21"/>
      <c r="B553" s="64"/>
      <c r="C553" s="103">
        <f>K550</f>
        <v>0</v>
      </c>
      <c r="D553" s="103">
        <f>S550</f>
        <v>1</v>
      </c>
      <c r="E553" s="103">
        <f>Y550</f>
        <v>1</v>
      </c>
      <c r="F553" s="112">
        <f>AG550</f>
        <v>1</v>
      </c>
      <c r="G553" s="103">
        <f>O550</f>
        <v>0</v>
      </c>
      <c r="H553" s="103">
        <f>AD550</f>
        <v>0</v>
      </c>
      <c r="I553" s="103">
        <f>D550</f>
        <v>0</v>
      </c>
      <c r="J553" s="103">
        <f>T550</f>
        <v>0</v>
      </c>
      <c r="K553" s="103">
        <f>Z550</f>
        <v>0</v>
      </c>
      <c r="L553" s="103">
        <f>R550</f>
        <v>0</v>
      </c>
      <c r="M553" s="103">
        <f>AF550</f>
        <v>0</v>
      </c>
      <c r="N553" s="103">
        <f>H550</f>
        <v>1</v>
      </c>
      <c r="O553" s="103">
        <f>AB550</f>
        <v>1</v>
      </c>
      <c r="P553" s="103">
        <f>V550</f>
        <v>1</v>
      </c>
      <c r="Q553" s="103">
        <f>L550</f>
        <v>0</v>
      </c>
      <c r="R553" s="103">
        <f>C550</f>
        <v>1</v>
      </c>
      <c r="S553" s="103">
        <f>J550</f>
        <v>1</v>
      </c>
      <c r="T553" s="103">
        <f>P550</f>
        <v>0</v>
      </c>
      <c r="U553" s="103">
        <f>AA550</f>
        <v>0</v>
      </c>
      <c r="V553" s="103">
        <f>E550</f>
        <v>0</v>
      </c>
      <c r="W553" s="103">
        <f>F550</f>
        <v>1</v>
      </c>
      <c r="X553" s="103">
        <f>AE550</f>
        <v>1</v>
      </c>
      <c r="Y553" s="103">
        <f>M550</f>
        <v>0</v>
      </c>
      <c r="Z553" s="103">
        <f>U550</f>
        <v>0</v>
      </c>
      <c r="AA553" s="103">
        <f>AH550</f>
        <v>1</v>
      </c>
      <c r="AB553" s="103">
        <f>N550</f>
        <v>0</v>
      </c>
      <c r="AC553" s="103">
        <f>X550</f>
        <v>1</v>
      </c>
      <c r="AD553" s="103">
        <f>I550</f>
        <v>1</v>
      </c>
      <c r="AE553" s="103">
        <f>G550</f>
        <v>0</v>
      </c>
      <c r="AF553" s="103">
        <f>AC550</f>
        <v>0</v>
      </c>
      <c r="AG553" s="103">
        <f>Q550</f>
        <v>0</v>
      </c>
      <c r="AH553" s="103">
        <f>W550</f>
        <v>1</v>
      </c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</row>
    <row r="554" spans="1:57" x14ac:dyDescent="0.25">
      <c r="A554" s="21"/>
      <c r="B554" s="64"/>
      <c r="C554" s="130">
        <v>1</v>
      </c>
      <c r="D554" s="131">
        <v>2</v>
      </c>
      <c r="E554" s="130">
        <v>3</v>
      </c>
      <c r="F554" s="131">
        <v>4</v>
      </c>
      <c r="G554" s="130">
        <v>5</v>
      </c>
      <c r="H554" s="131">
        <v>6</v>
      </c>
      <c r="I554" s="130">
        <v>7</v>
      </c>
      <c r="J554" s="131">
        <v>8</v>
      </c>
      <c r="K554" s="130">
        <v>9</v>
      </c>
      <c r="L554" s="131">
        <v>10</v>
      </c>
      <c r="M554" s="130">
        <v>11</v>
      </c>
      <c r="N554" s="131">
        <v>12</v>
      </c>
      <c r="O554" s="130">
        <v>13</v>
      </c>
      <c r="P554" s="131">
        <v>14</v>
      </c>
      <c r="Q554" s="130">
        <v>15</v>
      </c>
      <c r="R554" s="131">
        <v>16</v>
      </c>
      <c r="S554" s="130">
        <v>17</v>
      </c>
      <c r="T554" s="131">
        <v>18</v>
      </c>
      <c r="U554" s="130">
        <v>19</v>
      </c>
      <c r="V554" s="131">
        <v>20</v>
      </c>
      <c r="W554" s="130">
        <v>21</v>
      </c>
      <c r="X554" s="131">
        <v>22</v>
      </c>
      <c r="Y554" s="130">
        <v>23</v>
      </c>
      <c r="Z554" s="131">
        <v>24</v>
      </c>
      <c r="AA554" s="130">
        <v>25</v>
      </c>
      <c r="AB554" s="131">
        <v>26</v>
      </c>
      <c r="AC554" s="130">
        <v>27</v>
      </c>
      <c r="AD554" s="131">
        <v>28</v>
      </c>
      <c r="AE554" s="130">
        <v>29</v>
      </c>
      <c r="AF554" s="131">
        <v>30</v>
      </c>
      <c r="AG554" s="130">
        <v>31</v>
      </c>
      <c r="AH554" s="131">
        <v>32</v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</row>
    <row r="555" spans="1:57" x14ac:dyDescent="0.25">
      <c r="A555" s="21"/>
      <c r="B555" s="64"/>
      <c r="C555" s="62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</row>
    <row r="556" spans="1:57" x14ac:dyDescent="0.25">
      <c r="A556" s="21"/>
      <c r="B556" s="64"/>
      <c r="C556" s="62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</row>
    <row r="557" spans="1:57" x14ac:dyDescent="0.25">
      <c r="A557" s="21"/>
      <c r="B557" s="64"/>
      <c r="C557" s="62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</row>
    <row r="558" spans="1:57" x14ac:dyDescent="0.25">
      <c r="A558" s="114" t="s">
        <v>569</v>
      </c>
      <c r="B558" s="114"/>
      <c r="C558" s="114"/>
      <c r="D558" s="68">
        <v>1</v>
      </c>
      <c r="E558" s="68">
        <v>2</v>
      </c>
      <c r="F558" s="68">
        <v>3</v>
      </c>
      <c r="G558" s="68">
        <v>4</v>
      </c>
      <c r="H558" s="68">
        <v>5</v>
      </c>
      <c r="I558" s="68">
        <v>6</v>
      </c>
      <c r="J558" s="68">
        <v>7</v>
      </c>
      <c r="K558" s="68">
        <v>8</v>
      </c>
      <c r="L558" s="68">
        <v>9</v>
      </c>
      <c r="M558" s="68">
        <v>10</v>
      </c>
      <c r="N558" s="68">
        <v>11</v>
      </c>
      <c r="O558" s="68">
        <v>12</v>
      </c>
      <c r="P558" s="68">
        <v>13</v>
      </c>
      <c r="Q558" s="68">
        <v>14</v>
      </c>
      <c r="R558" s="68">
        <v>15</v>
      </c>
      <c r="S558" s="68">
        <v>16</v>
      </c>
      <c r="T558" s="68">
        <v>17</v>
      </c>
      <c r="U558" s="68">
        <v>18</v>
      </c>
      <c r="V558" s="68">
        <v>19</v>
      </c>
      <c r="W558" s="68">
        <v>20</v>
      </c>
      <c r="X558" s="68">
        <v>21</v>
      </c>
      <c r="Y558" s="68">
        <v>22</v>
      </c>
      <c r="Z558" s="68">
        <v>23</v>
      </c>
      <c r="AA558" s="68">
        <v>24</v>
      </c>
      <c r="AB558" s="68">
        <v>25</v>
      </c>
      <c r="AC558" s="68">
        <v>26</v>
      </c>
      <c r="AD558" s="68">
        <v>27</v>
      </c>
      <c r="AE558" s="68">
        <v>28</v>
      </c>
      <c r="AF558" s="68">
        <v>29</v>
      </c>
      <c r="AG558" s="68">
        <v>30</v>
      </c>
      <c r="AH558" s="68">
        <v>31</v>
      </c>
      <c r="AI558" s="68">
        <v>32</v>
      </c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</row>
    <row r="559" spans="1:57" x14ac:dyDescent="0.25">
      <c r="A559" s="64" t="s">
        <v>549</v>
      </c>
      <c r="B559" s="64"/>
      <c r="C559" s="62"/>
      <c r="D559" s="68">
        <f>C517</f>
        <v>0</v>
      </c>
      <c r="E559" s="68">
        <f t="shared" ref="E559" si="1863">D517</f>
        <v>0</v>
      </c>
      <c r="F559" s="68">
        <f t="shared" ref="F559" si="1864">E517</f>
        <v>0</v>
      </c>
      <c r="G559" s="68">
        <f t="shared" ref="G559" si="1865">F517</f>
        <v>0</v>
      </c>
      <c r="H559" s="68">
        <f t="shared" ref="H559" si="1866">G517</f>
        <v>0</v>
      </c>
      <c r="I559" s="68">
        <f t="shared" ref="I559" si="1867">H517</f>
        <v>0</v>
      </c>
      <c r="J559" s="68">
        <f t="shared" ref="J559" si="1868">I517</f>
        <v>0</v>
      </c>
      <c r="K559" s="68">
        <f t="shared" ref="K559" si="1869">J517</f>
        <v>0</v>
      </c>
      <c r="L559" s="68">
        <f t="shared" ref="L559" si="1870">K517</f>
        <v>1</v>
      </c>
      <c r="M559" s="68">
        <f t="shared" ref="M559" si="1871">L517</f>
        <v>1</v>
      </c>
      <c r="N559" s="68">
        <f t="shared" ref="N559" si="1872">M517</f>
        <v>1</v>
      </c>
      <c r="O559" s="68">
        <f t="shared" ref="O559" si="1873">N517</f>
        <v>0</v>
      </c>
      <c r="P559" s="68">
        <f t="shared" ref="P559" si="1874">O517</f>
        <v>0</v>
      </c>
      <c r="Q559" s="68">
        <f t="shared" ref="Q559" si="1875">P517</f>
        <v>1</v>
      </c>
      <c r="R559" s="68">
        <f t="shared" ref="R559" si="1876">Q517</f>
        <v>1</v>
      </c>
      <c r="S559" s="68">
        <f t="shared" ref="S559" si="1877">R517</f>
        <v>0</v>
      </c>
      <c r="T559" s="68">
        <f t="shared" ref="T559" si="1878">S517</f>
        <v>0</v>
      </c>
      <c r="U559" s="68">
        <f t="shared" ref="U559" si="1879">T517</f>
        <v>1</v>
      </c>
      <c r="V559" s="68">
        <f t="shared" ref="V559" si="1880">U517</f>
        <v>0</v>
      </c>
      <c r="W559" s="68">
        <f t="shared" ref="W559" si="1881">V517</f>
        <v>1</v>
      </c>
      <c r="X559" s="68">
        <f t="shared" ref="X559" si="1882">W517</f>
        <v>0</v>
      </c>
      <c r="Y559" s="68">
        <f t="shared" ref="Y559" si="1883">X517</f>
        <v>1</v>
      </c>
      <c r="Z559" s="68">
        <f t="shared" ref="Z559" si="1884">Y517</f>
        <v>1</v>
      </c>
      <c r="AA559" s="68">
        <f t="shared" ref="AA559" si="1885">Z517</f>
        <v>1</v>
      </c>
      <c r="AB559" s="68">
        <f t="shared" ref="AB559" si="1886">AA517</f>
        <v>0</v>
      </c>
      <c r="AC559" s="68">
        <f t="shared" ref="AC559" si="1887">AB517</f>
        <v>1</v>
      </c>
      <c r="AD559" s="68">
        <f t="shared" ref="AD559" si="1888">AC517</f>
        <v>0</v>
      </c>
      <c r="AE559" s="68">
        <f t="shared" ref="AE559" si="1889">AD517</f>
        <v>0</v>
      </c>
      <c r="AF559" s="68">
        <f t="shared" ref="AF559" si="1890">AE517</f>
        <v>1</v>
      </c>
      <c r="AG559" s="68">
        <f t="shared" ref="AG559" si="1891">AF517</f>
        <v>0</v>
      </c>
      <c r="AH559" s="68">
        <f t="shared" ref="AH559" si="1892">AG517</f>
        <v>1</v>
      </c>
      <c r="AI559" s="68">
        <f t="shared" ref="AI559" si="1893">AH517</f>
        <v>0</v>
      </c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</row>
    <row r="560" spans="1:57" x14ac:dyDescent="0.25">
      <c r="A560" s="21"/>
      <c r="B560" s="64"/>
      <c r="C560" s="62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</row>
    <row r="561" spans="1:57" x14ac:dyDescent="0.25">
      <c r="A561" s="114" t="s">
        <v>570</v>
      </c>
      <c r="B561" s="114"/>
      <c r="C561" s="114"/>
      <c r="D561" s="70">
        <v>1</v>
      </c>
      <c r="E561" s="70">
        <v>2</v>
      </c>
      <c r="F561" s="70">
        <v>3</v>
      </c>
      <c r="G561" s="70">
        <v>4</v>
      </c>
      <c r="H561" s="70">
        <v>5</v>
      </c>
      <c r="I561" s="70">
        <v>6</v>
      </c>
      <c r="J561" s="70">
        <v>7</v>
      </c>
      <c r="K561" s="70">
        <v>8</v>
      </c>
      <c r="L561" s="70">
        <v>9</v>
      </c>
      <c r="M561" s="70">
        <v>10</v>
      </c>
      <c r="N561" s="70">
        <v>11</v>
      </c>
      <c r="O561" s="70">
        <v>12</v>
      </c>
      <c r="P561" s="70">
        <v>13</v>
      </c>
      <c r="Q561" s="70">
        <v>14</v>
      </c>
      <c r="R561" s="70">
        <v>15</v>
      </c>
      <c r="S561" s="70">
        <v>16</v>
      </c>
      <c r="T561" s="70">
        <v>17</v>
      </c>
      <c r="U561" s="70">
        <v>18</v>
      </c>
      <c r="V561" s="70">
        <v>19</v>
      </c>
      <c r="W561" s="70">
        <v>20</v>
      </c>
      <c r="X561" s="70">
        <v>21</v>
      </c>
      <c r="Y561" s="70">
        <v>22</v>
      </c>
      <c r="Z561" s="70">
        <v>23</v>
      </c>
      <c r="AA561" s="70">
        <v>24</v>
      </c>
      <c r="AB561" s="70">
        <v>25</v>
      </c>
      <c r="AC561" s="70">
        <v>26</v>
      </c>
      <c r="AD561" s="70">
        <v>27</v>
      </c>
      <c r="AE561" s="70">
        <v>28</v>
      </c>
      <c r="AF561" s="70">
        <v>29</v>
      </c>
      <c r="AG561" s="70">
        <v>30</v>
      </c>
      <c r="AH561" s="70">
        <v>31</v>
      </c>
      <c r="AI561" s="70">
        <v>32</v>
      </c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</row>
    <row r="562" spans="1:57" x14ac:dyDescent="0.25">
      <c r="A562" s="64" t="s">
        <v>551</v>
      </c>
      <c r="B562" s="64"/>
      <c r="C562" s="62"/>
      <c r="D562" s="70">
        <f>--_xlfn.XOR(C553,D510)</f>
        <v>1</v>
      </c>
      <c r="E562" s="70">
        <f t="shared" ref="E562:AI562" si="1894">--_xlfn.XOR(D553,E510)</f>
        <v>1</v>
      </c>
      <c r="F562" s="70">
        <f t="shared" si="1894"/>
        <v>0</v>
      </c>
      <c r="G562" s="70">
        <f t="shared" si="1894"/>
        <v>1</v>
      </c>
      <c r="H562" s="70">
        <f t="shared" si="1894"/>
        <v>0</v>
      </c>
      <c r="I562" s="70">
        <f t="shared" si="1894"/>
        <v>0</v>
      </c>
      <c r="J562" s="70">
        <f t="shared" si="1894"/>
        <v>1</v>
      </c>
      <c r="K562" s="70">
        <f t="shared" si="1894"/>
        <v>1</v>
      </c>
      <c r="L562" s="70">
        <f t="shared" si="1894"/>
        <v>1</v>
      </c>
      <c r="M562" s="70">
        <f t="shared" si="1894"/>
        <v>0</v>
      </c>
      <c r="N562" s="70">
        <f t="shared" si="1894"/>
        <v>0</v>
      </c>
      <c r="O562" s="70">
        <f t="shared" si="1894"/>
        <v>0</v>
      </c>
      <c r="P562" s="70">
        <f t="shared" si="1894"/>
        <v>1</v>
      </c>
      <c r="Q562" s="70">
        <f t="shared" si="1894"/>
        <v>1</v>
      </c>
      <c r="R562" s="70">
        <f t="shared" si="1894"/>
        <v>1</v>
      </c>
      <c r="S562" s="70">
        <f t="shared" si="1894"/>
        <v>1</v>
      </c>
      <c r="T562" s="70">
        <f t="shared" si="1894"/>
        <v>1</v>
      </c>
      <c r="U562" s="70">
        <f t="shared" si="1894"/>
        <v>1</v>
      </c>
      <c r="V562" s="70">
        <f t="shared" si="1894"/>
        <v>0</v>
      </c>
      <c r="W562" s="70">
        <f t="shared" si="1894"/>
        <v>1</v>
      </c>
      <c r="X562" s="70">
        <f t="shared" si="1894"/>
        <v>1</v>
      </c>
      <c r="Y562" s="70">
        <f t="shared" si="1894"/>
        <v>0</v>
      </c>
      <c r="Z562" s="70">
        <f t="shared" si="1894"/>
        <v>0</v>
      </c>
      <c r="AA562" s="70">
        <f t="shared" si="1894"/>
        <v>1</v>
      </c>
      <c r="AB562" s="70">
        <f t="shared" si="1894"/>
        <v>0</v>
      </c>
      <c r="AC562" s="70">
        <f t="shared" si="1894"/>
        <v>0</v>
      </c>
      <c r="AD562" s="70">
        <f t="shared" si="1894"/>
        <v>0</v>
      </c>
      <c r="AE562" s="70">
        <f t="shared" si="1894"/>
        <v>1</v>
      </c>
      <c r="AF562" s="70">
        <f t="shared" si="1894"/>
        <v>1</v>
      </c>
      <c r="AG562" s="70">
        <f t="shared" si="1894"/>
        <v>0</v>
      </c>
      <c r="AH562" s="70">
        <f t="shared" si="1894"/>
        <v>1</v>
      </c>
      <c r="AI562" s="70">
        <f t="shared" si="1894"/>
        <v>1</v>
      </c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</row>
    <row r="563" spans="1:57" x14ac:dyDescent="0.25">
      <c r="A563" s="132" t="s">
        <v>641</v>
      </c>
      <c r="B563" s="64"/>
      <c r="C563" s="62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</row>
    <row r="564" spans="1:57" x14ac:dyDescent="0.25">
      <c r="A564" s="132"/>
      <c r="B564" s="133"/>
      <c r="C564" s="134"/>
      <c r="D564" s="132"/>
      <c r="E564" s="132"/>
      <c r="F564" s="132"/>
      <c r="G564" s="132"/>
      <c r="H564" s="132"/>
      <c r="I564" s="132"/>
      <c r="J564" s="132"/>
      <c r="K564" s="132"/>
      <c r="L564" s="132"/>
      <c r="M564" s="132"/>
      <c r="N564" s="132"/>
      <c r="O564" s="132"/>
      <c r="P564" s="132"/>
      <c r="Q564" s="132"/>
      <c r="R564" s="132"/>
      <c r="S564" s="132"/>
      <c r="T564" s="132"/>
      <c r="U564" s="132"/>
      <c r="V564" s="132"/>
      <c r="W564" s="132"/>
      <c r="X564" s="132"/>
      <c r="Y564" s="132"/>
      <c r="Z564" s="132"/>
      <c r="AA564" s="132"/>
      <c r="AB564" s="132"/>
      <c r="AC564" s="132"/>
      <c r="AD564" s="132"/>
      <c r="AE564" s="132"/>
      <c r="AF564" s="132"/>
      <c r="AG564" s="132"/>
      <c r="AH564" s="132"/>
      <c r="AI564" s="132"/>
      <c r="AJ564" s="132"/>
      <c r="AK564" s="132"/>
      <c r="AL564" s="132"/>
      <c r="AM564" s="132"/>
      <c r="AN564" s="132"/>
      <c r="AO564" s="132"/>
      <c r="AP564" s="132"/>
      <c r="AQ564" s="132"/>
      <c r="AR564" s="132"/>
      <c r="AS564" s="132"/>
      <c r="AT564" s="132"/>
      <c r="AU564" s="132"/>
      <c r="AV564" s="132"/>
      <c r="AW564" s="132"/>
      <c r="AX564" s="132"/>
      <c r="AY564" s="132"/>
      <c r="AZ564" s="132"/>
      <c r="BA564" s="132"/>
      <c r="BB564" s="132"/>
      <c r="BC564" s="132"/>
      <c r="BD564" s="132"/>
      <c r="BE564" s="132"/>
    </row>
    <row r="565" spans="1:57" x14ac:dyDescent="0.25">
      <c r="A565" s="21"/>
      <c r="B565" s="21"/>
      <c r="C565" s="70">
        <v>1</v>
      </c>
      <c r="D565" s="70">
        <v>2</v>
      </c>
      <c r="E565" s="70">
        <v>3</v>
      </c>
      <c r="F565" s="70">
        <v>4</v>
      </c>
      <c r="G565" s="70">
        <v>5</v>
      </c>
      <c r="H565" s="70">
        <v>6</v>
      </c>
      <c r="I565" s="70">
        <v>7</v>
      </c>
      <c r="J565" s="70">
        <v>8</v>
      </c>
      <c r="K565" s="70">
        <v>9</v>
      </c>
      <c r="L565" s="70">
        <v>10</v>
      </c>
      <c r="M565" s="70">
        <v>11</v>
      </c>
      <c r="N565" s="70">
        <v>12</v>
      </c>
      <c r="O565" s="70">
        <v>13</v>
      </c>
      <c r="P565" s="70">
        <v>14</v>
      </c>
      <c r="Q565" s="70">
        <v>15</v>
      </c>
      <c r="R565" s="70">
        <v>16</v>
      </c>
      <c r="S565" s="70">
        <v>17</v>
      </c>
      <c r="T565" s="70">
        <v>18</v>
      </c>
      <c r="U565" s="70">
        <v>19</v>
      </c>
      <c r="V565" s="70">
        <v>20</v>
      </c>
      <c r="W565" s="70">
        <v>21</v>
      </c>
      <c r="X565" s="70">
        <v>22</v>
      </c>
      <c r="Y565" s="70">
        <v>23</v>
      </c>
      <c r="Z565" s="70">
        <v>24</v>
      </c>
      <c r="AA565" s="70">
        <v>25</v>
      </c>
      <c r="AB565" s="70">
        <v>26</v>
      </c>
      <c r="AC565" s="70">
        <v>27</v>
      </c>
      <c r="AD565" s="70">
        <v>28</v>
      </c>
      <c r="AE565" s="70">
        <v>29</v>
      </c>
      <c r="AF565" s="70">
        <v>30</v>
      </c>
      <c r="AG565" s="70">
        <v>31</v>
      </c>
      <c r="AH565" s="70">
        <v>32</v>
      </c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</row>
    <row r="566" spans="1:57" x14ac:dyDescent="0.25">
      <c r="A566" s="114" t="s">
        <v>570</v>
      </c>
      <c r="B566" s="114"/>
      <c r="C566" s="70">
        <f>D562</f>
        <v>1</v>
      </c>
      <c r="D566" s="70">
        <f t="shared" ref="D566" si="1895">E562</f>
        <v>1</v>
      </c>
      <c r="E566" s="70">
        <f t="shared" ref="E566" si="1896">F562</f>
        <v>0</v>
      </c>
      <c r="F566" s="70">
        <f t="shared" ref="F566" si="1897">G562</f>
        <v>1</v>
      </c>
      <c r="G566" s="70">
        <f t="shared" ref="G566" si="1898">H562</f>
        <v>0</v>
      </c>
      <c r="H566" s="70">
        <f t="shared" ref="H566" si="1899">I562</f>
        <v>0</v>
      </c>
      <c r="I566" s="70">
        <f t="shared" ref="I566" si="1900">J562</f>
        <v>1</v>
      </c>
      <c r="J566" s="70">
        <f t="shared" ref="J566" si="1901">K562</f>
        <v>1</v>
      </c>
      <c r="K566" s="70">
        <f t="shared" ref="K566" si="1902">L562</f>
        <v>1</v>
      </c>
      <c r="L566" s="70">
        <f t="shared" ref="L566" si="1903">M562</f>
        <v>0</v>
      </c>
      <c r="M566" s="70">
        <f t="shared" ref="M566" si="1904">N562</f>
        <v>0</v>
      </c>
      <c r="N566" s="70">
        <f t="shared" ref="N566" si="1905">O562</f>
        <v>0</v>
      </c>
      <c r="O566" s="70">
        <f t="shared" ref="O566" si="1906">P562</f>
        <v>1</v>
      </c>
      <c r="P566" s="70">
        <f t="shared" ref="P566" si="1907">Q562</f>
        <v>1</v>
      </c>
      <c r="Q566" s="70">
        <f t="shared" ref="Q566" si="1908">R562</f>
        <v>1</v>
      </c>
      <c r="R566" s="70">
        <f t="shared" ref="R566" si="1909">S562</f>
        <v>1</v>
      </c>
      <c r="S566" s="70">
        <f t="shared" ref="S566" si="1910">T562</f>
        <v>1</v>
      </c>
      <c r="T566" s="70">
        <f t="shared" ref="T566" si="1911">U562</f>
        <v>1</v>
      </c>
      <c r="U566" s="70">
        <f t="shared" ref="U566" si="1912">V562</f>
        <v>0</v>
      </c>
      <c r="V566" s="70">
        <f t="shared" ref="V566" si="1913">W562</f>
        <v>1</v>
      </c>
      <c r="W566" s="70">
        <f t="shared" ref="W566" si="1914">X562</f>
        <v>1</v>
      </c>
      <c r="X566" s="70">
        <f t="shared" ref="X566" si="1915">Y562</f>
        <v>0</v>
      </c>
      <c r="Y566" s="70">
        <f t="shared" ref="Y566" si="1916">Z562</f>
        <v>0</v>
      </c>
      <c r="Z566" s="70">
        <f t="shared" ref="Z566" si="1917">AA562</f>
        <v>1</v>
      </c>
      <c r="AA566" s="70">
        <f t="shared" ref="AA566" si="1918">AB562</f>
        <v>0</v>
      </c>
      <c r="AB566" s="70">
        <f t="shared" ref="AB566" si="1919">AC562</f>
        <v>0</v>
      </c>
      <c r="AC566" s="70">
        <f t="shared" ref="AC566" si="1920">AD562</f>
        <v>0</v>
      </c>
      <c r="AD566" s="70">
        <f t="shared" ref="AD566" si="1921">AE562</f>
        <v>1</v>
      </c>
      <c r="AE566" s="70">
        <f t="shared" ref="AE566" si="1922">AF562</f>
        <v>1</v>
      </c>
      <c r="AF566" s="70">
        <f t="shared" ref="AF566" si="1923">AG562</f>
        <v>0</v>
      </c>
      <c r="AG566" s="70">
        <f t="shared" ref="AG566" si="1924">AH562</f>
        <v>1</v>
      </c>
      <c r="AH566" s="70">
        <f t="shared" ref="AH566" si="1925">AI562</f>
        <v>1</v>
      </c>
      <c r="AI566" s="135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</row>
    <row r="567" spans="1:57" x14ac:dyDescent="0.25">
      <c r="A567" s="21"/>
      <c r="B567" s="64"/>
      <c r="C567" s="62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</row>
    <row r="568" spans="1:57" x14ac:dyDescent="0.25">
      <c r="A568" s="132"/>
      <c r="B568" s="133"/>
      <c r="C568" s="134"/>
      <c r="D568" s="132"/>
      <c r="E568" s="132"/>
      <c r="F568" s="132"/>
      <c r="G568" s="132"/>
      <c r="H568" s="132"/>
      <c r="I568" s="132"/>
      <c r="J568" s="132"/>
      <c r="K568" s="132"/>
      <c r="L568" s="132"/>
      <c r="M568" s="132"/>
      <c r="N568" s="132"/>
      <c r="O568" s="132"/>
      <c r="P568" s="132"/>
      <c r="Q568" s="132"/>
      <c r="R568" s="132"/>
      <c r="S568" s="132"/>
      <c r="T568" s="132"/>
      <c r="U568" s="132"/>
      <c r="V568" s="132"/>
      <c r="W568" s="132"/>
      <c r="X568" s="132"/>
      <c r="Y568" s="132"/>
      <c r="Z568" s="132"/>
      <c r="AA568" s="132"/>
      <c r="AB568" s="132"/>
      <c r="AC568" s="132"/>
      <c r="AD568" s="132"/>
      <c r="AE568" s="132"/>
      <c r="AF568" s="132"/>
      <c r="AG568" s="132"/>
      <c r="AH568" s="132"/>
      <c r="AI568" s="132"/>
      <c r="AJ568" s="132"/>
      <c r="AK568" s="132"/>
      <c r="AL568" s="132"/>
      <c r="AM568" s="132"/>
      <c r="AN568" s="132"/>
      <c r="AO568" s="132"/>
      <c r="AP568" s="132"/>
      <c r="AQ568" s="132"/>
      <c r="AR568" s="132"/>
      <c r="AS568" s="132"/>
      <c r="AT568" s="132"/>
      <c r="AU568" s="132"/>
      <c r="AV568" s="132"/>
      <c r="AW568" s="132"/>
      <c r="AX568" s="132"/>
      <c r="AY568" s="132"/>
      <c r="AZ568" s="21"/>
      <c r="BA568" s="21"/>
      <c r="BB568" s="21"/>
      <c r="BC568" s="21"/>
      <c r="BD568" s="21"/>
      <c r="BE568" s="21"/>
    </row>
    <row r="569" spans="1:57" x14ac:dyDescent="0.25">
      <c r="A569" s="21"/>
      <c r="B569" s="64"/>
      <c r="C569" s="62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</row>
    <row r="570" spans="1:57" x14ac:dyDescent="0.25">
      <c r="A570" s="118" t="s">
        <v>532</v>
      </c>
      <c r="B570" s="118"/>
      <c r="C570" s="75">
        <v>32</v>
      </c>
      <c r="D570" s="74">
        <v>1</v>
      </c>
      <c r="E570" s="74">
        <v>2</v>
      </c>
      <c r="F570" s="74">
        <v>3</v>
      </c>
      <c r="G570" s="74">
        <v>4</v>
      </c>
      <c r="H570" s="73">
        <v>5</v>
      </c>
      <c r="I570" s="122"/>
      <c r="J570" s="118">
        <f>AH566</f>
        <v>1</v>
      </c>
      <c r="K570" s="118">
        <f>C566</f>
        <v>1</v>
      </c>
      <c r="L570" s="118">
        <f>D566</f>
        <v>1</v>
      </c>
      <c r="M570" s="118">
        <f>E566</f>
        <v>0</v>
      </c>
      <c r="N570" s="69">
        <f>F566</f>
        <v>1</v>
      </c>
      <c r="O570" s="119">
        <f>G566</f>
        <v>0</v>
      </c>
      <c r="P570" s="122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</row>
    <row r="571" spans="1:57" x14ac:dyDescent="0.25">
      <c r="A571" s="21"/>
      <c r="B571" s="64"/>
      <c r="C571" s="75">
        <v>4</v>
      </c>
      <c r="D571" s="74">
        <v>5</v>
      </c>
      <c r="E571" s="74">
        <v>6</v>
      </c>
      <c r="F571" s="74">
        <v>7</v>
      </c>
      <c r="G571" s="74">
        <v>8</v>
      </c>
      <c r="H571" s="73">
        <v>9</v>
      </c>
      <c r="I571" s="122"/>
      <c r="J571" s="118">
        <f t="shared" ref="J571" si="1926">F566</f>
        <v>1</v>
      </c>
      <c r="K571" s="69">
        <f t="shared" ref="K571" si="1927">G566</f>
        <v>0</v>
      </c>
      <c r="L571" s="69">
        <f t="shared" ref="L571" si="1928">H566</f>
        <v>0</v>
      </c>
      <c r="M571" s="69">
        <f t="shared" ref="M571" si="1929">I566</f>
        <v>1</v>
      </c>
      <c r="N571" s="69">
        <f t="shared" ref="N571" si="1930">J566</f>
        <v>1</v>
      </c>
      <c r="O571" s="119">
        <f t="shared" ref="O571" si="1931">K566</f>
        <v>1</v>
      </c>
      <c r="P571" s="122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</row>
    <row r="572" spans="1:57" x14ac:dyDescent="0.25">
      <c r="A572" s="21"/>
      <c r="B572" s="64"/>
      <c r="C572" s="75">
        <v>8</v>
      </c>
      <c r="D572" s="74">
        <v>9</v>
      </c>
      <c r="E572" s="74">
        <v>10</v>
      </c>
      <c r="F572" s="74">
        <v>11</v>
      </c>
      <c r="G572" s="74">
        <v>12</v>
      </c>
      <c r="H572" s="73">
        <v>13</v>
      </c>
      <c r="I572" s="123"/>
      <c r="J572" s="120">
        <f t="shared" ref="J572:O572" si="1932">J566</f>
        <v>1</v>
      </c>
      <c r="K572" s="69">
        <f t="shared" si="1932"/>
        <v>1</v>
      </c>
      <c r="L572" s="69">
        <f t="shared" si="1932"/>
        <v>0</v>
      </c>
      <c r="M572" s="69">
        <f t="shared" si="1932"/>
        <v>0</v>
      </c>
      <c r="N572" s="69">
        <f t="shared" si="1932"/>
        <v>0</v>
      </c>
      <c r="O572" s="119">
        <f t="shared" si="1932"/>
        <v>1</v>
      </c>
      <c r="P572" s="123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</row>
    <row r="573" spans="1:57" x14ac:dyDescent="0.25">
      <c r="A573" s="21"/>
      <c r="B573" s="64"/>
      <c r="C573" s="75">
        <v>12</v>
      </c>
      <c r="D573" s="74">
        <v>13</v>
      </c>
      <c r="E573" s="74">
        <v>14</v>
      </c>
      <c r="F573" s="74">
        <v>15</v>
      </c>
      <c r="G573" s="74">
        <v>16</v>
      </c>
      <c r="H573" s="73">
        <v>17</v>
      </c>
      <c r="I573" s="122"/>
      <c r="J573" s="118">
        <f t="shared" ref="J573" si="1933">N566</f>
        <v>0</v>
      </c>
      <c r="K573" s="69">
        <f t="shared" ref="K573" si="1934">O566</f>
        <v>1</v>
      </c>
      <c r="L573" s="69">
        <f t="shared" ref="L573" si="1935">P566</f>
        <v>1</v>
      </c>
      <c r="M573" s="69">
        <f t="shared" ref="M573" si="1936">Q566</f>
        <v>1</v>
      </c>
      <c r="N573" s="69">
        <f t="shared" ref="N573" si="1937">R566</f>
        <v>1</v>
      </c>
      <c r="O573" s="119">
        <f t="shared" ref="O573" si="1938">S566</f>
        <v>1</v>
      </c>
      <c r="P573" s="122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</row>
    <row r="574" spans="1:57" x14ac:dyDescent="0.25">
      <c r="A574" s="21"/>
      <c r="B574" s="64"/>
      <c r="C574" s="75">
        <v>16</v>
      </c>
      <c r="D574" s="74">
        <v>17</v>
      </c>
      <c r="E574" s="74">
        <v>18</v>
      </c>
      <c r="F574" s="74">
        <v>19</v>
      </c>
      <c r="G574" s="74">
        <v>20</v>
      </c>
      <c r="H574" s="73">
        <v>21</v>
      </c>
      <c r="I574" s="122"/>
      <c r="J574" s="118">
        <f t="shared" ref="J574" si="1939">R566</f>
        <v>1</v>
      </c>
      <c r="K574" s="69">
        <f t="shared" ref="K574" si="1940">S566</f>
        <v>1</v>
      </c>
      <c r="L574" s="69">
        <f t="shared" ref="L574" si="1941">T566</f>
        <v>1</v>
      </c>
      <c r="M574" s="69">
        <f t="shared" ref="M574" si="1942">U566</f>
        <v>0</v>
      </c>
      <c r="N574" s="69">
        <f t="shared" ref="N574" si="1943">V566</f>
        <v>1</v>
      </c>
      <c r="O574" s="119">
        <f t="shared" ref="O574" si="1944">W566</f>
        <v>1</v>
      </c>
      <c r="P574" s="122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</row>
    <row r="575" spans="1:57" x14ac:dyDescent="0.25">
      <c r="A575" s="21"/>
      <c r="B575" s="64"/>
      <c r="C575" s="75">
        <v>20</v>
      </c>
      <c r="D575" s="74">
        <v>21</v>
      </c>
      <c r="E575" s="74">
        <v>22</v>
      </c>
      <c r="F575" s="74">
        <v>23</v>
      </c>
      <c r="G575" s="74">
        <v>24</v>
      </c>
      <c r="H575" s="73">
        <v>25</v>
      </c>
      <c r="I575" s="122"/>
      <c r="J575" s="118">
        <f t="shared" ref="J575" si="1945">V566</f>
        <v>1</v>
      </c>
      <c r="K575" s="69">
        <f t="shared" ref="K575" si="1946">W566</f>
        <v>1</v>
      </c>
      <c r="L575" s="69">
        <f t="shared" ref="L575" si="1947">X566</f>
        <v>0</v>
      </c>
      <c r="M575" s="69">
        <f t="shared" ref="M575" si="1948">Y566</f>
        <v>0</v>
      </c>
      <c r="N575" s="69">
        <f t="shared" ref="N575" si="1949">Z566</f>
        <v>1</v>
      </c>
      <c r="O575" s="119">
        <f t="shared" ref="O575" si="1950">AA566</f>
        <v>0</v>
      </c>
      <c r="P575" s="122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</row>
    <row r="576" spans="1:57" x14ac:dyDescent="0.25">
      <c r="A576" s="21"/>
      <c r="B576" s="64"/>
      <c r="C576" s="75">
        <v>24</v>
      </c>
      <c r="D576" s="74">
        <v>25</v>
      </c>
      <c r="E576" s="74">
        <v>26</v>
      </c>
      <c r="F576" s="74">
        <v>27</v>
      </c>
      <c r="G576" s="74">
        <v>28</v>
      </c>
      <c r="H576" s="73">
        <v>29</v>
      </c>
      <c r="I576" s="122"/>
      <c r="J576" s="118">
        <f t="shared" ref="J576" si="1951">Z566</f>
        <v>1</v>
      </c>
      <c r="K576" s="69">
        <f t="shared" ref="K576" si="1952">AA566</f>
        <v>0</v>
      </c>
      <c r="L576" s="69">
        <f t="shared" ref="L576" si="1953">AB566</f>
        <v>0</v>
      </c>
      <c r="M576" s="69">
        <f t="shared" ref="M576" si="1954">AC566</f>
        <v>0</v>
      </c>
      <c r="N576" s="69">
        <f t="shared" ref="N576" si="1955">AD566</f>
        <v>1</v>
      </c>
      <c r="O576" s="119">
        <f t="shared" ref="O576" si="1956">AE566</f>
        <v>1</v>
      </c>
      <c r="P576" s="122"/>
      <c r="Q576" s="21"/>
      <c r="R576" s="21"/>
      <c r="S576" s="21"/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</row>
    <row r="577" spans="1:57" x14ac:dyDescent="0.25">
      <c r="A577" s="21"/>
      <c r="B577" s="64"/>
      <c r="C577" s="75">
        <v>28</v>
      </c>
      <c r="D577" s="74">
        <v>29</v>
      </c>
      <c r="E577" s="74">
        <v>30</v>
      </c>
      <c r="F577" s="74">
        <v>31</v>
      </c>
      <c r="G577" s="74">
        <v>32</v>
      </c>
      <c r="H577" s="73">
        <v>1</v>
      </c>
      <c r="I577" s="122"/>
      <c r="J577" s="70">
        <f>AD566</f>
        <v>1</v>
      </c>
      <c r="K577" s="71">
        <f>AE566</f>
        <v>1</v>
      </c>
      <c r="L577" s="71">
        <f>AF566</f>
        <v>0</v>
      </c>
      <c r="M577" s="71">
        <f>AG566</f>
        <v>1</v>
      </c>
      <c r="N577" s="71">
        <f>AH566</f>
        <v>1</v>
      </c>
      <c r="O577" s="121">
        <f>C566</f>
        <v>1</v>
      </c>
      <c r="P577" s="122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</row>
    <row r="578" spans="1:57" x14ac:dyDescent="0.25">
      <c r="A578" s="21"/>
      <c r="B578" s="64"/>
      <c r="C578" s="62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</row>
    <row r="579" spans="1:57" x14ac:dyDescent="0.25">
      <c r="A579" s="21"/>
      <c r="B579" s="64"/>
      <c r="C579" s="62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</row>
    <row r="580" spans="1:57" x14ac:dyDescent="0.25">
      <c r="A580" s="124" t="s">
        <v>533</v>
      </c>
      <c r="B580" s="124"/>
      <c r="C580" s="125">
        <v>1</v>
      </c>
      <c r="D580" s="126">
        <v>2</v>
      </c>
      <c r="E580" s="125">
        <v>3</v>
      </c>
      <c r="F580" s="126">
        <v>4</v>
      </c>
      <c r="G580" s="125">
        <v>5</v>
      </c>
      <c r="H580" s="126">
        <v>6</v>
      </c>
      <c r="I580" s="125">
        <v>7</v>
      </c>
      <c r="J580" s="126">
        <v>8</v>
      </c>
      <c r="K580" s="125">
        <v>9</v>
      </c>
      <c r="L580" s="126">
        <v>10</v>
      </c>
      <c r="M580" s="125">
        <v>11</v>
      </c>
      <c r="N580" s="126">
        <v>12</v>
      </c>
      <c r="O580" s="125">
        <v>13</v>
      </c>
      <c r="P580" s="126">
        <v>14</v>
      </c>
      <c r="Q580" s="125">
        <v>15</v>
      </c>
      <c r="R580" s="126">
        <v>16</v>
      </c>
      <c r="S580" s="125">
        <v>17</v>
      </c>
      <c r="T580" s="126">
        <v>18</v>
      </c>
      <c r="U580" s="125">
        <v>19</v>
      </c>
      <c r="V580" s="126">
        <v>20</v>
      </c>
      <c r="W580" s="125">
        <v>21</v>
      </c>
      <c r="X580" s="126">
        <v>22</v>
      </c>
      <c r="Y580" s="125">
        <v>23</v>
      </c>
      <c r="Z580" s="126">
        <v>24</v>
      </c>
      <c r="AA580" s="125">
        <v>25</v>
      </c>
      <c r="AB580" s="126">
        <v>26</v>
      </c>
      <c r="AC580" s="125">
        <v>27</v>
      </c>
      <c r="AD580" s="126">
        <v>28</v>
      </c>
      <c r="AE580" s="125">
        <v>29</v>
      </c>
      <c r="AF580" s="126">
        <v>30</v>
      </c>
      <c r="AG580" s="125">
        <v>31</v>
      </c>
      <c r="AH580" s="126">
        <v>32</v>
      </c>
      <c r="AI580" s="125">
        <v>33</v>
      </c>
      <c r="AJ580" s="126">
        <v>34</v>
      </c>
      <c r="AK580" s="125">
        <v>35</v>
      </c>
      <c r="AL580" s="126">
        <v>36</v>
      </c>
      <c r="AM580" s="125">
        <v>37</v>
      </c>
      <c r="AN580" s="126">
        <v>38</v>
      </c>
      <c r="AO580" s="125">
        <v>39</v>
      </c>
      <c r="AP580" s="126">
        <v>40</v>
      </c>
      <c r="AQ580" s="125">
        <v>41</v>
      </c>
      <c r="AR580" s="126">
        <v>42</v>
      </c>
      <c r="AS580" s="125">
        <v>43</v>
      </c>
      <c r="AT580" s="126">
        <v>44</v>
      </c>
      <c r="AU580" s="125">
        <v>45</v>
      </c>
      <c r="AV580" s="126">
        <v>46</v>
      </c>
      <c r="AW580" s="125">
        <v>47</v>
      </c>
      <c r="AX580" s="126">
        <v>48</v>
      </c>
      <c r="AY580" s="21"/>
      <c r="AZ580" s="21"/>
      <c r="BA580" s="21"/>
      <c r="BB580" s="21"/>
      <c r="BC580" s="21"/>
      <c r="BD580" s="21"/>
      <c r="BE580" s="21"/>
    </row>
    <row r="581" spans="1:57" x14ac:dyDescent="0.25">
      <c r="A581" s="21"/>
      <c r="B581" s="64"/>
      <c r="C581" s="125">
        <f t="shared" ref="C581" si="1957">J570</f>
        <v>1</v>
      </c>
      <c r="D581" s="125">
        <f t="shared" ref="D581" si="1958">K570</f>
        <v>1</v>
      </c>
      <c r="E581" s="125">
        <f t="shared" ref="E581" si="1959">L570</f>
        <v>1</v>
      </c>
      <c r="F581" s="125">
        <f t="shared" ref="F581" si="1960">M570</f>
        <v>0</v>
      </c>
      <c r="G581" s="126">
        <f t="shared" ref="G581" si="1961">N570</f>
        <v>1</v>
      </c>
      <c r="H581" s="126">
        <f t="shared" ref="H581" si="1962">O570</f>
        <v>0</v>
      </c>
      <c r="I581" s="125">
        <f t="shared" ref="I581" si="1963">J571</f>
        <v>1</v>
      </c>
      <c r="J581" s="125">
        <f t="shared" ref="J581" si="1964">K571</f>
        <v>0</v>
      </c>
      <c r="K581" s="125">
        <f t="shared" ref="K581" si="1965">L571</f>
        <v>0</v>
      </c>
      <c r="L581" s="125">
        <f t="shared" ref="L581" si="1966">M571</f>
        <v>1</v>
      </c>
      <c r="M581" s="125">
        <f t="shared" ref="M581" si="1967">N571</f>
        <v>1</v>
      </c>
      <c r="N581" s="125">
        <f t="shared" ref="N581" si="1968">O571</f>
        <v>1</v>
      </c>
      <c r="O581" s="126">
        <f t="shared" ref="O581" si="1969">J572</f>
        <v>1</v>
      </c>
      <c r="P581" s="126">
        <f t="shared" ref="P581" si="1970">K572</f>
        <v>1</v>
      </c>
      <c r="Q581" s="126">
        <f t="shared" ref="Q581" si="1971">L572</f>
        <v>0</v>
      </c>
      <c r="R581" s="126">
        <f t="shared" ref="R581" si="1972">M572</f>
        <v>0</v>
      </c>
      <c r="S581" s="126">
        <f t="shared" ref="S581" si="1973">N572</f>
        <v>0</v>
      </c>
      <c r="T581" s="126">
        <f t="shared" ref="T581" si="1974">O572</f>
        <v>1</v>
      </c>
      <c r="U581" s="125">
        <f t="shared" ref="U581" si="1975">J573</f>
        <v>0</v>
      </c>
      <c r="V581" s="126">
        <f t="shared" ref="V581" si="1976">K573</f>
        <v>1</v>
      </c>
      <c r="W581" s="125">
        <f t="shared" ref="W581" si="1977">L573</f>
        <v>1</v>
      </c>
      <c r="X581" s="126">
        <f t="shared" ref="X581" si="1978">M573</f>
        <v>1</v>
      </c>
      <c r="Y581" s="125">
        <f t="shared" ref="Y581" si="1979">N573</f>
        <v>1</v>
      </c>
      <c r="Z581" s="126">
        <f t="shared" ref="Z581" si="1980">O573</f>
        <v>1</v>
      </c>
      <c r="AA581" s="125">
        <f t="shared" ref="AA581" si="1981">J574</f>
        <v>1</v>
      </c>
      <c r="AB581" s="126">
        <f t="shared" ref="AB581" si="1982">K574</f>
        <v>1</v>
      </c>
      <c r="AC581" s="125">
        <f>L574</f>
        <v>1</v>
      </c>
      <c r="AD581" s="126">
        <f t="shared" ref="AD581" si="1983">M574</f>
        <v>0</v>
      </c>
      <c r="AE581" s="125">
        <f t="shared" ref="AE581" si="1984">N574</f>
        <v>1</v>
      </c>
      <c r="AF581" s="126">
        <f t="shared" ref="AF581" si="1985">O574</f>
        <v>1</v>
      </c>
      <c r="AG581" s="125">
        <f t="shared" ref="AG581" si="1986">J575</f>
        <v>1</v>
      </c>
      <c r="AH581" s="126">
        <f t="shared" ref="AH581" si="1987">K575</f>
        <v>1</v>
      </c>
      <c r="AI581" s="125">
        <f t="shared" ref="AI581" si="1988">L575</f>
        <v>0</v>
      </c>
      <c r="AJ581" s="126">
        <f t="shared" ref="AJ581" si="1989">M575</f>
        <v>0</v>
      </c>
      <c r="AK581" s="125">
        <f t="shared" ref="AK581" si="1990">N575</f>
        <v>1</v>
      </c>
      <c r="AL581" s="126">
        <f t="shared" ref="AL581" si="1991">O575</f>
        <v>0</v>
      </c>
      <c r="AM581" s="125">
        <f t="shared" ref="AM581" si="1992">J576</f>
        <v>1</v>
      </c>
      <c r="AN581" s="126">
        <f t="shared" ref="AN581" si="1993">K576</f>
        <v>0</v>
      </c>
      <c r="AO581" s="125">
        <f t="shared" ref="AO581" si="1994">L576</f>
        <v>0</v>
      </c>
      <c r="AP581" s="126">
        <f t="shared" ref="AP581" si="1995">M576</f>
        <v>0</v>
      </c>
      <c r="AQ581" s="125">
        <f t="shared" ref="AQ581" si="1996">N576</f>
        <v>1</v>
      </c>
      <c r="AR581" s="126">
        <f t="shared" ref="AR581" si="1997">O576</f>
        <v>1</v>
      </c>
      <c r="AS581" s="125">
        <f t="shared" ref="AS581" si="1998">J577</f>
        <v>1</v>
      </c>
      <c r="AT581" s="126">
        <f t="shared" ref="AT581" si="1999">K577</f>
        <v>1</v>
      </c>
      <c r="AU581" s="125">
        <f t="shared" ref="AU581" si="2000">L577</f>
        <v>0</v>
      </c>
      <c r="AV581" s="126">
        <f t="shared" ref="AV581" si="2001">M577</f>
        <v>1</v>
      </c>
      <c r="AW581" s="125">
        <f t="shared" ref="AW581" si="2002">N577</f>
        <v>1</v>
      </c>
      <c r="AX581" s="126">
        <f t="shared" ref="AX581" si="2003">O577</f>
        <v>1</v>
      </c>
      <c r="AY581" s="21"/>
      <c r="AZ581" s="21"/>
      <c r="BA581" s="21"/>
      <c r="BB581" s="21"/>
      <c r="BC581" s="21"/>
      <c r="BD581" s="21"/>
      <c r="BE581" s="21"/>
    </row>
    <row r="582" spans="1:57" x14ac:dyDescent="0.25">
      <c r="A582" s="21"/>
      <c r="B582" s="64"/>
      <c r="C582" s="62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</row>
    <row r="583" spans="1:57" x14ac:dyDescent="0.25">
      <c r="A583" s="21"/>
      <c r="B583" s="64"/>
      <c r="C583" s="62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</row>
    <row r="584" spans="1:57" x14ac:dyDescent="0.25">
      <c r="A584" s="127" t="s">
        <v>601</v>
      </c>
      <c r="B584" s="127"/>
      <c r="C584" s="77">
        <f>'Key Generator'!D202</f>
        <v>1</v>
      </c>
      <c r="D584" s="77">
        <f>'Key Generator'!E202</f>
        <v>2</v>
      </c>
      <c r="E584" s="77">
        <f>'Key Generator'!F202</f>
        <v>3</v>
      </c>
      <c r="F584" s="77">
        <f>'Key Generator'!G202</f>
        <v>4</v>
      </c>
      <c r="G584" s="77">
        <f>'Key Generator'!H202</f>
        <v>5</v>
      </c>
      <c r="H584" s="77">
        <f>'Key Generator'!I202</f>
        <v>6</v>
      </c>
      <c r="I584" s="77">
        <f>'Key Generator'!J202</f>
        <v>7</v>
      </c>
      <c r="J584" s="77">
        <f>'Key Generator'!K202</f>
        <v>8</v>
      </c>
      <c r="K584" s="77">
        <f>'Key Generator'!L202</f>
        <v>9</v>
      </c>
      <c r="L584" s="77">
        <f>'Key Generator'!M202</f>
        <v>10</v>
      </c>
      <c r="M584" s="77">
        <f>'Key Generator'!N202</f>
        <v>11</v>
      </c>
      <c r="N584" s="77">
        <f>'Key Generator'!O202</f>
        <v>12</v>
      </c>
      <c r="O584" s="77">
        <f>'Key Generator'!P202</f>
        <v>13</v>
      </c>
      <c r="P584" s="77">
        <f>'Key Generator'!Q202</f>
        <v>14</v>
      </c>
      <c r="Q584" s="77">
        <f>'Key Generator'!R202</f>
        <v>15</v>
      </c>
      <c r="R584" s="77">
        <f>'Key Generator'!S202</f>
        <v>16</v>
      </c>
      <c r="S584" s="77">
        <f>'Key Generator'!T202</f>
        <v>17</v>
      </c>
      <c r="T584" s="77">
        <f>'Key Generator'!U202</f>
        <v>18</v>
      </c>
      <c r="U584" s="77">
        <f>'Key Generator'!V202</f>
        <v>19</v>
      </c>
      <c r="V584" s="77">
        <f>'Key Generator'!W202</f>
        <v>20</v>
      </c>
      <c r="W584" s="77">
        <f>'Key Generator'!X202</f>
        <v>21</v>
      </c>
      <c r="X584" s="77">
        <f>'Key Generator'!Y202</f>
        <v>22</v>
      </c>
      <c r="Y584" s="77">
        <f>'Key Generator'!Z202</f>
        <v>23</v>
      </c>
      <c r="Z584" s="77">
        <f>'Key Generator'!AA202</f>
        <v>24</v>
      </c>
      <c r="AA584" s="77">
        <f>'Key Generator'!AB202</f>
        <v>25</v>
      </c>
      <c r="AB584" s="77">
        <f>'Key Generator'!AC202</f>
        <v>26</v>
      </c>
      <c r="AC584" s="77">
        <f>'Key Generator'!AD202</f>
        <v>27</v>
      </c>
      <c r="AD584" s="77">
        <f>'Key Generator'!AE202</f>
        <v>28</v>
      </c>
      <c r="AE584" s="77">
        <f>'Key Generator'!AF202</f>
        <v>29</v>
      </c>
      <c r="AF584" s="77">
        <f>'Key Generator'!AG202</f>
        <v>30</v>
      </c>
      <c r="AG584" s="77">
        <f>'Key Generator'!AH202</f>
        <v>31</v>
      </c>
      <c r="AH584" s="77">
        <f>'Key Generator'!AI202</f>
        <v>32</v>
      </c>
      <c r="AI584" s="77">
        <f>'Key Generator'!AJ202</f>
        <v>33</v>
      </c>
      <c r="AJ584" s="77">
        <f>'Key Generator'!AK202</f>
        <v>34</v>
      </c>
      <c r="AK584" s="77">
        <f>'Key Generator'!AL202</f>
        <v>35</v>
      </c>
      <c r="AL584" s="77">
        <f>'Key Generator'!AM202</f>
        <v>36</v>
      </c>
      <c r="AM584" s="77">
        <f>'Key Generator'!AN202</f>
        <v>37</v>
      </c>
      <c r="AN584" s="77">
        <f>'Key Generator'!AO202</f>
        <v>38</v>
      </c>
      <c r="AO584" s="77">
        <f>'Key Generator'!AP202</f>
        <v>39</v>
      </c>
      <c r="AP584" s="77">
        <f>'Key Generator'!AQ202</f>
        <v>40</v>
      </c>
      <c r="AQ584" s="77">
        <f>'Key Generator'!AR202</f>
        <v>41</v>
      </c>
      <c r="AR584" s="77">
        <f>'Key Generator'!AS202</f>
        <v>42</v>
      </c>
      <c r="AS584" s="77">
        <f>'Key Generator'!AT202</f>
        <v>43</v>
      </c>
      <c r="AT584" s="77">
        <f>'Key Generator'!AU202</f>
        <v>44</v>
      </c>
      <c r="AU584" s="77">
        <f>'Key Generator'!AV202</f>
        <v>45</v>
      </c>
      <c r="AV584" s="77">
        <f>'Key Generator'!AW202</f>
        <v>46</v>
      </c>
      <c r="AW584" s="77">
        <f>'Key Generator'!AX202</f>
        <v>47</v>
      </c>
      <c r="AX584" s="77">
        <f>'Key Generator'!AY202</f>
        <v>48</v>
      </c>
      <c r="AY584" s="21"/>
      <c r="AZ584" s="21"/>
      <c r="BA584" s="21"/>
      <c r="BB584" s="21"/>
      <c r="BC584" s="21"/>
      <c r="BD584" s="21"/>
      <c r="BE584" s="21"/>
    </row>
    <row r="585" spans="1:57" x14ac:dyDescent="0.25">
      <c r="A585" s="21"/>
      <c r="B585" s="64"/>
      <c r="C585" s="77">
        <f>'Key Generator'!D203</f>
        <v>0</v>
      </c>
      <c r="D585" s="77">
        <f>'Key Generator'!E203</f>
        <v>1</v>
      </c>
      <c r="E585" s="77">
        <f>'Key Generator'!F203</f>
        <v>0</v>
      </c>
      <c r="F585" s="77">
        <f>'Key Generator'!G203</f>
        <v>1</v>
      </c>
      <c r="G585" s="77">
        <f>'Key Generator'!H203</f>
        <v>0</v>
      </c>
      <c r="H585" s="77">
        <f>'Key Generator'!I203</f>
        <v>0</v>
      </c>
      <c r="I585" s="77">
        <f>'Key Generator'!J203</f>
        <v>0</v>
      </c>
      <c r="J585" s="77">
        <f>'Key Generator'!K203</f>
        <v>1</v>
      </c>
      <c r="K585" s="77">
        <f>'Key Generator'!L203</f>
        <v>0</v>
      </c>
      <c r="L585" s="77">
        <f>'Key Generator'!M203</f>
        <v>0</v>
      </c>
      <c r="M585" s="77">
        <f>'Key Generator'!N203</f>
        <v>1</v>
      </c>
      <c r="N585" s="77">
        <f>'Key Generator'!O203</f>
        <v>0</v>
      </c>
      <c r="O585" s="77">
        <f>'Key Generator'!P203</f>
        <v>1</v>
      </c>
      <c r="P585" s="77">
        <f>'Key Generator'!Q203</f>
        <v>1</v>
      </c>
      <c r="Q585" s="77">
        <f>'Key Generator'!R203</f>
        <v>0</v>
      </c>
      <c r="R585" s="77">
        <f>'Key Generator'!S203</f>
        <v>0</v>
      </c>
      <c r="S585" s="77">
        <f>'Key Generator'!T203</f>
        <v>0</v>
      </c>
      <c r="T585" s="77">
        <f>'Key Generator'!U203</f>
        <v>1</v>
      </c>
      <c r="U585" s="77">
        <f>'Key Generator'!V203</f>
        <v>1</v>
      </c>
      <c r="V585" s="77">
        <f>'Key Generator'!W203</f>
        <v>0</v>
      </c>
      <c r="W585" s="77">
        <f>'Key Generator'!X203</f>
        <v>0</v>
      </c>
      <c r="X585" s="77">
        <f>'Key Generator'!Y203</f>
        <v>0</v>
      </c>
      <c r="Y585" s="77">
        <f>'Key Generator'!Z203</f>
        <v>0</v>
      </c>
      <c r="Z585" s="77">
        <f>'Key Generator'!AA203</f>
        <v>0</v>
      </c>
      <c r="AA585" s="77">
        <f>'Key Generator'!AB203</f>
        <v>1</v>
      </c>
      <c r="AB585" s="77">
        <f>'Key Generator'!AC203</f>
        <v>0</v>
      </c>
      <c r="AC585" s="77">
        <f>'Key Generator'!AD203</f>
        <v>1</v>
      </c>
      <c r="AD585" s="77">
        <f>'Key Generator'!AE203</f>
        <v>0</v>
      </c>
      <c r="AE585" s="77">
        <f>'Key Generator'!AF203</f>
        <v>0</v>
      </c>
      <c r="AF585" s="77">
        <f>'Key Generator'!AG203</f>
        <v>0</v>
      </c>
      <c r="AG585" s="77">
        <f>'Key Generator'!AH203</f>
        <v>0</v>
      </c>
      <c r="AH585" s="77">
        <f>'Key Generator'!AI203</f>
        <v>1</v>
      </c>
      <c r="AI585" s="77">
        <f>'Key Generator'!AJ203</f>
        <v>0</v>
      </c>
      <c r="AJ585" s="77">
        <f>'Key Generator'!AK203</f>
        <v>0</v>
      </c>
      <c r="AK585" s="77">
        <f>'Key Generator'!AL203</f>
        <v>0</v>
      </c>
      <c r="AL585" s="77">
        <f>'Key Generator'!AM203</f>
        <v>1</v>
      </c>
      <c r="AM585" s="77">
        <f>'Key Generator'!AN203</f>
        <v>1</v>
      </c>
      <c r="AN585" s="77">
        <f>'Key Generator'!AO203</f>
        <v>1</v>
      </c>
      <c r="AO585" s="77">
        <f>'Key Generator'!AP203</f>
        <v>0</v>
      </c>
      <c r="AP585" s="77">
        <f>'Key Generator'!AQ203</f>
        <v>1</v>
      </c>
      <c r="AQ585" s="77">
        <f>'Key Generator'!AR203</f>
        <v>1</v>
      </c>
      <c r="AR585" s="77">
        <f>'Key Generator'!AS203</f>
        <v>0</v>
      </c>
      <c r="AS585" s="77">
        <f>'Key Generator'!AT203</f>
        <v>1</v>
      </c>
      <c r="AT585" s="77">
        <f>'Key Generator'!AU203</f>
        <v>1</v>
      </c>
      <c r="AU585" s="77">
        <f>'Key Generator'!AV203</f>
        <v>1</v>
      </c>
      <c r="AV585" s="77">
        <f>'Key Generator'!AW203</f>
        <v>0</v>
      </c>
      <c r="AW585" s="77">
        <f>'Key Generator'!AX203</f>
        <v>1</v>
      </c>
      <c r="AX585" s="77">
        <f>'Key Generator'!AY203</f>
        <v>1</v>
      </c>
      <c r="AY585" s="21"/>
      <c r="AZ585" s="21"/>
      <c r="BA585" s="21"/>
      <c r="BB585" s="21"/>
      <c r="BC585" s="21"/>
      <c r="BD585" s="21"/>
      <c r="BE585" s="21"/>
    </row>
    <row r="586" spans="1:57" x14ac:dyDescent="0.25">
      <c r="A586" s="21"/>
      <c r="B586" s="64"/>
      <c r="C586" s="62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</row>
    <row r="587" spans="1:57" x14ac:dyDescent="0.25">
      <c r="A587" s="21"/>
      <c r="B587" s="64"/>
      <c r="C587" s="62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</row>
    <row r="588" spans="1:57" x14ac:dyDescent="0.25">
      <c r="A588" s="128" t="s">
        <v>535</v>
      </c>
      <c r="B588" s="129"/>
      <c r="C588" s="79">
        <v>1</v>
      </c>
      <c r="D588" s="80">
        <v>2</v>
      </c>
      <c r="E588" s="79">
        <v>3</v>
      </c>
      <c r="F588" s="80">
        <v>4</v>
      </c>
      <c r="G588" s="79">
        <v>5</v>
      </c>
      <c r="H588" s="80">
        <v>6</v>
      </c>
      <c r="I588" s="79">
        <v>7</v>
      </c>
      <c r="J588" s="80">
        <v>8</v>
      </c>
      <c r="K588" s="79">
        <v>9</v>
      </c>
      <c r="L588" s="80">
        <v>10</v>
      </c>
      <c r="M588" s="79">
        <v>11</v>
      </c>
      <c r="N588" s="80">
        <v>12</v>
      </c>
      <c r="O588" s="79">
        <v>13</v>
      </c>
      <c r="P588" s="80">
        <v>14</v>
      </c>
      <c r="Q588" s="79">
        <v>15</v>
      </c>
      <c r="R588" s="80">
        <v>16</v>
      </c>
      <c r="S588" s="79">
        <v>17</v>
      </c>
      <c r="T588" s="80">
        <v>18</v>
      </c>
      <c r="U588" s="79">
        <v>19</v>
      </c>
      <c r="V588" s="80">
        <v>20</v>
      </c>
      <c r="W588" s="79">
        <v>21</v>
      </c>
      <c r="X588" s="80">
        <v>22</v>
      </c>
      <c r="Y588" s="79">
        <v>23</v>
      </c>
      <c r="Z588" s="80">
        <v>24</v>
      </c>
      <c r="AA588" s="79">
        <v>25</v>
      </c>
      <c r="AB588" s="80">
        <v>26</v>
      </c>
      <c r="AC588" s="79">
        <v>27</v>
      </c>
      <c r="AD588" s="80">
        <v>28</v>
      </c>
      <c r="AE588" s="79">
        <v>29</v>
      </c>
      <c r="AF588" s="80">
        <v>30</v>
      </c>
      <c r="AG588" s="79">
        <v>31</v>
      </c>
      <c r="AH588" s="80">
        <v>32</v>
      </c>
      <c r="AI588" s="79">
        <v>33</v>
      </c>
      <c r="AJ588" s="80">
        <v>34</v>
      </c>
      <c r="AK588" s="79">
        <v>35</v>
      </c>
      <c r="AL588" s="80">
        <v>36</v>
      </c>
      <c r="AM588" s="79">
        <v>37</v>
      </c>
      <c r="AN588" s="80">
        <v>38</v>
      </c>
      <c r="AO588" s="79">
        <v>39</v>
      </c>
      <c r="AP588" s="80">
        <v>40</v>
      </c>
      <c r="AQ588" s="79">
        <v>41</v>
      </c>
      <c r="AR588" s="80">
        <v>42</v>
      </c>
      <c r="AS588" s="79">
        <v>43</v>
      </c>
      <c r="AT588" s="80">
        <v>44</v>
      </c>
      <c r="AU588" s="79">
        <v>45</v>
      </c>
      <c r="AV588" s="80">
        <v>46</v>
      </c>
      <c r="AW588" s="79">
        <v>47</v>
      </c>
      <c r="AX588" s="80">
        <v>48</v>
      </c>
      <c r="AY588" s="21"/>
      <c r="AZ588" s="21"/>
      <c r="BA588" s="21"/>
      <c r="BB588" s="21"/>
      <c r="BC588" s="21"/>
      <c r="BD588" s="21"/>
      <c r="BE588" s="21"/>
    </row>
    <row r="589" spans="1:57" x14ac:dyDescent="0.25">
      <c r="A589" s="21"/>
      <c r="B589" s="64"/>
      <c r="C589" s="88">
        <f>--_xlfn.XOR(C581,'Key Generator'!D203)</f>
        <v>1</v>
      </c>
      <c r="D589" s="88">
        <f>--_xlfn.XOR(D581,'Key Generator'!E203)</f>
        <v>0</v>
      </c>
      <c r="E589" s="88">
        <f>--_xlfn.XOR(E581,'Key Generator'!F203)</f>
        <v>1</v>
      </c>
      <c r="F589" s="88">
        <f>--_xlfn.XOR(F581,'Key Generator'!G203)</f>
        <v>1</v>
      </c>
      <c r="G589" s="88">
        <f>--_xlfn.XOR(G581,'Key Generator'!H203)</f>
        <v>1</v>
      </c>
      <c r="H589" s="88">
        <f>--_xlfn.XOR(H581,'Key Generator'!I203)</f>
        <v>0</v>
      </c>
      <c r="I589" s="87">
        <f>--_xlfn.XOR(I581,'Key Generator'!J203)</f>
        <v>1</v>
      </c>
      <c r="J589" s="87">
        <f>--_xlfn.XOR(J581,'Key Generator'!K203)</f>
        <v>1</v>
      </c>
      <c r="K589" s="87">
        <f>--_xlfn.XOR(K581,'Key Generator'!L203)</f>
        <v>0</v>
      </c>
      <c r="L589" s="87">
        <f>--_xlfn.XOR(L581,'Key Generator'!M203)</f>
        <v>1</v>
      </c>
      <c r="M589" s="87">
        <f>--_xlfn.XOR(M581,'Key Generator'!N203)</f>
        <v>0</v>
      </c>
      <c r="N589" s="87">
        <f>--_xlfn.XOR(N581,'Key Generator'!O203)</f>
        <v>1</v>
      </c>
      <c r="O589" s="89">
        <f>--_xlfn.XOR(O581,'Key Generator'!P203)</f>
        <v>0</v>
      </c>
      <c r="P589" s="89">
        <f>--_xlfn.XOR(P581,'Key Generator'!Q203)</f>
        <v>0</v>
      </c>
      <c r="Q589" s="89">
        <f>--_xlfn.XOR(Q581,'Key Generator'!R203)</f>
        <v>0</v>
      </c>
      <c r="R589" s="89">
        <f>--_xlfn.XOR(R581,'Key Generator'!S203)</f>
        <v>0</v>
      </c>
      <c r="S589" s="89">
        <f>--_xlfn.XOR(S581,'Key Generator'!T203)</f>
        <v>0</v>
      </c>
      <c r="T589" s="89">
        <f>--_xlfn.XOR(T581,'Key Generator'!U203)</f>
        <v>0</v>
      </c>
      <c r="U589" s="149">
        <f>--_xlfn.XOR(U581,'Key Generator'!V203)</f>
        <v>1</v>
      </c>
      <c r="V589" s="149">
        <f>--_xlfn.XOR(V581,'Key Generator'!W203)</f>
        <v>1</v>
      </c>
      <c r="W589" s="149">
        <f>--_xlfn.XOR(W581,'Key Generator'!X203)</f>
        <v>1</v>
      </c>
      <c r="X589" s="149">
        <f>--_xlfn.XOR(X581,'Key Generator'!Y203)</f>
        <v>1</v>
      </c>
      <c r="Y589" s="149">
        <f>--_xlfn.XOR(Y581,'Key Generator'!Z203)</f>
        <v>1</v>
      </c>
      <c r="Z589" s="149">
        <f>--_xlfn.XOR(Z581,'Key Generator'!AA203)</f>
        <v>1</v>
      </c>
      <c r="AA589" s="91">
        <f>--_xlfn.XOR(AA581,'Key Generator'!AB203)</f>
        <v>0</v>
      </c>
      <c r="AB589" s="91">
        <f>--_xlfn.XOR(AB581,'Key Generator'!AC203)</f>
        <v>1</v>
      </c>
      <c r="AC589" s="91">
        <f>--_xlfn.XOR(AC581,'Key Generator'!AD203)</f>
        <v>0</v>
      </c>
      <c r="AD589" s="91">
        <f>--_xlfn.XOR(AD581,'Key Generator'!AE203)</f>
        <v>0</v>
      </c>
      <c r="AE589" s="91">
        <f>--_xlfn.XOR(AE581,'Key Generator'!AF203)</f>
        <v>1</v>
      </c>
      <c r="AF589" s="91">
        <f>--_xlfn.XOR(AF581,'Key Generator'!AG203)</f>
        <v>1</v>
      </c>
      <c r="AG589" s="92">
        <f>--_xlfn.XOR(AG581,'Key Generator'!AH203)</f>
        <v>1</v>
      </c>
      <c r="AH589" s="92">
        <f>--_xlfn.XOR(AH581,'Key Generator'!AI203)</f>
        <v>0</v>
      </c>
      <c r="AI589" s="92">
        <f>--_xlfn.XOR(AI581,'Key Generator'!AJ203)</f>
        <v>0</v>
      </c>
      <c r="AJ589" s="92">
        <f>--_xlfn.XOR(AJ581,'Key Generator'!AK203)</f>
        <v>0</v>
      </c>
      <c r="AK589" s="92">
        <f>--_xlfn.XOR(AK581,'Key Generator'!AL203)</f>
        <v>1</v>
      </c>
      <c r="AL589" s="92">
        <f>--_xlfn.XOR(AL581,'Key Generator'!AM203)</f>
        <v>1</v>
      </c>
      <c r="AM589" s="86">
        <f>--_xlfn.XOR(AM581,'Key Generator'!AN203)</f>
        <v>0</v>
      </c>
      <c r="AN589" s="86">
        <f>--_xlfn.XOR(AN581,'Key Generator'!AO203)</f>
        <v>1</v>
      </c>
      <c r="AO589" s="86">
        <f>--_xlfn.XOR(AO581,'Key Generator'!AP203)</f>
        <v>0</v>
      </c>
      <c r="AP589" s="86">
        <f>--_xlfn.XOR(AP581,'Key Generator'!AQ203)</f>
        <v>1</v>
      </c>
      <c r="AQ589" s="86">
        <f>--_xlfn.XOR(AQ581,'Key Generator'!AR203)</f>
        <v>0</v>
      </c>
      <c r="AR589" s="86">
        <f>--_xlfn.XOR(AR581,'Key Generator'!AS203)</f>
        <v>1</v>
      </c>
      <c r="AS589" s="81">
        <f>--_xlfn.XOR(AS581,'Key Generator'!AT203)</f>
        <v>0</v>
      </c>
      <c r="AT589" s="81">
        <f>--_xlfn.XOR(AT581,'Key Generator'!AU203)</f>
        <v>0</v>
      </c>
      <c r="AU589" s="81">
        <f>--_xlfn.XOR(AU581,'Key Generator'!AV203)</f>
        <v>1</v>
      </c>
      <c r="AV589" s="81">
        <f>--_xlfn.XOR(AV581,'Key Generator'!AW203)</f>
        <v>1</v>
      </c>
      <c r="AW589" s="81">
        <f>--_xlfn.XOR(AW581,'Key Generator'!AX203)</f>
        <v>0</v>
      </c>
      <c r="AX589" s="81">
        <f>--_xlfn.XOR(AX581,'Key Generator'!AY203)</f>
        <v>0</v>
      </c>
      <c r="AY589" s="21"/>
      <c r="AZ589" s="21"/>
      <c r="BA589" s="21"/>
      <c r="BB589" s="21"/>
      <c r="BC589" s="21"/>
      <c r="BD589" s="21"/>
      <c r="BE589" s="21"/>
    </row>
    <row r="590" spans="1:57" x14ac:dyDescent="0.25">
      <c r="A590" s="21"/>
      <c r="B590" s="64"/>
      <c r="C590" s="93"/>
      <c r="D590" s="94"/>
      <c r="E590" s="94"/>
      <c r="F590" s="94"/>
      <c r="G590" s="94"/>
      <c r="H590" s="94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</row>
    <row r="591" spans="1:57" x14ac:dyDescent="0.25">
      <c r="A591" s="96" t="s">
        <v>545</v>
      </c>
      <c r="B591" s="97"/>
      <c r="C591" s="161">
        <f>D589*8+E589*4+F589*2+G589</f>
        <v>7</v>
      </c>
      <c r="D591" s="97" t="s">
        <v>536</v>
      </c>
      <c r="E591" s="97"/>
      <c r="F591" s="97"/>
      <c r="G591" s="97"/>
      <c r="H591" s="97"/>
      <c r="I591" s="161">
        <f>J589*8+K589*4+L589*2+M589</f>
        <v>10</v>
      </c>
      <c r="J591" s="97" t="s">
        <v>537</v>
      </c>
      <c r="K591" s="97"/>
      <c r="L591" s="97"/>
      <c r="M591" s="97"/>
      <c r="N591" s="97"/>
      <c r="O591" s="161">
        <f>P589*8+Q589*4+R589*2+S589</f>
        <v>0</v>
      </c>
      <c r="P591" s="97" t="s">
        <v>538</v>
      </c>
      <c r="Q591" s="97"/>
      <c r="R591" s="97"/>
      <c r="S591" s="97"/>
      <c r="T591" s="97"/>
      <c r="U591" s="161">
        <f>V589*8+W589*4+X589*2+Y589</f>
        <v>15</v>
      </c>
      <c r="V591" s="97" t="s">
        <v>539</v>
      </c>
      <c r="W591" s="97"/>
      <c r="X591" s="97"/>
      <c r="Y591" s="97"/>
      <c r="Z591" s="97"/>
      <c r="AA591" s="161">
        <f>AB589*8+AC589*4+AD589*2+AE589</f>
        <v>9</v>
      </c>
      <c r="AB591" s="97" t="s">
        <v>540</v>
      </c>
      <c r="AC591" s="97"/>
      <c r="AD591" s="97"/>
      <c r="AE591" s="97"/>
      <c r="AF591" s="97"/>
      <c r="AG591" s="161">
        <f>AH589*8+AI589*4+AJ589*2+AK589</f>
        <v>1</v>
      </c>
      <c r="AH591" s="97" t="s">
        <v>541</v>
      </c>
      <c r="AI591" s="97"/>
      <c r="AJ591" s="97"/>
      <c r="AK591" s="97"/>
      <c r="AL591" s="97"/>
      <c r="AM591" s="161">
        <f>AN589*8+AO589*4+AP589*2+AQ589</f>
        <v>10</v>
      </c>
      <c r="AN591" s="97" t="s">
        <v>542</v>
      </c>
      <c r="AO591" s="97"/>
      <c r="AP591" s="97"/>
      <c r="AQ591" s="97"/>
      <c r="AR591" s="97"/>
      <c r="AS591" s="161">
        <f>AT589*8+AU589*4+AV589*2+AW589</f>
        <v>6</v>
      </c>
      <c r="AT591" s="97" t="s">
        <v>543</v>
      </c>
      <c r="AU591" s="97"/>
      <c r="AV591" s="97"/>
      <c r="AW591" s="97"/>
      <c r="AX591" s="97"/>
      <c r="AY591" s="97"/>
      <c r="AZ591" s="97"/>
      <c r="BA591" s="97"/>
      <c r="BB591" s="97"/>
      <c r="BC591" s="97"/>
      <c r="BD591" s="97"/>
      <c r="BE591" s="97"/>
    </row>
    <row r="592" spans="1:57" x14ac:dyDescent="0.25">
      <c r="A592" s="100" t="s">
        <v>546</v>
      </c>
      <c r="B592" s="99"/>
      <c r="C592" s="87">
        <f>C589*2+H589</f>
        <v>2</v>
      </c>
      <c r="D592" s="98"/>
      <c r="E592" s="98"/>
      <c r="F592" s="99"/>
      <c r="G592" s="99"/>
      <c r="H592" s="99"/>
      <c r="I592" s="87">
        <f>I589*2+N589</f>
        <v>3</v>
      </c>
      <c r="J592" s="99"/>
      <c r="K592" s="99"/>
      <c r="L592" s="99"/>
      <c r="M592" s="99"/>
      <c r="N592" s="99"/>
      <c r="O592" s="87">
        <f>O589*2+T589</f>
        <v>0</v>
      </c>
      <c r="P592" s="99"/>
      <c r="Q592" s="99"/>
      <c r="R592" s="99"/>
      <c r="S592" s="99"/>
      <c r="T592" s="99"/>
      <c r="U592" s="87">
        <f>U589*2+Z589</f>
        <v>3</v>
      </c>
      <c r="V592" s="99"/>
      <c r="W592" s="99"/>
      <c r="X592" s="99"/>
      <c r="Y592" s="99"/>
      <c r="Z592" s="99"/>
      <c r="AA592" s="87">
        <f>AA589*2+AF589</f>
        <v>1</v>
      </c>
      <c r="AB592" s="99"/>
      <c r="AC592" s="99"/>
      <c r="AD592" s="99"/>
      <c r="AE592" s="99"/>
      <c r="AF592" s="99"/>
      <c r="AG592" s="87">
        <f>AG589*2+AL589</f>
        <v>3</v>
      </c>
      <c r="AH592" s="99"/>
      <c r="AI592" s="99"/>
      <c r="AJ592" s="99"/>
      <c r="AK592" s="99"/>
      <c r="AL592" s="99"/>
      <c r="AM592" s="87">
        <f>AM589*2+AR589</f>
        <v>1</v>
      </c>
      <c r="AN592" s="99"/>
      <c r="AO592" s="99"/>
      <c r="AP592" s="99"/>
      <c r="AQ592" s="99"/>
      <c r="AR592" s="99"/>
      <c r="AS592" s="87">
        <f>AS589*2+AX589</f>
        <v>0</v>
      </c>
      <c r="AT592" s="99"/>
      <c r="AU592" s="99"/>
      <c r="AV592" s="99"/>
      <c r="AW592" s="99"/>
      <c r="AX592" s="99"/>
      <c r="AY592" s="99"/>
      <c r="AZ592" s="99"/>
      <c r="BA592" s="99"/>
      <c r="BB592" s="99"/>
      <c r="BC592" s="99"/>
      <c r="BD592" s="99"/>
      <c r="BE592" s="99"/>
    </row>
    <row r="593" spans="1:57" x14ac:dyDescent="0.25">
      <c r="A593" s="21"/>
      <c r="B593" s="64"/>
      <c r="C593" s="62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</row>
    <row r="594" spans="1:57" x14ac:dyDescent="0.25">
      <c r="A594" s="117" t="s">
        <v>547</v>
      </c>
      <c r="B594" s="64"/>
      <c r="C594" s="72">
        <f>INDEX('S-Box'!D3:S6,'DES-Dec'!C592+1,'DES-Dec'!C591+1)</f>
        <v>11</v>
      </c>
      <c r="D594" s="21"/>
      <c r="E594" s="21"/>
      <c r="F594" s="21"/>
      <c r="G594" s="21"/>
      <c r="H594" s="21"/>
      <c r="I594" s="168">
        <f>INDEX('S-Box'!D9:S12,'DES-Dec'!I592+1,'DES-Dec'!I591+1)</f>
        <v>7</v>
      </c>
      <c r="J594" s="21"/>
      <c r="K594" s="21"/>
      <c r="L594" s="21"/>
      <c r="M594" s="21"/>
      <c r="N594" s="21"/>
      <c r="O594" s="168">
        <f>INDEX('S-Box'!D15:S18,'DES-Dec'!O592+1,'DES-Dec'!O591+1)</f>
        <v>10</v>
      </c>
      <c r="P594" s="21"/>
      <c r="Q594" s="21"/>
      <c r="R594" s="21"/>
      <c r="S594" s="21"/>
      <c r="T594" s="21"/>
      <c r="U594" s="168">
        <f>INDEX('S-Box'!D21:S24,'DES-Dec'!U592+1,'DES-Dec'!U591+1)</f>
        <v>14</v>
      </c>
      <c r="V594" s="21"/>
      <c r="W594" s="21"/>
      <c r="X594" s="21"/>
      <c r="Y594" s="21"/>
      <c r="Z594" s="21"/>
      <c r="AA594" s="168">
        <f>INDEX('S-Box'!D27:S30,'DES-Dec'!AA592+1,'DES-Dec'!AA591+1)</f>
        <v>0</v>
      </c>
      <c r="AB594" s="21"/>
      <c r="AC594" s="21"/>
      <c r="AD594" s="21"/>
      <c r="AE594" s="21"/>
      <c r="AF594" s="21"/>
      <c r="AG594" s="168">
        <f>INDEX('S-Box'!D33:S36,'DES-Dec'!AG592+1,'DES-Dec'!AG591+1)</f>
        <v>3</v>
      </c>
      <c r="AH594" s="21"/>
      <c r="AI594" s="21"/>
      <c r="AJ594" s="21"/>
      <c r="AK594" s="21"/>
      <c r="AL594" s="21"/>
      <c r="AM594" s="168">
        <f>INDEX('S-Box'!D39:S42,'DES-Dec'!AM592+1,'DES-Dec'!AM591+1)</f>
        <v>5</v>
      </c>
      <c r="AN594" s="21"/>
      <c r="AO594" s="21"/>
      <c r="AP594" s="21"/>
      <c r="AQ594" s="21"/>
      <c r="AR594" s="21"/>
      <c r="AS594" s="168">
        <f>INDEX('S-Box'!D45:S48,'DES-Dec'!AS592+1,'DES-Dec'!AS591+1)</f>
        <v>11</v>
      </c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</row>
    <row r="595" spans="1:57" x14ac:dyDescent="0.25">
      <c r="A595" s="21"/>
      <c r="B595" s="64"/>
      <c r="C595" s="104"/>
      <c r="D595" s="21"/>
      <c r="E595" s="21"/>
      <c r="F595" s="21"/>
      <c r="G595" s="21"/>
      <c r="H595" s="21"/>
      <c r="I595" s="95"/>
      <c r="J595" s="21"/>
      <c r="K595" s="21"/>
      <c r="L595" s="21"/>
      <c r="M595" s="21"/>
      <c r="N595" s="21"/>
      <c r="O595" s="95"/>
      <c r="P595" s="21"/>
      <c r="Q595" s="21"/>
      <c r="R595" s="21"/>
      <c r="S595" s="21"/>
      <c r="T595" s="21"/>
      <c r="U595" s="95"/>
      <c r="V595" s="21"/>
      <c r="W595" s="21"/>
      <c r="X595" s="21"/>
      <c r="Y595" s="21"/>
      <c r="Z595" s="21"/>
      <c r="AA595" s="95"/>
      <c r="AB595" s="21"/>
      <c r="AC595" s="21"/>
      <c r="AD595" s="21"/>
      <c r="AE595" s="21"/>
      <c r="AF595" s="21"/>
      <c r="AG595" s="95"/>
      <c r="AH595" s="21"/>
      <c r="AI595" s="21"/>
      <c r="AJ595" s="21"/>
      <c r="AK595" s="21"/>
      <c r="AL595" s="21"/>
      <c r="AM595" s="95"/>
      <c r="AN595" s="21"/>
      <c r="AO595" s="21"/>
      <c r="AP595" s="21"/>
      <c r="AQ595" s="21"/>
      <c r="AR595" s="21"/>
      <c r="AS595" s="95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</row>
    <row r="596" spans="1:57" x14ac:dyDescent="0.25">
      <c r="A596" s="21"/>
      <c r="B596" s="64"/>
      <c r="C596" s="105" t="str">
        <f>MID(DEC2BIN(C594,4),1,1)</f>
        <v>1</v>
      </c>
      <c r="D596" s="106" t="str">
        <f>MID(DEC2BIN(C594,4),2,1)</f>
        <v>0</v>
      </c>
      <c r="E596" s="106" t="str">
        <f>MID(DEC2BIN(C594,4),3,1)</f>
        <v>1</v>
      </c>
      <c r="F596" s="107" t="str">
        <f>MID(DEC2BIN(C594,4),4,1)</f>
        <v>1</v>
      </c>
      <c r="G596" s="21"/>
      <c r="H596" s="21"/>
      <c r="I596" s="105" t="str">
        <f>MID(DEC2BIN(I594,4),1,1)</f>
        <v>0</v>
      </c>
      <c r="J596" s="106" t="str">
        <f>MID(DEC2BIN(I594,4),2,1)</f>
        <v>1</v>
      </c>
      <c r="K596" s="106" t="str">
        <f>MID(DEC2BIN(I594,4),3,1)</f>
        <v>1</v>
      </c>
      <c r="L596" s="107" t="str">
        <f>MID(DEC2BIN(I594,4),4,1)</f>
        <v>1</v>
      </c>
      <c r="M596" s="21"/>
      <c r="N596" s="21"/>
      <c r="O596" s="105" t="str">
        <f>MID(DEC2BIN(O594,4),1,1)</f>
        <v>1</v>
      </c>
      <c r="P596" s="106" t="str">
        <f>MID(DEC2BIN(O594,4),2,1)</f>
        <v>0</v>
      </c>
      <c r="Q596" s="106" t="str">
        <f>MID(DEC2BIN(O594,4),3,1)</f>
        <v>1</v>
      </c>
      <c r="R596" s="107" t="str">
        <f>MID(DEC2BIN(O594,4),4,1)</f>
        <v>0</v>
      </c>
      <c r="S596" s="21"/>
      <c r="T596" s="21"/>
      <c r="U596" s="105" t="str">
        <f>MID(DEC2BIN(U594,4),1,1)</f>
        <v>1</v>
      </c>
      <c r="V596" s="106" t="str">
        <f>MID(DEC2BIN(U594,4),2,1)</f>
        <v>1</v>
      </c>
      <c r="W596" s="106" t="str">
        <f>MID(DEC2BIN(U594,4),3,1)</f>
        <v>1</v>
      </c>
      <c r="X596" s="107" t="str">
        <f>MID(DEC2BIN(U594,4),4,1)</f>
        <v>0</v>
      </c>
      <c r="Y596" s="21"/>
      <c r="Z596" s="21"/>
      <c r="AA596" s="105" t="str">
        <f>MID(DEC2BIN(AA594,4),1,1)</f>
        <v>0</v>
      </c>
      <c r="AB596" s="106" t="str">
        <f>MID(DEC2BIN(AA594,4),2,1)</f>
        <v>0</v>
      </c>
      <c r="AC596" s="106" t="str">
        <f>MID(DEC2BIN(AA594,4),3,1)</f>
        <v>0</v>
      </c>
      <c r="AD596" s="107" t="str">
        <f>MID(DEC2BIN(AA594,4),4,1)</f>
        <v>0</v>
      </c>
      <c r="AE596" s="21"/>
      <c r="AF596" s="21"/>
      <c r="AG596" s="105" t="str">
        <f>MID(DEC2BIN(AG594,4),1,1)</f>
        <v>0</v>
      </c>
      <c r="AH596" s="106" t="str">
        <f>MID(DEC2BIN(AG594,4),2,1)</f>
        <v>0</v>
      </c>
      <c r="AI596" s="106" t="str">
        <f>MID(DEC2BIN(AG594,4),3,1)</f>
        <v>1</v>
      </c>
      <c r="AJ596" s="107" t="str">
        <f>MID(DEC2BIN(AG594,4),4,1)</f>
        <v>1</v>
      </c>
      <c r="AK596" s="21"/>
      <c r="AL596" s="21"/>
      <c r="AM596" s="105" t="str">
        <f>MID(DEC2BIN(AM594,4),1,1)</f>
        <v>0</v>
      </c>
      <c r="AN596" s="106" t="str">
        <f>MID(DEC2BIN(AM594,4),2,1)</f>
        <v>1</v>
      </c>
      <c r="AO596" s="106" t="str">
        <f>MID(DEC2BIN(AM594,4),3,1)</f>
        <v>0</v>
      </c>
      <c r="AP596" s="107" t="str">
        <f>MID(DEC2BIN(AM594,4),4,1)</f>
        <v>1</v>
      </c>
      <c r="AQ596" s="21"/>
      <c r="AR596" s="21"/>
      <c r="AS596" s="105" t="str">
        <f>MID(DEC2BIN(AS594,4),1,1)</f>
        <v>1</v>
      </c>
      <c r="AT596" s="106" t="str">
        <f>MID(DEC2BIN(AS594,4),2,1)</f>
        <v>0</v>
      </c>
      <c r="AU596" s="106" t="str">
        <f>MID(DEC2BIN(AS594,4),3,1)</f>
        <v>1</v>
      </c>
      <c r="AV596" s="107" t="str">
        <f>MID(DEC2BIN(AS594,4),4,1)</f>
        <v>1</v>
      </c>
      <c r="AW596" s="21"/>
      <c r="AX596" s="21"/>
      <c r="AY596" s="21"/>
      <c r="AZ596" s="21"/>
      <c r="BA596" s="21"/>
      <c r="BB596" s="21"/>
      <c r="BC596" s="21"/>
      <c r="BD596" s="21"/>
      <c r="BE596" s="21"/>
    </row>
    <row r="597" spans="1:57" s="21" customFormat="1" ht="24.95" customHeight="1" x14ac:dyDescent="0.25">
      <c r="B597" s="64"/>
      <c r="C597" s="21">
        <f>VALUE(C596)</f>
        <v>1</v>
      </c>
      <c r="D597" s="21">
        <f t="shared" ref="D597" si="2004">VALUE(D596)</f>
        <v>0</v>
      </c>
      <c r="E597" s="21">
        <f t="shared" ref="E597" si="2005">VALUE(E596)</f>
        <v>1</v>
      </c>
      <c r="F597" s="21">
        <f t="shared" ref="F597" si="2006">VALUE(F596)</f>
        <v>1</v>
      </c>
      <c r="I597" s="21">
        <f t="shared" ref="I597" si="2007">VALUE(I596)</f>
        <v>0</v>
      </c>
      <c r="J597" s="21">
        <f t="shared" ref="J597" si="2008">VALUE(J596)</f>
        <v>1</v>
      </c>
      <c r="K597" s="21">
        <f t="shared" ref="K597" si="2009">VALUE(K596)</f>
        <v>1</v>
      </c>
      <c r="L597" s="21">
        <f t="shared" ref="L597" si="2010">VALUE(L596)</f>
        <v>1</v>
      </c>
      <c r="O597" s="21">
        <f>VALUE(O596)</f>
        <v>1</v>
      </c>
      <c r="P597" s="21">
        <f t="shared" ref="P597" si="2011">VALUE(P596)</f>
        <v>0</v>
      </c>
      <c r="Q597" s="21">
        <f t="shared" ref="Q597" si="2012">VALUE(Q596)</f>
        <v>1</v>
      </c>
      <c r="R597" s="21">
        <f t="shared" ref="R597" si="2013">VALUE(R596)</f>
        <v>0</v>
      </c>
      <c r="U597" s="21">
        <f>VALUE(U596)</f>
        <v>1</v>
      </c>
      <c r="V597" s="21">
        <f t="shared" ref="V597" si="2014">VALUE(V596)</f>
        <v>1</v>
      </c>
      <c r="W597" s="21">
        <f t="shared" ref="W597" si="2015">VALUE(W596)</f>
        <v>1</v>
      </c>
      <c r="X597" s="21">
        <f t="shared" ref="X597" si="2016">VALUE(X596)</f>
        <v>0</v>
      </c>
      <c r="AA597" s="21">
        <f>VALUE(AA596)</f>
        <v>0</v>
      </c>
      <c r="AB597" s="21">
        <f t="shared" ref="AB597" si="2017">VALUE(AB596)</f>
        <v>0</v>
      </c>
      <c r="AC597" s="21">
        <f t="shared" ref="AC597" si="2018">VALUE(AC596)</f>
        <v>0</v>
      </c>
      <c r="AD597" s="21">
        <f t="shared" ref="AD597" si="2019">VALUE(AD596)</f>
        <v>0</v>
      </c>
      <c r="AG597" s="21">
        <f>VALUE(AG596)</f>
        <v>0</v>
      </c>
      <c r="AH597" s="21">
        <f t="shared" ref="AH597" si="2020">VALUE(AH596)</f>
        <v>0</v>
      </c>
      <c r="AI597" s="21">
        <f t="shared" ref="AI597" si="2021">VALUE(AI596)</f>
        <v>1</v>
      </c>
      <c r="AJ597" s="21">
        <f t="shared" ref="AJ597" si="2022">VALUE(AJ596)</f>
        <v>1</v>
      </c>
      <c r="AM597" s="21">
        <f>VALUE(AM596)</f>
        <v>0</v>
      </c>
      <c r="AN597" s="21">
        <f t="shared" ref="AN597" si="2023">VALUE(AN596)</f>
        <v>1</v>
      </c>
      <c r="AO597" s="21">
        <f t="shared" ref="AO597" si="2024">VALUE(AO596)</f>
        <v>0</v>
      </c>
      <c r="AP597" s="21">
        <f t="shared" ref="AP597" si="2025">VALUE(AP596)</f>
        <v>1</v>
      </c>
      <c r="AS597" s="21">
        <f>VALUE(AS596)</f>
        <v>1</v>
      </c>
      <c r="AT597" s="21">
        <f t="shared" ref="AT597" si="2026">VALUE(AT596)</f>
        <v>0</v>
      </c>
      <c r="AU597" s="21">
        <f t="shared" ref="AU597" si="2027">VALUE(AU596)</f>
        <v>1</v>
      </c>
      <c r="AV597" s="21">
        <f t="shared" ref="AV597" si="2028">VALUE(AV596)</f>
        <v>1</v>
      </c>
    </row>
    <row r="598" spans="1:57" s="21" customFormat="1" ht="24.95" customHeight="1" x14ac:dyDescent="0.25">
      <c r="A598" s="111" t="s">
        <v>588</v>
      </c>
      <c r="B598" s="111"/>
      <c r="C598" s="111">
        <v>1</v>
      </c>
      <c r="D598" s="76">
        <v>2</v>
      </c>
      <c r="E598" s="111">
        <v>3</v>
      </c>
      <c r="F598" s="76">
        <v>4</v>
      </c>
      <c r="G598" s="111">
        <v>5</v>
      </c>
      <c r="H598" s="76">
        <v>6</v>
      </c>
      <c r="I598" s="111">
        <v>7</v>
      </c>
      <c r="J598" s="76">
        <v>8</v>
      </c>
      <c r="K598" s="111">
        <v>9</v>
      </c>
      <c r="L598" s="76">
        <v>10</v>
      </c>
      <c r="M598" s="111">
        <v>11</v>
      </c>
      <c r="N598" s="76">
        <v>12</v>
      </c>
      <c r="O598" s="111">
        <v>13</v>
      </c>
      <c r="P598" s="76">
        <v>14</v>
      </c>
      <c r="Q598" s="111">
        <v>15</v>
      </c>
      <c r="R598" s="76">
        <v>16</v>
      </c>
      <c r="S598" s="111">
        <v>17</v>
      </c>
      <c r="T598" s="76">
        <v>18</v>
      </c>
      <c r="U598" s="111">
        <v>19</v>
      </c>
      <c r="V598" s="76">
        <v>20</v>
      </c>
      <c r="W598" s="111">
        <v>21</v>
      </c>
      <c r="X598" s="76">
        <v>22</v>
      </c>
      <c r="Y598" s="111">
        <v>23</v>
      </c>
      <c r="Z598" s="76">
        <v>24</v>
      </c>
      <c r="AA598" s="111">
        <v>25</v>
      </c>
      <c r="AB598" s="76">
        <v>26</v>
      </c>
      <c r="AC598" s="111">
        <v>27</v>
      </c>
      <c r="AD598" s="76">
        <v>28</v>
      </c>
      <c r="AE598" s="111">
        <v>29</v>
      </c>
      <c r="AF598" s="76">
        <v>30</v>
      </c>
      <c r="AG598" s="111">
        <v>31</v>
      </c>
      <c r="AH598" s="76">
        <v>32</v>
      </c>
    </row>
    <row r="599" spans="1:57" s="21" customFormat="1" ht="24.95" customHeight="1" x14ac:dyDescent="0.25">
      <c r="B599" s="64"/>
      <c r="C599" s="108">
        <f>C597</f>
        <v>1</v>
      </c>
      <c r="D599" s="108">
        <f t="shared" ref="D599:F599" si="2029">D597</f>
        <v>0</v>
      </c>
      <c r="E599" s="108">
        <f t="shared" si="2029"/>
        <v>1</v>
      </c>
      <c r="F599" s="108">
        <f t="shared" si="2029"/>
        <v>1</v>
      </c>
      <c r="G599" s="23">
        <f>I597</f>
        <v>0</v>
      </c>
      <c r="H599" s="23">
        <f t="shared" ref="H599" si="2030">J597</f>
        <v>1</v>
      </c>
      <c r="I599" s="23">
        <f t="shared" ref="I599" si="2031">K597</f>
        <v>1</v>
      </c>
      <c r="J599" s="23">
        <f t="shared" ref="J599" si="2032">L597</f>
        <v>1</v>
      </c>
      <c r="K599" s="23">
        <f>O597</f>
        <v>1</v>
      </c>
      <c r="L599" s="23">
        <f t="shared" ref="L599" si="2033">P597</f>
        <v>0</v>
      </c>
      <c r="M599" s="23">
        <f t="shared" ref="M599" si="2034">Q597</f>
        <v>1</v>
      </c>
      <c r="N599" s="23">
        <f t="shared" ref="N599" si="2035">R597</f>
        <v>0</v>
      </c>
      <c r="O599" s="23">
        <f>U597</f>
        <v>1</v>
      </c>
      <c r="P599" s="23">
        <f t="shared" ref="P599" si="2036">V597</f>
        <v>1</v>
      </c>
      <c r="Q599" s="23">
        <f t="shared" ref="Q599" si="2037">W597</f>
        <v>1</v>
      </c>
      <c r="R599" s="23">
        <f t="shared" ref="R599" si="2038">X597</f>
        <v>0</v>
      </c>
      <c r="S599" s="23">
        <f>AA597</f>
        <v>0</v>
      </c>
      <c r="T599" s="23">
        <f t="shared" ref="T599" si="2039">AB597</f>
        <v>0</v>
      </c>
      <c r="U599" s="23">
        <f t="shared" ref="U599" si="2040">AC597</f>
        <v>0</v>
      </c>
      <c r="V599" s="23">
        <f t="shared" ref="V599" si="2041">AD597</f>
        <v>0</v>
      </c>
      <c r="W599" s="23">
        <f>AG597</f>
        <v>0</v>
      </c>
      <c r="X599" s="23">
        <f t="shared" ref="X599" si="2042">AH597</f>
        <v>0</v>
      </c>
      <c r="Y599" s="23">
        <f t="shared" ref="Y599" si="2043">AI597</f>
        <v>1</v>
      </c>
      <c r="Z599" s="23">
        <f t="shared" ref="Z599" si="2044">AJ597</f>
        <v>1</v>
      </c>
      <c r="AA599" s="23">
        <f>AM597</f>
        <v>0</v>
      </c>
      <c r="AB599" s="23">
        <f t="shared" ref="AB599" si="2045">AN597</f>
        <v>1</v>
      </c>
      <c r="AC599" s="23">
        <f t="shared" ref="AC599" si="2046">AO597</f>
        <v>0</v>
      </c>
      <c r="AD599" s="23">
        <f t="shared" ref="AD599" si="2047">AP597</f>
        <v>1</v>
      </c>
      <c r="AE599" s="23">
        <f>AS597</f>
        <v>1</v>
      </c>
      <c r="AF599" s="23">
        <f t="shared" ref="AF599" si="2048">AT597</f>
        <v>0</v>
      </c>
      <c r="AG599" s="23">
        <f t="shared" ref="AG599" si="2049">AU597</f>
        <v>1</v>
      </c>
      <c r="AH599" s="23">
        <f t="shared" ref="AH599" si="2050">AV597</f>
        <v>1</v>
      </c>
    </row>
    <row r="600" spans="1:57" x14ac:dyDescent="0.25">
      <c r="A600" s="21"/>
      <c r="B600" s="64"/>
      <c r="C600" s="62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</row>
    <row r="601" spans="1:57" x14ac:dyDescent="0.25">
      <c r="A601" s="110" t="s">
        <v>548</v>
      </c>
      <c r="B601" s="110"/>
      <c r="C601" s="109">
        <v>16</v>
      </c>
      <c r="D601" s="110">
        <v>7</v>
      </c>
      <c r="E601" s="110">
        <v>20</v>
      </c>
      <c r="F601" s="110">
        <v>21</v>
      </c>
      <c r="G601" s="110">
        <v>29</v>
      </c>
      <c r="H601" s="110">
        <v>12</v>
      </c>
      <c r="I601" s="110">
        <v>28</v>
      </c>
      <c r="J601" s="110">
        <v>17</v>
      </c>
      <c r="K601" s="110">
        <v>1</v>
      </c>
      <c r="L601" s="110">
        <v>15</v>
      </c>
      <c r="M601" s="110">
        <v>23</v>
      </c>
      <c r="N601" s="110">
        <v>26</v>
      </c>
      <c r="O601" s="110">
        <v>5</v>
      </c>
      <c r="P601" s="110">
        <v>18</v>
      </c>
      <c r="Q601" s="110">
        <v>31</v>
      </c>
      <c r="R601" s="110">
        <v>10</v>
      </c>
      <c r="S601" s="110">
        <v>2</v>
      </c>
      <c r="T601" s="110">
        <v>8</v>
      </c>
      <c r="U601" s="110">
        <v>24</v>
      </c>
      <c r="V601" s="110">
        <v>14</v>
      </c>
      <c r="W601" s="110">
        <v>32</v>
      </c>
      <c r="X601" s="110">
        <v>27</v>
      </c>
      <c r="Y601" s="110">
        <v>3</v>
      </c>
      <c r="Z601" s="110">
        <v>9</v>
      </c>
      <c r="AA601" s="110">
        <v>19</v>
      </c>
      <c r="AB601" s="110">
        <v>13</v>
      </c>
      <c r="AC601" s="110">
        <v>30</v>
      </c>
      <c r="AD601" s="110">
        <v>6</v>
      </c>
      <c r="AE601" s="110">
        <v>22</v>
      </c>
      <c r="AF601" s="110">
        <v>11</v>
      </c>
      <c r="AG601" s="110">
        <v>4</v>
      </c>
      <c r="AH601" s="110">
        <v>25</v>
      </c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</row>
    <row r="602" spans="1:57" x14ac:dyDescent="0.25">
      <c r="A602" s="21"/>
      <c r="B602" s="64"/>
      <c r="C602" s="103">
        <f>K599</f>
        <v>1</v>
      </c>
      <c r="D602" s="103">
        <f>S599</f>
        <v>0</v>
      </c>
      <c r="E602" s="103">
        <f>Y599</f>
        <v>1</v>
      </c>
      <c r="F602" s="112">
        <f>AG599</f>
        <v>1</v>
      </c>
      <c r="G602" s="103">
        <f>O599</f>
        <v>1</v>
      </c>
      <c r="H602" s="103">
        <f>AD599</f>
        <v>1</v>
      </c>
      <c r="I602" s="103">
        <f>D599</f>
        <v>0</v>
      </c>
      <c r="J602" s="103">
        <f>T599</f>
        <v>0</v>
      </c>
      <c r="K602" s="103">
        <f>Z599</f>
        <v>1</v>
      </c>
      <c r="L602" s="103">
        <f>R599</f>
        <v>0</v>
      </c>
      <c r="M602" s="103">
        <f>AF599</f>
        <v>0</v>
      </c>
      <c r="N602" s="103">
        <f>H599</f>
        <v>1</v>
      </c>
      <c r="O602" s="103">
        <f>AB599</f>
        <v>1</v>
      </c>
      <c r="P602" s="103">
        <f>V599</f>
        <v>0</v>
      </c>
      <c r="Q602" s="103">
        <f>L599</f>
        <v>0</v>
      </c>
      <c r="R602" s="103">
        <f>C599</f>
        <v>1</v>
      </c>
      <c r="S602" s="103">
        <f>J599</f>
        <v>1</v>
      </c>
      <c r="T602" s="103">
        <f>P599</f>
        <v>1</v>
      </c>
      <c r="U602" s="103">
        <f>AA599</f>
        <v>0</v>
      </c>
      <c r="V602" s="103">
        <f>E599</f>
        <v>1</v>
      </c>
      <c r="W602" s="103">
        <f>F599</f>
        <v>1</v>
      </c>
      <c r="X602" s="103">
        <f>AE599</f>
        <v>1</v>
      </c>
      <c r="Y602" s="103">
        <f>M599</f>
        <v>1</v>
      </c>
      <c r="Z602" s="103">
        <f>U599</f>
        <v>0</v>
      </c>
      <c r="AA602" s="103">
        <f>AH599</f>
        <v>1</v>
      </c>
      <c r="AB602" s="103">
        <f>N599</f>
        <v>0</v>
      </c>
      <c r="AC602" s="103">
        <f>X599</f>
        <v>0</v>
      </c>
      <c r="AD602" s="103">
        <f>I599</f>
        <v>1</v>
      </c>
      <c r="AE602" s="103">
        <f>G599</f>
        <v>0</v>
      </c>
      <c r="AF602" s="103">
        <f>AC599</f>
        <v>0</v>
      </c>
      <c r="AG602" s="103">
        <f>Q599</f>
        <v>1</v>
      </c>
      <c r="AH602" s="103">
        <f>W599</f>
        <v>0</v>
      </c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</row>
    <row r="603" spans="1:57" x14ac:dyDescent="0.25">
      <c r="A603" s="21"/>
      <c r="B603" s="64"/>
      <c r="C603" s="130">
        <v>1</v>
      </c>
      <c r="D603" s="131">
        <v>2</v>
      </c>
      <c r="E603" s="130">
        <v>3</v>
      </c>
      <c r="F603" s="131">
        <v>4</v>
      </c>
      <c r="G603" s="130">
        <v>5</v>
      </c>
      <c r="H603" s="131">
        <v>6</v>
      </c>
      <c r="I603" s="130">
        <v>7</v>
      </c>
      <c r="J603" s="131">
        <v>8</v>
      </c>
      <c r="K603" s="130">
        <v>9</v>
      </c>
      <c r="L603" s="131">
        <v>10</v>
      </c>
      <c r="M603" s="130">
        <v>11</v>
      </c>
      <c r="N603" s="131">
        <v>12</v>
      </c>
      <c r="O603" s="130">
        <v>13</v>
      </c>
      <c r="P603" s="131">
        <v>14</v>
      </c>
      <c r="Q603" s="130">
        <v>15</v>
      </c>
      <c r="R603" s="131">
        <v>16</v>
      </c>
      <c r="S603" s="130">
        <v>17</v>
      </c>
      <c r="T603" s="131">
        <v>18</v>
      </c>
      <c r="U603" s="130">
        <v>19</v>
      </c>
      <c r="V603" s="131">
        <v>20</v>
      </c>
      <c r="W603" s="130">
        <v>21</v>
      </c>
      <c r="X603" s="131">
        <v>22</v>
      </c>
      <c r="Y603" s="130">
        <v>23</v>
      </c>
      <c r="Z603" s="131">
        <v>24</v>
      </c>
      <c r="AA603" s="130">
        <v>25</v>
      </c>
      <c r="AB603" s="131">
        <v>26</v>
      </c>
      <c r="AC603" s="130">
        <v>27</v>
      </c>
      <c r="AD603" s="131">
        <v>28</v>
      </c>
      <c r="AE603" s="130">
        <v>29</v>
      </c>
      <c r="AF603" s="131">
        <v>30</v>
      </c>
      <c r="AG603" s="130">
        <v>31</v>
      </c>
      <c r="AH603" s="131">
        <v>32</v>
      </c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</row>
    <row r="604" spans="1:57" x14ac:dyDescent="0.25">
      <c r="A604" s="21"/>
      <c r="B604" s="64"/>
      <c r="C604" s="62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</row>
    <row r="605" spans="1:57" x14ac:dyDescent="0.25">
      <c r="A605" s="21"/>
      <c r="B605" s="64"/>
      <c r="C605" s="62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</row>
    <row r="606" spans="1:57" x14ac:dyDescent="0.25">
      <c r="A606" s="21"/>
      <c r="B606" s="64"/>
      <c r="C606" s="62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</row>
    <row r="607" spans="1:57" x14ac:dyDescent="0.25">
      <c r="A607" s="114" t="s">
        <v>572</v>
      </c>
      <c r="B607" s="114"/>
      <c r="C607" s="114"/>
      <c r="D607" s="68">
        <v>1</v>
      </c>
      <c r="E607" s="68">
        <v>2</v>
      </c>
      <c r="F607" s="68">
        <v>3</v>
      </c>
      <c r="G607" s="68">
        <v>4</v>
      </c>
      <c r="H607" s="68">
        <v>5</v>
      </c>
      <c r="I607" s="68">
        <v>6</v>
      </c>
      <c r="J607" s="68">
        <v>7</v>
      </c>
      <c r="K607" s="68">
        <v>8</v>
      </c>
      <c r="L607" s="68">
        <v>9</v>
      </c>
      <c r="M607" s="68">
        <v>10</v>
      </c>
      <c r="N607" s="68">
        <v>11</v>
      </c>
      <c r="O607" s="68">
        <v>12</v>
      </c>
      <c r="P607" s="68">
        <v>13</v>
      </c>
      <c r="Q607" s="68">
        <v>14</v>
      </c>
      <c r="R607" s="68">
        <v>15</v>
      </c>
      <c r="S607" s="68">
        <v>16</v>
      </c>
      <c r="T607" s="68">
        <v>17</v>
      </c>
      <c r="U607" s="68">
        <v>18</v>
      </c>
      <c r="V607" s="68">
        <v>19</v>
      </c>
      <c r="W607" s="68">
        <v>20</v>
      </c>
      <c r="X607" s="68">
        <v>21</v>
      </c>
      <c r="Y607" s="68">
        <v>22</v>
      </c>
      <c r="Z607" s="68">
        <v>23</v>
      </c>
      <c r="AA607" s="68">
        <v>24</v>
      </c>
      <c r="AB607" s="68">
        <v>25</v>
      </c>
      <c r="AC607" s="68">
        <v>26</v>
      </c>
      <c r="AD607" s="68">
        <v>27</v>
      </c>
      <c r="AE607" s="68">
        <v>28</v>
      </c>
      <c r="AF607" s="68">
        <v>29</v>
      </c>
      <c r="AG607" s="68">
        <v>30</v>
      </c>
      <c r="AH607" s="68">
        <v>31</v>
      </c>
      <c r="AI607" s="68">
        <v>32</v>
      </c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</row>
    <row r="608" spans="1:57" x14ac:dyDescent="0.25">
      <c r="A608" s="64" t="s">
        <v>549</v>
      </c>
      <c r="B608" s="64"/>
      <c r="C608" s="62"/>
      <c r="D608" s="68">
        <f>C566</f>
        <v>1</v>
      </c>
      <c r="E608" s="68">
        <f t="shared" ref="E608" si="2051">D566</f>
        <v>1</v>
      </c>
      <c r="F608" s="68">
        <f t="shared" ref="F608" si="2052">E566</f>
        <v>0</v>
      </c>
      <c r="G608" s="68">
        <f t="shared" ref="G608" si="2053">F566</f>
        <v>1</v>
      </c>
      <c r="H608" s="68">
        <f t="shared" ref="H608" si="2054">G566</f>
        <v>0</v>
      </c>
      <c r="I608" s="68">
        <f t="shared" ref="I608" si="2055">H566</f>
        <v>0</v>
      </c>
      <c r="J608" s="68">
        <f t="shared" ref="J608" si="2056">I566</f>
        <v>1</v>
      </c>
      <c r="K608" s="68">
        <f t="shared" ref="K608" si="2057">J566</f>
        <v>1</v>
      </c>
      <c r="L608" s="68">
        <f t="shared" ref="L608" si="2058">K566</f>
        <v>1</v>
      </c>
      <c r="M608" s="68">
        <f t="shared" ref="M608" si="2059">L566</f>
        <v>0</v>
      </c>
      <c r="N608" s="68">
        <f t="shared" ref="N608" si="2060">M566</f>
        <v>0</v>
      </c>
      <c r="O608" s="68">
        <f t="shared" ref="O608" si="2061">N566</f>
        <v>0</v>
      </c>
      <c r="P608" s="68">
        <f t="shared" ref="P608" si="2062">O566</f>
        <v>1</v>
      </c>
      <c r="Q608" s="68">
        <f t="shared" ref="Q608" si="2063">P566</f>
        <v>1</v>
      </c>
      <c r="R608" s="68">
        <f t="shared" ref="R608" si="2064">Q566</f>
        <v>1</v>
      </c>
      <c r="S608" s="68">
        <f t="shared" ref="S608" si="2065">R566</f>
        <v>1</v>
      </c>
      <c r="T608" s="68">
        <f t="shared" ref="T608" si="2066">S566</f>
        <v>1</v>
      </c>
      <c r="U608" s="68">
        <f t="shared" ref="U608" si="2067">T566</f>
        <v>1</v>
      </c>
      <c r="V608" s="68">
        <f t="shared" ref="V608" si="2068">U566</f>
        <v>0</v>
      </c>
      <c r="W608" s="68">
        <f t="shared" ref="W608" si="2069">V566</f>
        <v>1</v>
      </c>
      <c r="X608" s="68">
        <f t="shared" ref="X608" si="2070">W566</f>
        <v>1</v>
      </c>
      <c r="Y608" s="68">
        <f t="shared" ref="Y608" si="2071">X566</f>
        <v>0</v>
      </c>
      <c r="Z608" s="68">
        <f t="shared" ref="Z608" si="2072">Y566</f>
        <v>0</v>
      </c>
      <c r="AA608" s="68">
        <f t="shared" ref="AA608" si="2073">Z566</f>
        <v>1</v>
      </c>
      <c r="AB608" s="68">
        <f t="shared" ref="AB608" si="2074">AA566</f>
        <v>0</v>
      </c>
      <c r="AC608" s="68">
        <f t="shared" ref="AC608" si="2075">AB566</f>
        <v>0</v>
      </c>
      <c r="AD608" s="68">
        <f t="shared" ref="AD608" si="2076">AC566</f>
        <v>0</v>
      </c>
      <c r="AE608" s="68">
        <f t="shared" ref="AE608" si="2077">AD566</f>
        <v>1</v>
      </c>
      <c r="AF608" s="68">
        <f t="shared" ref="AF608" si="2078">AE566</f>
        <v>1</v>
      </c>
      <c r="AG608" s="68">
        <f t="shared" ref="AG608" si="2079">AF566</f>
        <v>0</v>
      </c>
      <c r="AH608" s="68">
        <f t="shared" ref="AH608" si="2080">AG566</f>
        <v>1</v>
      </c>
      <c r="AI608" s="68">
        <f t="shared" ref="AI608" si="2081">AH566</f>
        <v>1</v>
      </c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</row>
    <row r="609" spans="1:57" x14ac:dyDescent="0.25">
      <c r="A609" s="21"/>
      <c r="B609" s="64"/>
      <c r="C609" s="62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</row>
    <row r="610" spans="1:57" x14ac:dyDescent="0.25">
      <c r="A610" s="114" t="s">
        <v>573</v>
      </c>
      <c r="B610" s="114"/>
      <c r="C610" s="114"/>
      <c r="D610" s="70">
        <v>1</v>
      </c>
      <c r="E610" s="70">
        <v>2</v>
      </c>
      <c r="F610" s="70">
        <v>3</v>
      </c>
      <c r="G610" s="70">
        <v>4</v>
      </c>
      <c r="H610" s="70">
        <v>5</v>
      </c>
      <c r="I610" s="70">
        <v>6</v>
      </c>
      <c r="J610" s="70">
        <v>7</v>
      </c>
      <c r="K610" s="70">
        <v>8</v>
      </c>
      <c r="L610" s="70">
        <v>9</v>
      </c>
      <c r="M610" s="70">
        <v>10</v>
      </c>
      <c r="N610" s="70">
        <v>11</v>
      </c>
      <c r="O610" s="70">
        <v>12</v>
      </c>
      <c r="P610" s="70">
        <v>13</v>
      </c>
      <c r="Q610" s="70">
        <v>14</v>
      </c>
      <c r="R610" s="70">
        <v>15</v>
      </c>
      <c r="S610" s="70">
        <v>16</v>
      </c>
      <c r="T610" s="70">
        <v>17</v>
      </c>
      <c r="U610" s="70">
        <v>18</v>
      </c>
      <c r="V610" s="70">
        <v>19</v>
      </c>
      <c r="W610" s="70">
        <v>20</v>
      </c>
      <c r="X610" s="70">
        <v>21</v>
      </c>
      <c r="Y610" s="70">
        <v>22</v>
      </c>
      <c r="Z610" s="70">
        <v>23</v>
      </c>
      <c r="AA610" s="70">
        <v>24</v>
      </c>
      <c r="AB610" s="70">
        <v>25</v>
      </c>
      <c r="AC610" s="70">
        <v>26</v>
      </c>
      <c r="AD610" s="70">
        <v>27</v>
      </c>
      <c r="AE610" s="70">
        <v>28</v>
      </c>
      <c r="AF610" s="70">
        <v>29</v>
      </c>
      <c r="AG610" s="70">
        <v>30</v>
      </c>
      <c r="AH610" s="70">
        <v>31</v>
      </c>
      <c r="AI610" s="70">
        <v>32</v>
      </c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</row>
    <row r="611" spans="1:57" x14ac:dyDescent="0.25">
      <c r="A611" s="64" t="s">
        <v>551</v>
      </c>
      <c r="B611" s="64"/>
      <c r="C611" s="62"/>
      <c r="D611" s="70">
        <f>--_xlfn.XOR(C602,D559)</f>
        <v>1</v>
      </c>
      <c r="E611" s="70">
        <f t="shared" ref="E611:AI611" si="2082">--_xlfn.XOR(D602,E559)</f>
        <v>0</v>
      </c>
      <c r="F611" s="70">
        <f t="shared" si="2082"/>
        <v>1</v>
      </c>
      <c r="G611" s="70">
        <f t="shared" si="2082"/>
        <v>1</v>
      </c>
      <c r="H611" s="70">
        <f t="shared" si="2082"/>
        <v>1</v>
      </c>
      <c r="I611" s="70">
        <f t="shared" si="2082"/>
        <v>1</v>
      </c>
      <c r="J611" s="70">
        <f t="shared" si="2082"/>
        <v>0</v>
      </c>
      <c r="K611" s="70">
        <f t="shared" si="2082"/>
        <v>0</v>
      </c>
      <c r="L611" s="70">
        <f t="shared" si="2082"/>
        <v>0</v>
      </c>
      <c r="M611" s="70">
        <f t="shared" si="2082"/>
        <v>1</v>
      </c>
      <c r="N611" s="70">
        <f t="shared" si="2082"/>
        <v>1</v>
      </c>
      <c r="O611" s="70">
        <f t="shared" si="2082"/>
        <v>1</v>
      </c>
      <c r="P611" s="70">
        <f t="shared" si="2082"/>
        <v>1</v>
      </c>
      <c r="Q611" s="70">
        <f t="shared" si="2082"/>
        <v>1</v>
      </c>
      <c r="R611" s="70">
        <f t="shared" si="2082"/>
        <v>1</v>
      </c>
      <c r="S611" s="70">
        <f t="shared" si="2082"/>
        <v>1</v>
      </c>
      <c r="T611" s="70">
        <f t="shared" si="2082"/>
        <v>1</v>
      </c>
      <c r="U611" s="70">
        <f t="shared" si="2082"/>
        <v>0</v>
      </c>
      <c r="V611" s="70">
        <f t="shared" si="2082"/>
        <v>0</v>
      </c>
      <c r="W611" s="70">
        <f t="shared" si="2082"/>
        <v>0</v>
      </c>
      <c r="X611" s="70">
        <f t="shared" si="2082"/>
        <v>1</v>
      </c>
      <c r="Y611" s="70">
        <f t="shared" si="2082"/>
        <v>0</v>
      </c>
      <c r="Z611" s="70">
        <f t="shared" si="2082"/>
        <v>0</v>
      </c>
      <c r="AA611" s="70">
        <f t="shared" si="2082"/>
        <v>1</v>
      </c>
      <c r="AB611" s="70">
        <f t="shared" si="2082"/>
        <v>1</v>
      </c>
      <c r="AC611" s="70">
        <f t="shared" si="2082"/>
        <v>1</v>
      </c>
      <c r="AD611" s="70">
        <f t="shared" si="2082"/>
        <v>0</v>
      </c>
      <c r="AE611" s="70">
        <f t="shared" si="2082"/>
        <v>1</v>
      </c>
      <c r="AF611" s="70">
        <f t="shared" si="2082"/>
        <v>1</v>
      </c>
      <c r="AG611" s="70">
        <f t="shared" si="2082"/>
        <v>0</v>
      </c>
      <c r="AH611" s="70">
        <f t="shared" si="2082"/>
        <v>0</v>
      </c>
      <c r="AI611" s="70">
        <f t="shared" si="2082"/>
        <v>0</v>
      </c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</row>
    <row r="612" spans="1:57" x14ac:dyDescent="0.25">
      <c r="A612" s="132" t="s">
        <v>642</v>
      </c>
      <c r="B612" s="64"/>
      <c r="C612" s="62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</row>
    <row r="613" spans="1:57" x14ac:dyDescent="0.25">
      <c r="A613" s="132"/>
      <c r="B613" s="133"/>
      <c r="C613" s="134"/>
      <c r="D613" s="132"/>
      <c r="E613" s="132"/>
      <c r="F613" s="132"/>
      <c r="G613" s="132"/>
      <c r="H613" s="132"/>
      <c r="I613" s="132"/>
      <c r="J613" s="132"/>
      <c r="K613" s="132"/>
      <c r="L613" s="132"/>
      <c r="M613" s="132"/>
      <c r="N613" s="132"/>
      <c r="O613" s="132"/>
      <c r="P613" s="132"/>
      <c r="Q613" s="132"/>
      <c r="R613" s="132"/>
      <c r="S613" s="132"/>
      <c r="T613" s="132"/>
      <c r="U613" s="132"/>
      <c r="V613" s="132"/>
      <c r="W613" s="132"/>
      <c r="X613" s="132"/>
      <c r="Y613" s="132"/>
      <c r="Z613" s="132"/>
      <c r="AA613" s="132"/>
      <c r="AB613" s="132"/>
      <c r="AC613" s="132"/>
      <c r="AD613" s="132"/>
      <c r="AE613" s="132"/>
      <c r="AF613" s="132"/>
      <c r="AG613" s="132"/>
      <c r="AH613" s="132"/>
      <c r="AI613" s="132"/>
      <c r="AJ613" s="132"/>
      <c r="AK613" s="132"/>
      <c r="AL613" s="132"/>
      <c r="AM613" s="132"/>
      <c r="AN613" s="132"/>
      <c r="AO613" s="132"/>
      <c r="AP613" s="132"/>
      <c r="AQ613" s="132"/>
      <c r="AR613" s="132"/>
      <c r="AS613" s="132"/>
      <c r="AT613" s="132"/>
      <c r="AU613" s="132"/>
      <c r="AV613" s="132"/>
      <c r="AW613" s="132"/>
      <c r="AX613" s="132"/>
      <c r="AY613" s="132"/>
      <c r="AZ613" s="132"/>
      <c r="BA613" s="132"/>
      <c r="BB613" s="132"/>
      <c r="BC613" s="132"/>
      <c r="BD613" s="132"/>
      <c r="BE613" s="132"/>
    </row>
    <row r="614" spans="1:57" x14ac:dyDescent="0.25">
      <c r="A614" s="21"/>
      <c r="B614" s="21"/>
      <c r="C614" s="70">
        <v>1</v>
      </c>
      <c r="D614" s="70">
        <v>2</v>
      </c>
      <c r="E614" s="70">
        <v>3</v>
      </c>
      <c r="F614" s="70">
        <v>4</v>
      </c>
      <c r="G614" s="70">
        <v>5</v>
      </c>
      <c r="H614" s="70">
        <v>6</v>
      </c>
      <c r="I614" s="70">
        <v>7</v>
      </c>
      <c r="J614" s="70">
        <v>8</v>
      </c>
      <c r="K614" s="70">
        <v>9</v>
      </c>
      <c r="L614" s="70">
        <v>10</v>
      </c>
      <c r="M614" s="70">
        <v>11</v>
      </c>
      <c r="N614" s="70">
        <v>12</v>
      </c>
      <c r="O614" s="70">
        <v>13</v>
      </c>
      <c r="P614" s="70">
        <v>14</v>
      </c>
      <c r="Q614" s="70">
        <v>15</v>
      </c>
      <c r="R614" s="70">
        <v>16</v>
      </c>
      <c r="S614" s="70">
        <v>17</v>
      </c>
      <c r="T614" s="70">
        <v>18</v>
      </c>
      <c r="U614" s="70">
        <v>19</v>
      </c>
      <c r="V614" s="70">
        <v>20</v>
      </c>
      <c r="W614" s="70">
        <v>21</v>
      </c>
      <c r="X614" s="70">
        <v>22</v>
      </c>
      <c r="Y614" s="70">
        <v>23</v>
      </c>
      <c r="Z614" s="70">
        <v>24</v>
      </c>
      <c r="AA614" s="70">
        <v>25</v>
      </c>
      <c r="AB614" s="70">
        <v>26</v>
      </c>
      <c r="AC614" s="70">
        <v>27</v>
      </c>
      <c r="AD614" s="70">
        <v>28</v>
      </c>
      <c r="AE614" s="70">
        <v>29</v>
      </c>
      <c r="AF614" s="70">
        <v>30</v>
      </c>
      <c r="AG614" s="70">
        <v>31</v>
      </c>
      <c r="AH614" s="70">
        <v>32</v>
      </c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</row>
    <row r="615" spans="1:57" x14ac:dyDescent="0.25">
      <c r="A615" s="114" t="s">
        <v>573</v>
      </c>
      <c r="B615" s="114"/>
      <c r="C615" s="70">
        <f>D611</f>
        <v>1</v>
      </c>
      <c r="D615" s="70">
        <f t="shared" ref="D615" si="2083">E611</f>
        <v>0</v>
      </c>
      <c r="E615" s="70">
        <f t="shared" ref="E615" si="2084">F611</f>
        <v>1</v>
      </c>
      <c r="F615" s="70">
        <f t="shared" ref="F615" si="2085">G611</f>
        <v>1</v>
      </c>
      <c r="G615" s="70">
        <f t="shared" ref="G615" si="2086">H611</f>
        <v>1</v>
      </c>
      <c r="H615" s="70">
        <f t="shared" ref="H615" si="2087">I611</f>
        <v>1</v>
      </c>
      <c r="I615" s="70">
        <f t="shared" ref="I615" si="2088">J611</f>
        <v>0</v>
      </c>
      <c r="J615" s="70">
        <f t="shared" ref="J615" si="2089">K611</f>
        <v>0</v>
      </c>
      <c r="K615" s="70">
        <f t="shared" ref="K615" si="2090">L611</f>
        <v>0</v>
      </c>
      <c r="L615" s="70">
        <f t="shared" ref="L615" si="2091">M611</f>
        <v>1</v>
      </c>
      <c r="M615" s="70">
        <f t="shared" ref="M615" si="2092">N611</f>
        <v>1</v>
      </c>
      <c r="N615" s="70">
        <f t="shared" ref="N615" si="2093">O611</f>
        <v>1</v>
      </c>
      <c r="O615" s="70">
        <f t="shared" ref="O615" si="2094">P611</f>
        <v>1</v>
      </c>
      <c r="P615" s="70">
        <f t="shared" ref="P615" si="2095">Q611</f>
        <v>1</v>
      </c>
      <c r="Q615" s="70">
        <f t="shared" ref="Q615" si="2096">R611</f>
        <v>1</v>
      </c>
      <c r="R615" s="70">
        <f t="shared" ref="R615" si="2097">S611</f>
        <v>1</v>
      </c>
      <c r="S615" s="70">
        <f t="shared" ref="S615" si="2098">T611</f>
        <v>1</v>
      </c>
      <c r="T615" s="70">
        <f t="shared" ref="T615" si="2099">U611</f>
        <v>0</v>
      </c>
      <c r="U615" s="70">
        <f t="shared" ref="U615" si="2100">V611</f>
        <v>0</v>
      </c>
      <c r="V615" s="70">
        <f t="shared" ref="V615" si="2101">W611</f>
        <v>0</v>
      </c>
      <c r="W615" s="70">
        <f t="shared" ref="W615" si="2102">X611</f>
        <v>1</v>
      </c>
      <c r="X615" s="70">
        <f t="shared" ref="X615" si="2103">Y611</f>
        <v>0</v>
      </c>
      <c r="Y615" s="70">
        <f t="shared" ref="Y615" si="2104">Z611</f>
        <v>0</v>
      </c>
      <c r="Z615" s="70">
        <f t="shared" ref="Z615" si="2105">AA611</f>
        <v>1</v>
      </c>
      <c r="AA615" s="70">
        <f t="shared" ref="AA615" si="2106">AB611</f>
        <v>1</v>
      </c>
      <c r="AB615" s="70">
        <f t="shared" ref="AB615" si="2107">AC611</f>
        <v>1</v>
      </c>
      <c r="AC615" s="70">
        <f t="shared" ref="AC615" si="2108">AD611</f>
        <v>0</v>
      </c>
      <c r="AD615" s="70">
        <f t="shared" ref="AD615" si="2109">AE611</f>
        <v>1</v>
      </c>
      <c r="AE615" s="70">
        <f t="shared" ref="AE615" si="2110">AF611</f>
        <v>1</v>
      </c>
      <c r="AF615" s="70">
        <f t="shared" ref="AF615" si="2111">AG611</f>
        <v>0</v>
      </c>
      <c r="AG615" s="70">
        <f t="shared" ref="AG615" si="2112">AH611</f>
        <v>0</v>
      </c>
      <c r="AH615" s="70">
        <f t="shared" ref="AH615" si="2113">AI611</f>
        <v>0</v>
      </c>
      <c r="AI615" s="135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</row>
    <row r="616" spans="1:57" x14ac:dyDescent="0.25">
      <c r="A616" s="21"/>
      <c r="B616" s="64"/>
      <c r="C616" s="62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21"/>
      <c r="BC616" s="21"/>
      <c r="BD616" s="21"/>
      <c r="BE616" s="21"/>
    </row>
    <row r="617" spans="1:57" x14ac:dyDescent="0.25">
      <c r="A617" s="132"/>
      <c r="B617" s="133"/>
      <c r="C617" s="134"/>
      <c r="D617" s="132"/>
      <c r="E617" s="132"/>
      <c r="F617" s="132"/>
      <c r="G617" s="132"/>
      <c r="H617" s="132"/>
      <c r="I617" s="132"/>
      <c r="J617" s="132"/>
      <c r="K617" s="132"/>
      <c r="L617" s="132"/>
      <c r="M617" s="132"/>
      <c r="N617" s="132"/>
      <c r="O617" s="132"/>
      <c r="P617" s="132"/>
      <c r="Q617" s="132"/>
      <c r="R617" s="132"/>
      <c r="S617" s="132"/>
      <c r="T617" s="132"/>
      <c r="U617" s="132"/>
      <c r="V617" s="132"/>
      <c r="W617" s="132"/>
      <c r="X617" s="132"/>
      <c r="Y617" s="132"/>
      <c r="Z617" s="132"/>
      <c r="AA617" s="132"/>
      <c r="AB617" s="132"/>
      <c r="AC617" s="132"/>
      <c r="AD617" s="132"/>
      <c r="AE617" s="132"/>
      <c r="AF617" s="132"/>
      <c r="AG617" s="132"/>
      <c r="AH617" s="132"/>
      <c r="AI617" s="132"/>
      <c r="AJ617" s="132"/>
      <c r="AK617" s="132"/>
      <c r="AL617" s="132"/>
      <c r="AM617" s="132"/>
      <c r="AN617" s="132"/>
      <c r="AO617" s="132"/>
      <c r="AP617" s="132"/>
      <c r="AQ617" s="132"/>
      <c r="AR617" s="132"/>
      <c r="AS617" s="132"/>
      <c r="AT617" s="132"/>
      <c r="AU617" s="132"/>
      <c r="AV617" s="132"/>
      <c r="AW617" s="132"/>
      <c r="AX617" s="132"/>
      <c r="AY617" s="132"/>
      <c r="AZ617" s="21"/>
      <c r="BA617" s="21"/>
      <c r="BB617" s="21"/>
      <c r="BC617" s="21"/>
      <c r="BD617" s="21"/>
      <c r="BE617" s="21"/>
    </row>
    <row r="618" spans="1:57" x14ac:dyDescent="0.25">
      <c r="A618" s="21"/>
      <c r="B618" s="64"/>
      <c r="C618" s="62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21"/>
      <c r="BC618" s="21"/>
      <c r="BD618" s="21"/>
      <c r="BE618" s="21"/>
    </row>
    <row r="619" spans="1:57" x14ac:dyDescent="0.25">
      <c r="A619" s="118" t="s">
        <v>532</v>
      </c>
      <c r="B619" s="118"/>
      <c r="C619" s="75">
        <v>32</v>
      </c>
      <c r="D619" s="74">
        <v>1</v>
      </c>
      <c r="E619" s="74">
        <v>2</v>
      </c>
      <c r="F619" s="74">
        <v>3</v>
      </c>
      <c r="G619" s="74">
        <v>4</v>
      </c>
      <c r="H619" s="73">
        <v>5</v>
      </c>
      <c r="I619" s="122"/>
      <c r="J619" s="118">
        <f>AH615</f>
        <v>0</v>
      </c>
      <c r="K619" s="118">
        <f>C615</f>
        <v>1</v>
      </c>
      <c r="L619" s="118">
        <f>D615</f>
        <v>0</v>
      </c>
      <c r="M619" s="118">
        <f>E615</f>
        <v>1</v>
      </c>
      <c r="N619" s="69">
        <f>F615</f>
        <v>1</v>
      </c>
      <c r="O619" s="119">
        <f>G615</f>
        <v>1</v>
      </c>
      <c r="P619" s="122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21"/>
      <c r="BC619" s="21"/>
      <c r="BD619" s="21"/>
      <c r="BE619" s="21"/>
    </row>
    <row r="620" spans="1:57" x14ac:dyDescent="0.25">
      <c r="A620" s="21"/>
      <c r="B620" s="64"/>
      <c r="C620" s="75">
        <v>4</v>
      </c>
      <c r="D620" s="74">
        <v>5</v>
      </c>
      <c r="E620" s="74">
        <v>6</v>
      </c>
      <c r="F620" s="74">
        <v>7</v>
      </c>
      <c r="G620" s="74">
        <v>8</v>
      </c>
      <c r="H620" s="73">
        <v>9</v>
      </c>
      <c r="I620" s="122"/>
      <c r="J620" s="118">
        <f t="shared" ref="J620" si="2114">F615</f>
        <v>1</v>
      </c>
      <c r="K620" s="69">
        <f t="shared" ref="K620" si="2115">G615</f>
        <v>1</v>
      </c>
      <c r="L620" s="69">
        <f t="shared" ref="L620" si="2116">H615</f>
        <v>1</v>
      </c>
      <c r="M620" s="69">
        <f t="shared" ref="M620" si="2117">I615</f>
        <v>0</v>
      </c>
      <c r="N620" s="69">
        <f t="shared" ref="N620" si="2118">J615</f>
        <v>0</v>
      </c>
      <c r="O620" s="119">
        <f t="shared" ref="O620" si="2119">K615</f>
        <v>0</v>
      </c>
      <c r="P620" s="122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21"/>
      <c r="BC620" s="21"/>
      <c r="BD620" s="21"/>
      <c r="BE620" s="21"/>
    </row>
    <row r="621" spans="1:57" x14ac:dyDescent="0.25">
      <c r="A621" s="21"/>
      <c r="B621" s="64"/>
      <c r="C621" s="75">
        <v>8</v>
      </c>
      <c r="D621" s="74">
        <v>9</v>
      </c>
      <c r="E621" s="74">
        <v>10</v>
      </c>
      <c r="F621" s="74">
        <v>11</v>
      </c>
      <c r="G621" s="74">
        <v>12</v>
      </c>
      <c r="H621" s="73">
        <v>13</v>
      </c>
      <c r="I621" s="123"/>
      <c r="J621" s="120">
        <f t="shared" ref="J621:O621" si="2120">J615</f>
        <v>0</v>
      </c>
      <c r="K621" s="69">
        <f t="shared" si="2120"/>
        <v>0</v>
      </c>
      <c r="L621" s="69">
        <f t="shared" si="2120"/>
        <v>1</v>
      </c>
      <c r="M621" s="69">
        <f t="shared" si="2120"/>
        <v>1</v>
      </c>
      <c r="N621" s="69">
        <f t="shared" si="2120"/>
        <v>1</v>
      </c>
      <c r="O621" s="119">
        <f t="shared" si="2120"/>
        <v>1</v>
      </c>
      <c r="P621" s="123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21"/>
      <c r="BC621" s="21"/>
      <c r="BD621" s="21"/>
      <c r="BE621" s="21"/>
    </row>
    <row r="622" spans="1:57" x14ac:dyDescent="0.25">
      <c r="A622" s="21"/>
      <c r="B622" s="64"/>
      <c r="C622" s="75">
        <v>12</v>
      </c>
      <c r="D622" s="74">
        <v>13</v>
      </c>
      <c r="E622" s="74">
        <v>14</v>
      </c>
      <c r="F622" s="74">
        <v>15</v>
      </c>
      <c r="G622" s="74">
        <v>16</v>
      </c>
      <c r="H622" s="73">
        <v>17</v>
      </c>
      <c r="I622" s="122"/>
      <c r="J622" s="118">
        <f t="shared" ref="J622" si="2121">N615</f>
        <v>1</v>
      </c>
      <c r="K622" s="69">
        <f t="shared" ref="K622" si="2122">O615</f>
        <v>1</v>
      </c>
      <c r="L622" s="69">
        <f t="shared" ref="L622" si="2123">P615</f>
        <v>1</v>
      </c>
      <c r="M622" s="69">
        <f t="shared" ref="M622" si="2124">Q615</f>
        <v>1</v>
      </c>
      <c r="N622" s="69">
        <f t="shared" ref="N622" si="2125">R615</f>
        <v>1</v>
      </c>
      <c r="O622" s="119">
        <f t="shared" ref="O622" si="2126">S615</f>
        <v>1</v>
      </c>
      <c r="P622" s="122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21"/>
      <c r="BC622" s="21"/>
      <c r="BD622" s="21"/>
      <c r="BE622" s="21"/>
    </row>
    <row r="623" spans="1:57" x14ac:dyDescent="0.25">
      <c r="A623" s="21"/>
      <c r="B623" s="64"/>
      <c r="C623" s="75">
        <v>16</v>
      </c>
      <c r="D623" s="74">
        <v>17</v>
      </c>
      <c r="E623" s="74">
        <v>18</v>
      </c>
      <c r="F623" s="74">
        <v>19</v>
      </c>
      <c r="G623" s="74">
        <v>20</v>
      </c>
      <c r="H623" s="73">
        <v>21</v>
      </c>
      <c r="I623" s="122"/>
      <c r="J623" s="118">
        <f t="shared" ref="J623" si="2127">R615</f>
        <v>1</v>
      </c>
      <c r="K623" s="69">
        <f t="shared" ref="K623" si="2128">S615</f>
        <v>1</v>
      </c>
      <c r="L623" s="69">
        <f t="shared" ref="L623" si="2129">T615</f>
        <v>0</v>
      </c>
      <c r="M623" s="69">
        <f t="shared" ref="M623" si="2130">U615</f>
        <v>0</v>
      </c>
      <c r="N623" s="69">
        <f t="shared" ref="N623" si="2131">V615</f>
        <v>0</v>
      </c>
      <c r="O623" s="119">
        <f t="shared" ref="O623" si="2132">W615</f>
        <v>1</v>
      </c>
      <c r="P623" s="122"/>
      <c r="Q623" s="21"/>
      <c r="R623" s="21"/>
      <c r="S623" s="21"/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21"/>
      <c r="BC623" s="21"/>
      <c r="BD623" s="21"/>
      <c r="BE623" s="21"/>
    </row>
    <row r="624" spans="1:57" x14ac:dyDescent="0.25">
      <c r="A624" s="21"/>
      <c r="B624" s="64"/>
      <c r="C624" s="75">
        <v>20</v>
      </c>
      <c r="D624" s="74">
        <v>21</v>
      </c>
      <c r="E624" s="74">
        <v>22</v>
      </c>
      <c r="F624" s="74">
        <v>23</v>
      </c>
      <c r="G624" s="74">
        <v>24</v>
      </c>
      <c r="H624" s="73">
        <v>25</v>
      </c>
      <c r="I624" s="122"/>
      <c r="J624" s="118">
        <f t="shared" ref="J624" si="2133">V615</f>
        <v>0</v>
      </c>
      <c r="K624" s="69">
        <f t="shared" ref="K624" si="2134">W615</f>
        <v>1</v>
      </c>
      <c r="L624" s="69">
        <f t="shared" ref="L624" si="2135">X615</f>
        <v>0</v>
      </c>
      <c r="M624" s="69">
        <f t="shared" ref="M624" si="2136">Y615</f>
        <v>0</v>
      </c>
      <c r="N624" s="69">
        <f t="shared" ref="N624" si="2137">Z615</f>
        <v>1</v>
      </c>
      <c r="O624" s="119">
        <f t="shared" ref="O624" si="2138">AA615</f>
        <v>1</v>
      </c>
      <c r="P624" s="122"/>
      <c r="Q624" s="21"/>
      <c r="R624" s="21"/>
      <c r="S624" s="21"/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21"/>
      <c r="BC624" s="21"/>
      <c r="BD624" s="21"/>
      <c r="BE624" s="21"/>
    </row>
    <row r="625" spans="1:57" x14ac:dyDescent="0.25">
      <c r="A625" s="21"/>
      <c r="B625" s="64"/>
      <c r="C625" s="75">
        <v>24</v>
      </c>
      <c r="D625" s="74">
        <v>25</v>
      </c>
      <c r="E625" s="74">
        <v>26</v>
      </c>
      <c r="F625" s="74">
        <v>27</v>
      </c>
      <c r="G625" s="74">
        <v>28</v>
      </c>
      <c r="H625" s="73">
        <v>29</v>
      </c>
      <c r="I625" s="122"/>
      <c r="J625" s="118">
        <f t="shared" ref="J625" si="2139">Z615</f>
        <v>1</v>
      </c>
      <c r="K625" s="69">
        <f t="shared" ref="K625" si="2140">AA615</f>
        <v>1</v>
      </c>
      <c r="L625" s="69">
        <f t="shared" ref="L625" si="2141">AB615</f>
        <v>1</v>
      </c>
      <c r="M625" s="69">
        <f t="shared" ref="M625" si="2142">AC615</f>
        <v>0</v>
      </c>
      <c r="N625" s="69">
        <f t="shared" ref="N625" si="2143">AD615</f>
        <v>1</v>
      </c>
      <c r="O625" s="119">
        <f t="shared" ref="O625" si="2144">AE615</f>
        <v>1</v>
      </c>
      <c r="P625" s="122"/>
      <c r="Q625" s="21"/>
      <c r="R625" s="21"/>
      <c r="S625" s="21"/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21"/>
      <c r="BC625" s="21"/>
      <c r="BD625" s="21"/>
      <c r="BE625" s="21"/>
    </row>
    <row r="626" spans="1:57" x14ac:dyDescent="0.25">
      <c r="A626" s="21"/>
      <c r="B626" s="64"/>
      <c r="C626" s="75">
        <v>28</v>
      </c>
      <c r="D626" s="74">
        <v>29</v>
      </c>
      <c r="E626" s="74">
        <v>30</v>
      </c>
      <c r="F626" s="74">
        <v>31</v>
      </c>
      <c r="G626" s="74">
        <v>32</v>
      </c>
      <c r="H626" s="73">
        <v>1</v>
      </c>
      <c r="I626" s="122"/>
      <c r="J626" s="70">
        <f>AD615</f>
        <v>1</v>
      </c>
      <c r="K626" s="71">
        <f>AE615</f>
        <v>1</v>
      </c>
      <c r="L626" s="71">
        <f>AF615</f>
        <v>0</v>
      </c>
      <c r="M626" s="71">
        <f>AG615</f>
        <v>0</v>
      </c>
      <c r="N626" s="71">
        <f>AH615</f>
        <v>0</v>
      </c>
      <c r="O626" s="121">
        <f>C615</f>
        <v>1</v>
      </c>
      <c r="P626" s="122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21"/>
      <c r="BC626" s="21"/>
      <c r="BD626" s="21"/>
      <c r="BE626" s="21"/>
    </row>
    <row r="627" spans="1:57" x14ac:dyDescent="0.25">
      <c r="A627" s="21"/>
      <c r="B627" s="64"/>
      <c r="C627" s="62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21"/>
      <c r="BC627" s="21"/>
      <c r="BD627" s="21"/>
      <c r="BE627" s="21"/>
    </row>
    <row r="628" spans="1:57" x14ac:dyDescent="0.25">
      <c r="A628" s="21"/>
      <c r="B628" s="64"/>
      <c r="C628" s="62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21"/>
      <c r="BC628" s="21"/>
      <c r="BD628" s="21"/>
      <c r="BE628" s="21"/>
    </row>
    <row r="629" spans="1:57" x14ac:dyDescent="0.25">
      <c r="A629" s="124" t="s">
        <v>533</v>
      </c>
      <c r="B629" s="124"/>
      <c r="C629" s="125">
        <v>1</v>
      </c>
      <c r="D629" s="126">
        <v>2</v>
      </c>
      <c r="E629" s="125">
        <v>3</v>
      </c>
      <c r="F629" s="126">
        <v>4</v>
      </c>
      <c r="G629" s="125">
        <v>5</v>
      </c>
      <c r="H629" s="126">
        <v>6</v>
      </c>
      <c r="I629" s="125">
        <v>7</v>
      </c>
      <c r="J629" s="126">
        <v>8</v>
      </c>
      <c r="K629" s="125">
        <v>9</v>
      </c>
      <c r="L629" s="126">
        <v>10</v>
      </c>
      <c r="M629" s="125">
        <v>11</v>
      </c>
      <c r="N629" s="126">
        <v>12</v>
      </c>
      <c r="O629" s="125">
        <v>13</v>
      </c>
      <c r="P629" s="126">
        <v>14</v>
      </c>
      <c r="Q629" s="125">
        <v>15</v>
      </c>
      <c r="R629" s="126">
        <v>16</v>
      </c>
      <c r="S629" s="125">
        <v>17</v>
      </c>
      <c r="T629" s="126">
        <v>18</v>
      </c>
      <c r="U629" s="125">
        <v>19</v>
      </c>
      <c r="V629" s="126">
        <v>20</v>
      </c>
      <c r="W629" s="125">
        <v>21</v>
      </c>
      <c r="X629" s="126">
        <v>22</v>
      </c>
      <c r="Y629" s="125">
        <v>23</v>
      </c>
      <c r="Z629" s="126">
        <v>24</v>
      </c>
      <c r="AA629" s="125">
        <v>25</v>
      </c>
      <c r="AB629" s="126">
        <v>26</v>
      </c>
      <c r="AC629" s="125">
        <v>27</v>
      </c>
      <c r="AD629" s="126">
        <v>28</v>
      </c>
      <c r="AE629" s="125">
        <v>29</v>
      </c>
      <c r="AF629" s="126">
        <v>30</v>
      </c>
      <c r="AG629" s="125">
        <v>31</v>
      </c>
      <c r="AH629" s="126">
        <v>32</v>
      </c>
      <c r="AI629" s="125">
        <v>33</v>
      </c>
      <c r="AJ629" s="126">
        <v>34</v>
      </c>
      <c r="AK629" s="125">
        <v>35</v>
      </c>
      <c r="AL629" s="126">
        <v>36</v>
      </c>
      <c r="AM629" s="125">
        <v>37</v>
      </c>
      <c r="AN629" s="126">
        <v>38</v>
      </c>
      <c r="AO629" s="125">
        <v>39</v>
      </c>
      <c r="AP629" s="126">
        <v>40</v>
      </c>
      <c r="AQ629" s="125">
        <v>41</v>
      </c>
      <c r="AR629" s="126">
        <v>42</v>
      </c>
      <c r="AS629" s="125">
        <v>43</v>
      </c>
      <c r="AT629" s="126">
        <v>44</v>
      </c>
      <c r="AU629" s="125">
        <v>45</v>
      </c>
      <c r="AV629" s="126">
        <v>46</v>
      </c>
      <c r="AW629" s="125">
        <v>47</v>
      </c>
      <c r="AX629" s="126">
        <v>48</v>
      </c>
      <c r="AY629" s="21"/>
      <c r="AZ629" s="21"/>
      <c r="BA629" s="21"/>
      <c r="BB629" s="21"/>
      <c r="BC629" s="21"/>
      <c r="BD629" s="21"/>
      <c r="BE629" s="21"/>
    </row>
    <row r="630" spans="1:57" x14ac:dyDescent="0.25">
      <c r="A630" s="21"/>
      <c r="B630" s="64"/>
      <c r="C630" s="125">
        <f t="shared" ref="C630" si="2145">J619</f>
        <v>0</v>
      </c>
      <c r="D630" s="125">
        <f t="shared" ref="D630" si="2146">K619</f>
        <v>1</v>
      </c>
      <c r="E630" s="125">
        <f t="shared" ref="E630" si="2147">L619</f>
        <v>0</v>
      </c>
      <c r="F630" s="125">
        <f t="shared" ref="F630" si="2148">M619</f>
        <v>1</v>
      </c>
      <c r="G630" s="126">
        <f t="shared" ref="G630" si="2149">N619</f>
        <v>1</v>
      </c>
      <c r="H630" s="126">
        <f t="shared" ref="H630" si="2150">O619</f>
        <v>1</v>
      </c>
      <c r="I630" s="125">
        <f t="shared" ref="I630" si="2151">J620</f>
        <v>1</v>
      </c>
      <c r="J630" s="125">
        <f t="shared" ref="J630" si="2152">K620</f>
        <v>1</v>
      </c>
      <c r="K630" s="125">
        <f t="shared" ref="K630" si="2153">L620</f>
        <v>1</v>
      </c>
      <c r="L630" s="125">
        <f t="shared" ref="L630" si="2154">M620</f>
        <v>0</v>
      </c>
      <c r="M630" s="125">
        <f t="shared" ref="M630" si="2155">N620</f>
        <v>0</v>
      </c>
      <c r="N630" s="125">
        <f t="shared" ref="N630" si="2156">O620</f>
        <v>0</v>
      </c>
      <c r="O630" s="126">
        <f t="shared" ref="O630" si="2157">J621</f>
        <v>0</v>
      </c>
      <c r="P630" s="126">
        <f t="shared" ref="P630" si="2158">K621</f>
        <v>0</v>
      </c>
      <c r="Q630" s="126">
        <f t="shared" ref="Q630" si="2159">L621</f>
        <v>1</v>
      </c>
      <c r="R630" s="126">
        <f t="shared" ref="R630" si="2160">M621</f>
        <v>1</v>
      </c>
      <c r="S630" s="126">
        <f t="shared" ref="S630" si="2161">N621</f>
        <v>1</v>
      </c>
      <c r="T630" s="126">
        <f t="shared" ref="T630" si="2162">O621</f>
        <v>1</v>
      </c>
      <c r="U630" s="125">
        <f t="shared" ref="U630" si="2163">J622</f>
        <v>1</v>
      </c>
      <c r="V630" s="126">
        <f t="shared" ref="V630" si="2164">K622</f>
        <v>1</v>
      </c>
      <c r="W630" s="125">
        <f t="shared" ref="W630" si="2165">L622</f>
        <v>1</v>
      </c>
      <c r="X630" s="126">
        <f t="shared" ref="X630" si="2166">M622</f>
        <v>1</v>
      </c>
      <c r="Y630" s="125">
        <f t="shared" ref="Y630" si="2167">N622</f>
        <v>1</v>
      </c>
      <c r="Z630" s="126">
        <f t="shared" ref="Z630" si="2168">O622</f>
        <v>1</v>
      </c>
      <c r="AA630" s="125">
        <f t="shared" ref="AA630" si="2169">J623</f>
        <v>1</v>
      </c>
      <c r="AB630" s="126">
        <f t="shared" ref="AB630" si="2170">K623</f>
        <v>1</v>
      </c>
      <c r="AC630" s="125">
        <f>L623</f>
        <v>0</v>
      </c>
      <c r="AD630" s="126">
        <f t="shared" ref="AD630" si="2171">M623</f>
        <v>0</v>
      </c>
      <c r="AE630" s="125">
        <f t="shared" ref="AE630" si="2172">N623</f>
        <v>0</v>
      </c>
      <c r="AF630" s="126">
        <f t="shared" ref="AF630" si="2173">O623</f>
        <v>1</v>
      </c>
      <c r="AG630" s="125">
        <f t="shared" ref="AG630" si="2174">J624</f>
        <v>0</v>
      </c>
      <c r="AH630" s="126">
        <f t="shared" ref="AH630" si="2175">K624</f>
        <v>1</v>
      </c>
      <c r="AI630" s="125">
        <f t="shared" ref="AI630" si="2176">L624</f>
        <v>0</v>
      </c>
      <c r="AJ630" s="126">
        <f t="shared" ref="AJ630" si="2177">M624</f>
        <v>0</v>
      </c>
      <c r="AK630" s="125">
        <f t="shared" ref="AK630" si="2178">N624</f>
        <v>1</v>
      </c>
      <c r="AL630" s="126">
        <f t="shared" ref="AL630" si="2179">O624</f>
        <v>1</v>
      </c>
      <c r="AM630" s="125">
        <f t="shared" ref="AM630" si="2180">J625</f>
        <v>1</v>
      </c>
      <c r="AN630" s="126">
        <f t="shared" ref="AN630" si="2181">K625</f>
        <v>1</v>
      </c>
      <c r="AO630" s="125">
        <f t="shared" ref="AO630" si="2182">L625</f>
        <v>1</v>
      </c>
      <c r="AP630" s="126">
        <f t="shared" ref="AP630" si="2183">M625</f>
        <v>0</v>
      </c>
      <c r="AQ630" s="125">
        <f t="shared" ref="AQ630" si="2184">N625</f>
        <v>1</v>
      </c>
      <c r="AR630" s="126">
        <f t="shared" ref="AR630" si="2185">O625</f>
        <v>1</v>
      </c>
      <c r="AS630" s="125">
        <f t="shared" ref="AS630" si="2186">J626</f>
        <v>1</v>
      </c>
      <c r="AT630" s="126">
        <f t="shared" ref="AT630" si="2187">K626</f>
        <v>1</v>
      </c>
      <c r="AU630" s="125">
        <f t="shared" ref="AU630" si="2188">L626</f>
        <v>0</v>
      </c>
      <c r="AV630" s="126">
        <f t="shared" ref="AV630" si="2189">M626</f>
        <v>0</v>
      </c>
      <c r="AW630" s="125">
        <f t="shared" ref="AW630" si="2190">N626</f>
        <v>0</v>
      </c>
      <c r="AX630" s="126">
        <f t="shared" ref="AX630" si="2191">O626</f>
        <v>1</v>
      </c>
      <c r="AY630" s="21"/>
      <c r="AZ630" s="21"/>
      <c r="BA630" s="21"/>
      <c r="BB630" s="21"/>
      <c r="BC630" s="21"/>
      <c r="BD630" s="21"/>
      <c r="BE630" s="21"/>
    </row>
    <row r="631" spans="1:57" x14ac:dyDescent="0.25">
      <c r="A631" s="21"/>
      <c r="B631" s="64"/>
      <c r="C631" s="62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21"/>
      <c r="BC631" s="21"/>
      <c r="BD631" s="21"/>
      <c r="BE631" s="21"/>
    </row>
    <row r="632" spans="1:57" x14ac:dyDescent="0.25">
      <c r="A632" s="21"/>
      <c r="B632" s="64"/>
      <c r="C632" s="62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21"/>
      <c r="BC632" s="21"/>
      <c r="BD632" s="21"/>
      <c r="BE632" s="21"/>
    </row>
    <row r="633" spans="1:57" x14ac:dyDescent="0.25">
      <c r="A633" s="127" t="s">
        <v>597</v>
      </c>
      <c r="B633" s="127"/>
      <c r="C633" s="77">
        <f>'Key Generator'!D169</f>
        <v>1</v>
      </c>
      <c r="D633" s="77">
        <f>'Key Generator'!E169</f>
        <v>2</v>
      </c>
      <c r="E633" s="77">
        <f>'Key Generator'!F169</f>
        <v>3</v>
      </c>
      <c r="F633" s="77">
        <f>'Key Generator'!G169</f>
        <v>4</v>
      </c>
      <c r="G633" s="77">
        <f>'Key Generator'!H169</f>
        <v>5</v>
      </c>
      <c r="H633" s="77">
        <f>'Key Generator'!I169</f>
        <v>6</v>
      </c>
      <c r="I633" s="77">
        <f>'Key Generator'!J169</f>
        <v>7</v>
      </c>
      <c r="J633" s="77">
        <f>'Key Generator'!K169</f>
        <v>8</v>
      </c>
      <c r="K633" s="77">
        <f>'Key Generator'!L169</f>
        <v>9</v>
      </c>
      <c r="L633" s="77">
        <f>'Key Generator'!M169</f>
        <v>10</v>
      </c>
      <c r="M633" s="77">
        <f>'Key Generator'!N169</f>
        <v>11</v>
      </c>
      <c r="N633" s="77">
        <f>'Key Generator'!O169</f>
        <v>12</v>
      </c>
      <c r="O633" s="77">
        <f>'Key Generator'!P169</f>
        <v>13</v>
      </c>
      <c r="P633" s="77">
        <f>'Key Generator'!Q169</f>
        <v>14</v>
      </c>
      <c r="Q633" s="77">
        <f>'Key Generator'!R169</f>
        <v>15</v>
      </c>
      <c r="R633" s="77">
        <f>'Key Generator'!S169</f>
        <v>16</v>
      </c>
      <c r="S633" s="77">
        <f>'Key Generator'!T169</f>
        <v>17</v>
      </c>
      <c r="T633" s="77">
        <f>'Key Generator'!U169</f>
        <v>18</v>
      </c>
      <c r="U633" s="77">
        <f>'Key Generator'!V169</f>
        <v>19</v>
      </c>
      <c r="V633" s="77">
        <f>'Key Generator'!W169</f>
        <v>20</v>
      </c>
      <c r="W633" s="77">
        <f>'Key Generator'!X169</f>
        <v>21</v>
      </c>
      <c r="X633" s="77">
        <f>'Key Generator'!Y169</f>
        <v>22</v>
      </c>
      <c r="Y633" s="77">
        <f>'Key Generator'!Z169</f>
        <v>23</v>
      </c>
      <c r="Z633" s="77">
        <f>'Key Generator'!AA169</f>
        <v>24</v>
      </c>
      <c r="AA633" s="77">
        <f>'Key Generator'!AB169</f>
        <v>25</v>
      </c>
      <c r="AB633" s="77">
        <f>'Key Generator'!AC169</f>
        <v>26</v>
      </c>
      <c r="AC633" s="77">
        <f>'Key Generator'!AD169</f>
        <v>27</v>
      </c>
      <c r="AD633" s="77">
        <f>'Key Generator'!AE169</f>
        <v>28</v>
      </c>
      <c r="AE633" s="77">
        <f>'Key Generator'!AF169</f>
        <v>29</v>
      </c>
      <c r="AF633" s="77">
        <f>'Key Generator'!AG169</f>
        <v>30</v>
      </c>
      <c r="AG633" s="77">
        <f>'Key Generator'!AH169</f>
        <v>31</v>
      </c>
      <c r="AH633" s="77">
        <f>'Key Generator'!AI169</f>
        <v>32</v>
      </c>
      <c r="AI633" s="77">
        <f>'Key Generator'!AJ169</f>
        <v>33</v>
      </c>
      <c r="AJ633" s="77">
        <f>'Key Generator'!AK169</f>
        <v>34</v>
      </c>
      <c r="AK633" s="77">
        <f>'Key Generator'!AL169</f>
        <v>35</v>
      </c>
      <c r="AL633" s="77">
        <f>'Key Generator'!AM169</f>
        <v>36</v>
      </c>
      <c r="AM633" s="77">
        <f>'Key Generator'!AN169</f>
        <v>37</v>
      </c>
      <c r="AN633" s="77">
        <f>'Key Generator'!AO169</f>
        <v>38</v>
      </c>
      <c r="AO633" s="77">
        <f>'Key Generator'!AP169</f>
        <v>39</v>
      </c>
      <c r="AP633" s="77">
        <f>'Key Generator'!AQ169</f>
        <v>40</v>
      </c>
      <c r="AQ633" s="77">
        <f>'Key Generator'!AR169</f>
        <v>41</v>
      </c>
      <c r="AR633" s="77">
        <f>'Key Generator'!AS169</f>
        <v>42</v>
      </c>
      <c r="AS633" s="77">
        <f>'Key Generator'!AT169</f>
        <v>43</v>
      </c>
      <c r="AT633" s="77">
        <f>'Key Generator'!AU169</f>
        <v>44</v>
      </c>
      <c r="AU633" s="77">
        <f>'Key Generator'!AV169</f>
        <v>45</v>
      </c>
      <c r="AV633" s="77">
        <f>'Key Generator'!AW169</f>
        <v>46</v>
      </c>
      <c r="AW633" s="77">
        <f>'Key Generator'!AX169</f>
        <v>47</v>
      </c>
      <c r="AX633" s="77">
        <f>'Key Generator'!AY169</f>
        <v>48</v>
      </c>
      <c r="AY633" s="21"/>
      <c r="AZ633" s="21"/>
      <c r="BA633" s="21"/>
      <c r="BB633" s="21"/>
      <c r="BC633" s="21"/>
      <c r="BD633" s="21"/>
      <c r="BE633" s="21"/>
    </row>
    <row r="634" spans="1:57" x14ac:dyDescent="0.25">
      <c r="A634" s="21"/>
      <c r="B634" s="64"/>
      <c r="C634" s="77">
        <f>'Key Generator'!D170</f>
        <v>1</v>
      </c>
      <c r="D634" s="77">
        <f>'Key Generator'!E170</f>
        <v>1</v>
      </c>
      <c r="E634" s="77">
        <f>'Key Generator'!F170</f>
        <v>0</v>
      </c>
      <c r="F634" s="77">
        <f>'Key Generator'!G170</f>
        <v>1</v>
      </c>
      <c r="G634" s="77">
        <f>'Key Generator'!H170</f>
        <v>0</v>
      </c>
      <c r="H634" s="77">
        <f>'Key Generator'!I170</f>
        <v>0</v>
      </c>
      <c r="I634" s="77">
        <f>'Key Generator'!J170</f>
        <v>0</v>
      </c>
      <c r="J634" s="77">
        <f>'Key Generator'!K170</f>
        <v>0</v>
      </c>
      <c r="K634" s="77">
        <f>'Key Generator'!L170</f>
        <v>0</v>
      </c>
      <c r="L634" s="77">
        <f>'Key Generator'!M170</f>
        <v>1</v>
      </c>
      <c r="M634" s="77">
        <f>'Key Generator'!N170</f>
        <v>1</v>
      </c>
      <c r="N634" s="77">
        <f>'Key Generator'!O170</f>
        <v>0</v>
      </c>
      <c r="O634" s="77">
        <f>'Key Generator'!P170</f>
        <v>1</v>
      </c>
      <c r="P634" s="77">
        <f>'Key Generator'!Q170</f>
        <v>1</v>
      </c>
      <c r="Q634" s="77">
        <f>'Key Generator'!R170</f>
        <v>0</v>
      </c>
      <c r="R634" s="77">
        <f>'Key Generator'!S170</f>
        <v>0</v>
      </c>
      <c r="S634" s="77">
        <f>'Key Generator'!T170</f>
        <v>1</v>
      </c>
      <c r="T634" s="77">
        <f>'Key Generator'!U170</f>
        <v>0</v>
      </c>
      <c r="U634" s="77">
        <f>'Key Generator'!V170</f>
        <v>0</v>
      </c>
      <c r="V634" s="77">
        <f>'Key Generator'!W170</f>
        <v>0</v>
      </c>
      <c r="W634" s="77">
        <f>'Key Generator'!X170</f>
        <v>0</v>
      </c>
      <c r="X634" s="77">
        <f>'Key Generator'!Y170</f>
        <v>1</v>
      </c>
      <c r="Y634" s="77">
        <f>'Key Generator'!Z170</f>
        <v>0</v>
      </c>
      <c r="Z634" s="77">
        <f>'Key Generator'!AA170</f>
        <v>0</v>
      </c>
      <c r="AA634" s="77">
        <f>'Key Generator'!AB170</f>
        <v>1</v>
      </c>
      <c r="AB634" s="77">
        <f>'Key Generator'!AC170</f>
        <v>1</v>
      </c>
      <c r="AC634" s="77">
        <f>'Key Generator'!AD170</f>
        <v>1</v>
      </c>
      <c r="AD634" s="77">
        <f>'Key Generator'!AE170</f>
        <v>0</v>
      </c>
      <c r="AE634" s="77">
        <f>'Key Generator'!AF170</f>
        <v>0</v>
      </c>
      <c r="AF634" s="77">
        <f>'Key Generator'!AG170</f>
        <v>0</v>
      </c>
      <c r="AG634" s="77">
        <f>'Key Generator'!AH170</f>
        <v>1</v>
      </c>
      <c r="AH634" s="77">
        <f>'Key Generator'!AI170</f>
        <v>1</v>
      </c>
      <c r="AI634" s="77">
        <f>'Key Generator'!AJ170</f>
        <v>1</v>
      </c>
      <c r="AJ634" s="77">
        <f>'Key Generator'!AK170</f>
        <v>0</v>
      </c>
      <c r="AK634" s="77">
        <f>'Key Generator'!AL170</f>
        <v>0</v>
      </c>
      <c r="AL634" s="77">
        <f>'Key Generator'!AM170</f>
        <v>1</v>
      </c>
      <c r="AM634" s="77">
        <f>'Key Generator'!AN170</f>
        <v>1</v>
      </c>
      <c r="AN634" s="77">
        <f>'Key Generator'!AO170</f>
        <v>0</v>
      </c>
      <c r="AO634" s="77">
        <f>'Key Generator'!AP170</f>
        <v>0</v>
      </c>
      <c r="AP634" s="77">
        <f>'Key Generator'!AQ170</f>
        <v>0</v>
      </c>
      <c r="AQ634" s="77">
        <f>'Key Generator'!AR170</f>
        <v>0</v>
      </c>
      <c r="AR634" s="77">
        <f>'Key Generator'!AS170</f>
        <v>0</v>
      </c>
      <c r="AS634" s="77">
        <f>'Key Generator'!AT170</f>
        <v>1</v>
      </c>
      <c r="AT634" s="77">
        <f>'Key Generator'!AU170</f>
        <v>1</v>
      </c>
      <c r="AU634" s="77">
        <f>'Key Generator'!AV170</f>
        <v>0</v>
      </c>
      <c r="AV634" s="77">
        <f>'Key Generator'!AW170</f>
        <v>1</v>
      </c>
      <c r="AW634" s="77">
        <f>'Key Generator'!AX170</f>
        <v>1</v>
      </c>
      <c r="AX634" s="77">
        <f>'Key Generator'!AY170</f>
        <v>0</v>
      </c>
      <c r="AY634" s="21"/>
      <c r="AZ634" s="21"/>
      <c r="BA634" s="21"/>
      <c r="BB634" s="21"/>
      <c r="BC634" s="21"/>
      <c r="BD634" s="21"/>
      <c r="BE634" s="21"/>
    </row>
    <row r="635" spans="1:57" x14ac:dyDescent="0.25">
      <c r="A635" s="21"/>
      <c r="B635" s="64"/>
      <c r="C635" s="62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21"/>
      <c r="BC635" s="21"/>
      <c r="BD635" s="21"/>
      <c r="BE635" s="21"/>
    </row>
    <row r="636" spans="1:57" x14ac:dyDescent="0.25">
      <c r="A636" s="21"/>
      <c r="B636" s="64"/>
      <c r="C636" s="62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21"/>
      <c r="BC636" s="21"/>
      <c r="BD636" s="21"/>
      <c r="BE636" s="21"/>
    </row>
    <row r="637" spans="1:57" x14ac:dyDescent="0.25">
      <c r="A637" s="128" t="s">
        <v>535</v>
      </c>
      <c r="B637" s="129"/>
      <c r="C637" s="79">
        <v>1</v>
      </c>
      <c r="D637" s="80">
        <v>2</v>
      </c>
      <c r="E637" s="79">
        <v>3</v>
      </c>
      <c r="F637" s="80">
        <v>4</v>
      </c>
      <c r="G637" s="79">
        <v>5</v>
      </c>
      <c r="H637" s="80">
        <v>6</v>
      </c>
      <c r="I637" s="79">
        <v>7</v>
      </c>
      <c r="J637" s="80">
        <v>8</v>
      </c>
      <c r="K637" s="79">
        <v>9</v>
      </c>
      <c r="L637" s="80">
        <v>10</v>
      </c>
      <c r="M637" s="79">
        <v>11</v>
      </c>
      <c r="N637" s="80">
        <v>12</v>
      </c>
      <c r="O637" s="79">
        <v>13</v>
      </c>
      <c r="P637" s="80">
        <v>14</v>
      </c>
      <c r="Q637" s="79">
        <v>15</v>
      </c>
      <c r="R637" s="80">
        <v>16</v>
      </c>
      <c r="S637" s="79">
        <v>17</v>
      </c>
      <c r="T637" s="80">
        <v>18</v>
      </c>
      <c r="U637" s="79">
        <v>19</v>
      </c>
      <c r="V637" s="80">
        <v>20</v>
      </c>
      <c r="W637" s="79">
        <v>21</v>
      </c>
      <c r="X637" s="80">
        <v>22</v>
      </c>
      <c r="Y637" s="79">
        <v>23</v>
      </c>
      <c r="Z637" s="80">
        <v>24</v>
      </c>
      <c r="AA637" s="79">
        <v>25</v>
      </c>
      <c r="AB637" s="80">
        <v>26</v>
      </c>
      <c r="AC637" s="79">
        <v>27</v>
      </c>
      <c r="AD637" s="80">
        <v>28</v>
      </c>
      <c r="AE637" s="79">
        <v>29</v>
      </c>
      <c r="AF637" s="80">
        <v>30</v>
      </c>
      <c r="AG637" s="79">
        <v>31</v>
      </c>
      <c r="AH637" s="80">
        <v>32</v>
      </c>
      <c r="AI637" s="79">
        <v>33</v>
      </c>
      <c r="AJ637" s="80">
        <v>34</v>
      </c>
      <c r="AK637" s="79">
        <v>35</v>
      </c>
      <c r="AL637" s="80">
        <v>36</v>
      </c>
      <c r="AM637" s="79">
        <v>37</v>
      </c>
      <c r="AN637" s="80">
        <v>38</v>
      </c>
      <c r="AO637" s="79">
        <v>39</v>
      </c>
      <c r="AP637" s="80">
        <v>40</v>
      </c>
      <c r="AQ637" s="79">
        <v>41</v>
      </c>
      <c r="AR637" s="80">
        <v>42</v>
      </c>
      <c r="AS637" s="79">
        <v>43</v>
      </c>
      <c r="AT637" s="80">
        <v>44</v>
      </c>
      <c r="AU637" s="79">
        <v>45</v>
      </c>
      <c r="AV637" s="80">
        <v>46</v>
      </c>
      <c r="AW637" s="79">
        <v>47</v>
      </c>
      <c r="AX637" s="80">
        <v>48</v>
      </c>
      <c r="AY637" s="21"/>
      <c r="AZ637" s="21"/>
      <c r="BA637" s="21"/>
      <c r="BB637" s="21"/>
      <c r="BC637" s="21"/>
      <c r="BD637" s="21"/>
      <c r="BE637" s="21"/>
    </row>
    <row r="638" spans="1:57" x14ac:dyDescent="0.25">
      <c r="A638" s="21"/>
      <c r="B638" s="64"/>
      <c r="C638" s="88">
        <f>--_xlfn.XOR(C630,'Key Generator'!D170)</f>
        <v>1</v>
      </c>
      <c r="D638" s="88">
        <f>--_xlfn.XOR(D630,'Key Generator'!E170)</f>
        <v>0</v>
      </c>
      <c r="E638" s="88">
        <f>--_xlfn.XOR(E630,'Key Generator'!F170)</f>
        <v>0</v>
      </c>
      <c r="F638" s="88">
        <f>--_xlfn.XOR(F630,'Key Generator'!G170)</f>
        <v>0</v>
      </c>
      <c r="G638" s="88">
        <f>--_xlfn.XOR(G630,'Key Generator'!H170)</f>
        <v>1</v>
      </c>
      <c r="H638" s="88">
        <f>--_xlfn.XOR(H630,'Key Generator'!I170)</f>
        <v>1</v>
      </c>
      <c r="I638" s="87">
        <f>--_xlfn.XOR(I630,'Key Generator'!J170)</f>
        <v>1</v>
      </c>
      <c r="J638" s="87">
        <f>--_xlfn.XOR(J630,'Key Generator'!K170)</f>
        <v>1</v>
      </c>
      <c r="K638" s="87">
        <f>--_xlfn.XOR(K630,'Key Generator'!L170)</f>
        <v>1</v>
      </c>
      <c r="L638" s="87">
        <f>--_xlfn.XOR(L630,'Key Generator'!M170)</f>
        <v>1</v>
      </c>
      <c r="M638" s="87">
        <f>--_xlfn.XOR(M630,'Key Generator'!N170)</f>
        <v>1</v>
      </c>
      <c r="N638" s="87">
        <f>--_xlfn.XOR(N630,'Key Generator'!O170)</f>
        <v>0</v>
      </c>
      <c r="O638" s="89">
        <f>--_xlfn.XOR(O630,'Key Generator'!P170)</f>
        <v>1</v>
      </c>
      <c r="P638" s="89">
        <f>--_xlfn.XOR(P630,'Key Generator'!Q170)</f>
        <v>1</v>
      </c>
      <c r="Q638" s="89">
        <f>--_xlfn.XOR(Q630,'Key Generator'!R170)</f>
        <v>1</v>
      </c>
      <c r="R638" s="89">
        <f>--_xlfn.XOR(R630,'Key Generator'!S170)</f>
        <v>1</v>
      </c>
      <c r="S638" s="89">
        <f>--_xlfn.XOR(S630,'Key Generator'!T170)</f>
        <v>0</v>
      </c>
      <c r="T638" s="89">
        <f>--_xlfn.XOR(T630,'Key Generator'!U170)</f>
        <v>1</v>
      </c>
      <c r="U638" s="149">
        <f>--_xlfn.XOR(U630,'Key Generator'!V170)</f>
        <v>1</v>
      </c>
      <c r="V638" s="149">
        <f>--_xlfn.XOR(V630,'Key Generator'!W170)</f>
        <v>1</v>
      </c>
      <c r="W638" s="149">
        <f>--_xlfn.XOR(W630,'Key Generator'!X170)</f>
        <v>1</v>
      </c>
      <c r="X638" s="149">
        <f>--_xlfn.XOR(X630,'Key Generator'!Y170)</f>
        <v>0</v>
      </c>
      <c r="Y638" s="149">
        <f>--_xlfn.XOR(Y630,'Key Generator'!Z170)</f>
        <v>1</v>
      </c>
      <c r="Z638" s="149">
        <f>--_xlfn.XOR(Z630,'Key Generator'!AA170)</f>
        <v>1</v>
      </c>
      <c r="AA638" s="91">
        <f>--_xlfn.XOR(AA630,'Key Generator'!AB170)</f>
        <v>0</v>
      </c>
      <c r="AB638" s="91">
        <f>--_xlfn.XOR(AB630,'Key Generator'!AC170)</f>
        <v>0</v>
      </c>
      <c r="AC638" s="91">
        <f>--_xlfn.XOR(AC630,'Key Generator'!AD170)</f>
        <v>1</v>
      </c>
      <c r="AD638" s="91">
        <f>--_xlfn.XOR(AD630,'Key Generator'!AE170)</f>
        <v>0</v>
      </c>
      <c r="AE638" s="91">
        <f>--_xlfn.XOR(AE630,'Key Generator'!AF170)</f>
        <v>0</v>
      </c>
      <c r="AF638" s="91">
        <f>--_xlfn.XOR(AF630,'Key Generator'!AG170)</f>
        <v>1</v>
      </c>
      <c r="AG638" s="92">
        <f>--_xlfn.XOR(AG630,'Key Generator'!AH170)</f>
        <v>1</v>
      </c>
      <c r="AH638" s="92">
        <f>--_xlfn.XOR(AH630,'Key Generator'!AI170)</f>
        <v>0</v>
      </c>
      <c r="AI638" s="92">
        <f>--_xlfn.XOR(AI630,'Key Generator'!AJ170)</f>
        <v>1</v>
      </c>
      <c r="AJ638" s="92">
        <f>--_xlfn.XOR(AJ630,'Key Generator'!AK170)</f>
        <v>0</v>
      </c>
      <c r="AK638" s="92">
        <f>--_xlfn.XOR(AK630,'Key Generator'!AL170)</f>
        <v>1</v>
      </c>
      <c r="AL638" s="92">
        <f>--_xlfn.XOR(AL630,'Key Generator'!AM170)</f>
        <v>0</v>
      </c>
      <c r="AM638" s="86">
        <f>--_xlfn.XOR(AM630,'Key Generator'!AN170)</f>
        <v>0</v>
      </c>
      <c r="AN638" s="86">
        <f>--_xlfn.XOR(AN630,'Key Generator'!AO170)</f>
        <v>1</v>
      </c>
      <c r="AO638" s="86">
        <f>--_xlfn.XOR(AO630,'Key Generator'!AP170)</f>
        <v>1</v>
      </c>
      <c r="AP638" s="86">
        <f>--_xlfn.XOR(AP630,'Key Generator'!AQ170)</f>
        <v>0</v>
      </c>
      <c r="AQ638" s="86">
        <f>--_xlfn.XOR(AQ630,'Key Generator'!AR170)</f>
        <v>1</v>
      </c>
      <c r="AR638" s="86">
        <f>--_xlfn.XOR(AR630,'Key Generator'!AS170)</f>
        <v>1</v>
      </c>
      <c r="AS638" s="81">
        <f>--_xlfn.XOR(AS630,'Key Generator'!AT170)</f>
        <v>0</v>
      </c>
      <c r="AT638" s="81">
        <f>--_xlfn.XOR(AT630,'Key Generator'!AU170)</f>
        <v>0</v>
      </c>
      <c r="AU638" s="81">
        <f>--_xlfn.XOR(AU630,'Key Generator'!AV170)</f>
        <v>0</v>
      </c>
      <c r="AV638" s="81">
        <f>--_xlfn.XOR(AV630,'Key Generator'!AW170)</f>
        <v>1</v>
      </c>
      <c r="AW638" s="81">
        <f>--_xlfn.XOR(AW630,'Key Generator'!AX170)</f>
        <v>1</v>
      </c>
      <c r="AX638" s="81">
        <f>--_xlfn.XOR(AX630,'Key Generator'!AY170)</f>
        <v>1</v>
      </c>
      <c r="AY638" s="21"/>
      <c r="AZ638" s="21"/>
      <c r="BA638" s="21"/>
      <c r="BB638" s="21"/>
      <c r="BC638" s="21"/>
      <c r="BD638" s="21"/>
      <c r="BE638" s="21"/>
    </row>
    <row r="639" spans="1:57" x14ac:dyDescent="0.25">
      <c r="A639" s="21"/>
      <c r="B639" s="64"/>
      <c r="C639" s="93"/>
      <c r="D639" s="94"/>
      <c r="E639" s="94"/>
      <c r="F639" s="94"/>
      <c r="G639" s="94"/>
      <c r="H639" s="94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21"/>
      <c r="BC639" s="21"/>
      <c r="BD639" s="21"/>
      <c r="BE639" s="21"/>
    </row>
    <row r="640" spans="1:57" x14ac:dyDescent="0.25">
      <c r="A640" s="96" t="s">
        <v>545</v>
      </c>
      <c r="B640" s="97"/>
      <c r="C640" s="161">
        <f>D638*8+E638*4+F638*2+G638</f>
        <v>1</v>
      </c>
      <c r="D640" s="97" t="s">
        <v>536</v>
      </c>
      <c r="E640" s="97"/>
      <c r="F640" s="97"/>
      <c r="G640" s="97"/>
      <c r="H640" s="97"/>
      <c r="I640" s="161">
        <f>J638*8+K638*4+L638*2+M638</f>
        <v>15</v>
      </c>
      <c r="J640" s="97" t="s">
        <v>537</v>
      </c>
      <c r="K640" s="97"/>
      <c r="L640" s="97"/>
      <c r="M640" s="97"/>
      <c r="N640" s="97"/>
      <c r="O640" s="161">
        <f>P638*8+Q638*4+R638*2+S638</f>
        <v>14</v>
      </c>
      <c r="P640" s="97" t="s">
        <v>538</v>
      </c>
      <c r="Q640" s="97"/>
      <c r="R640" s="97"/>
      <c r="S640" s="97"/>
      <c r="T640" s="97"/>
      <c r="U640" s="161">
        <f>V638*8+W638*4+X638*2+Y638</f>
        <v>13</v>
      </c>
      <c r="V640" s="97" t="s">
        <v>539</v>
      </c>
      <c r="W640" s="97"/>
      <c r="X640" s="97"/>
      <c r="Y640" s="97"/>
      <c r="Z640" s="97"/>
      <c r="AA640" s="161">
        <f>AB638*8+AC638*4+AD638*2+AE638</f>
        <v>4</v>
      </c>
      <c r="AB640" s="97" t="s">
        <v>540</v>
      </c>
      <c r="AC640" s="97"/>
      <c r="AD640" s="97"/>
      <c r="AE640" s="97"/>
      <c r="AF640" s="97"/>
      <c r="AG640" s="161">
        <f>AH638*8+AI638*4+AJ638*2+AK638</f>
        <v>5</v>
      </c>
      <c r="AH640" s="97" t="s">
        <v>541</v>
      </c>
      <c r="AI640" s="97"/>
      <c r="AJ640" s="97"/>
      <c r="AK640" s="97"/>
      <c r="AL640" s="97"/>
      <c r="AM640" s="161">
        <f>AN638*8+AO638*4+AP638*2+AQ638</f>
        <v>13</v>
      </c>
      <c r="AN640" s="97" t="s">
        <v>542</v>
      </c>
      <c r="AO640" s="97"/>
      <c r="AP640" s="97"/>
      <c r="AQ640" s="97"/>
      <c r="AR640" s="97"/>
      <c r="AS640" s="161">
        <f>AT638*8+AU638*4+AV638*2+AW638</f>
        <v>3</v>
      </c>
      <c r="AT640" s="97" t="s">
        <v>543</v>
      </c>
      <c r="AU640" s="97"/>
      <c r="AV640" s="97"/>
      <c r="AW640" s="97"/>
      <c r="AX640" s="97"/>
      <c r="AY640" s="97"/>
      <c r="AZ640" s="97"/>
      <c r="BA640" s="97"/>
      <c r="BB640" s="97"/>
      <c r="BC640" s="97"/>
      <c r="BD640" s="97"/>
      <c r="BE640" s="97"/>
    </row>
    <row r="641" spans="1:57" x14ac:dyDescent="0.25">
      <c r="A641" s="100" t="s">
        <v>546</v>
      </c>
      <c r="B641" s="99"/>
      <c r="C641" s="87">
        <f>C638*2+H638</f>
        <v>3</v>
      </c>
      <c r="D641" s="98"/>
      <c r="E641" s="98"/>
      <c r="F641" s="99"/>
      <c r="G641" s="99"/>
      <c r="H641" s="99"/>
      <c r="I641" s="87">
        <f>I638*2+N638</f>
        <v>2</v>
      </c>
      <c r="J641" s="99"/>
      <c r="K641" s="99"/>
      <c r="L641" s="99"/>
      <c r="M641" s="99"/>
      <c r="N641" s="99"/>
      <c r="O641" s="87">
        <f>O638*2+T638</f>
        <v>3</v>
      </c>
      <c r="P641" s="99"/>
      <c r="Q641" s="99"/>
      <c r="R641" s="99"/>
      <c r="S641" s="99"/>
      <c r="T641" s="99"/>
      <c r="U641" s="87">
        <f>U638*2+Z638</f>
        <v>3</v>
      </c>
      <c r="V641" s="99"/>
      <c r="W641" s="99"/>
      <c r="X641" s="99"/>
      <c r="Y641" s="99"/>
      <c r="Z641" s="99"/>
      <c r="AA641" s="87">
        <f>AA638*2+AF638</f>
        <v>1</v>
      </c>
      <c r="AB641" s="99"/>
      <c r="AC641" s="99"/>
      <c r="AD641" s="99"/>
      <c r="AE641" s="99"/>
      <c r="AF641" s="99"/>
      <c r="AG641" s="87">
        <f>AG638*2+AL638</f>
        <v>2</v>
      </c>
      <c r="AH641" s="99"/>
      <c r="AI641" s="99"/>
      <c r="AJ641" s="99"/>
      <c r="AK641" s="99"/>
      <c r="AL641" s="99"/>
      <c r="AM641" s="87">
        <f>AM638*2+AR638</f>
        <v>1</v>
      </c>
      <c r="AN641" s="99"/>
      <c r="AO641" s="99"/>
      <c r="AP641" s="99"/>
      <c r="AQ641" s="99"/>
      <c r="AR641" s="99"/>
      <c r="AS641" s="87">
        <f>AS638*2+AX638</f>
        <v>1</v>
      </c>
      <c r="AT641" s="99"/>
      <c r="AU641" s="99"/>
      <c r="AV641" s="99"/>
      <c r="AW641" s="99"/>
      <c r="AX641" s="99"/>
      <c r="AY641" s="99"/>
      <c r="AZ641" s="99"/>
      <c r="BA641" s="99"/>
      <c r="BB641" s="99"/>
      <c r="BC641" s="99"/>
      <c r="BD641" s="99"/>
      <c r="BE641" s="99"/>
    </row>
    <row r="642" spans="1:57" x14ac:dyDescent="0.25">
      <c r="A642" s="21"/>
      <c r="B642" s="64"/>
      <c r="C642" s="62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21"/>
      <c r="BC642" s="21"/>
      <c r="BD642" s="21"/>
      <c r="BE642" s="21"/>
    </row>
    <row r="643" spans="1:57" x14ac:dyDescent="0.25">
      <c r="A643" s="117" t="s">
        <v>547</v>
      </c>
      <c r="B643" s="64"/>
      <c r="C643" s="72">
        <f>INDEX('S-Box'!D3:S6,'DES-Dec'!C641+1,'DES-Dec'!C640+1)</f>
        <v>12</v>
      </c>
      <c r="D643" s="21"/>
      <c r="E643" s="21"/>
      <c r="F643" s="21"/>
      <c r="G643" s="21"/>
      <c r="H643" s="21"/>
      <c r="I643" s="168">
        <f>INDEX('S-Box'!D9:S12,'DES-Dec'!I641+1,'DES-Dec'!I640+1)</f>
        <v>15</v>
      </c>
      <c r="J643" s="21"/>
      <c r="K643" s="21"/>
      <c r="L643" s="21"/>
      <c r="M643" s="21"/>
      <c r="N643" s="21"/>
      <c r="O643" s="168">
        <f>INDEX('S-Box'!D15:S18,'DES-Dec'!O641+1,'DES-Dec'!O640+1)</f>
        <v>2</v>
      </c>
      <c r="P643" s="21"/>
      <c r="Q643" s="21"/>
      <c r="R643" s="21"/>
      <c r="S643" s="21"/>
      <c r="T643" s="21"/>
      <c r="U643" s="168">
        <f>INDEX('S-Box'!D21:S24,'DES-Dec'!U641+1,'DES-Dec'!U640+1)</f>
        <v>7</v>
      </c>
      <c r="V643" s="21"/>
      <c r="W643" s="21"/>
      <c r="X643" s="21"/>
      <c r="Y643" s="21"/>
      <c r="Z643" s="21"/>
      <c r="AA643" s="168">
        <f>INDEX('S-Box'!D27:S30,'DES-Dec'!AA641+1,'DES-Dec'!AA640+1)</f>
        <v>4</v>
      </c>
      <c r="AB643" s="21"/>
      <c r="AC643" s="21"/>
      <c r="AD643" s="21"/>
      <c r="AE643" s="21"/>
      <c r="AF643" s="21"/>
      <c r="AG643" s="168">
        <f>INDEX('S-Box'!D33:S36,'DES-Dec'!AG641+1,'DES-Dec'!AG640+1)</f>
        <v>8</v>
      </c>
      <c r="AH643" s="21"/>
      <c r="AI643" s="21"/>
      <c r="AJ643" s="21"/>
      <c r="AK643" s="21"/>
      <c r="AL643" s="21"/>
      <c r="AM643" s="168">
        <f>INDEX('S-Box'!D39:S42,'DES-Dec'!AM641+1,'DES-Dec'!AM640+1)</f>
        <v>15</v>
      </c>
      <c r="AN643" s="21"/>
      <c r="AO643" s="21"/>
      <c r="AP643" s="21"/>
      <c r="AQ643" s="21"/>
      <c r="AR643" s="21"/>
      <c r="AS643" s="168">
        <f>INDEX('S-Box'!D45:S48,'DES-Dec'!AS641+1,'DES-Dec'!AS640+1)</f>
        <v>8</v>
      </c>
      <c r="AT643" s="21"/>
      <c r="AU643" s="21"/>
      <c r="AV643" s="21"/>
      <c r="AW643" s="21"/>
      <c r="AX643" s="21"/>
      <c r="AY643" s="21"/>
      <c r="AZ643" s="21"/>
      <c r="BA643" s="21"/>
      <c r="BB643" s="21"/>
      <c r="BC643" s="21"/>
      <c r="BD643" s="21"/>
      <c r="BE643" s="21"/>
    </row>
    <row r="644" spans="1:57" x14ac:dyDescent="0.25">
      <c r="A644" s="21"/>
      <c r="B644" s="64"/>
      <c r="C644" s="104"/>
      <c r="D644" s="21"/>
      <c r="E644" s="21"/>
      <c r="F644" s="21"/>
      <c r="G644" s="21"/>
      <c r="H644" s="21"/>
      <c r="I644" s="95"/>
      <c r="J644" s="21"/>
      <c r="K644" s="21"/>
      <c r="L644" s="21"/>
      <c r="M644" s="21"/>
      <c r="N644" s="21"/>
      <c r="O644" s="95"/>
      <c r="P644" s="21"/>
      <c r="Q644" s="21"/>
      <c r="R644" s="21"/>
      <c r="S644" s="21"/>
      <c r="T644" s="21"/>
      <c r="U644" s="95"/>
      <c r="V644" s="21"/>
      <c r="W644" s="21"/>
      <c r="X644" s="21"/>
      <c r="Y644" s="21"/>
      <c r="Z644" s="21"/>
      <c r="AA644" s="95"/>
      <c r="AB644" s="21"/>
      <c r="AC644" s="21"/>
      <c r="AD644" s="21"/>
      <c r="AE644" s="21"/>
      <c r="AF644" s="21"/>
      <c r="AG644" s="95"/>
      <c r="AH644" s="21"/>
      <c r="AI644" s="21"/>
      <c r="AJ644" s="21"/>
      <c r="AK644" s="21"/>
      <c r="AL644" s="21"/>
      <c r="AM644" s="95"/>
      <c r="AN644" s="21"/>
      <c r="AO644" s="21"/>
      <c r="AP644" s="21"/>
      <c r="AQ644" s="21"/>
      <c r="AR644" s="21"/>
      <c r="AS644" s="95"/>
      <c r="AT644" s="21"/>
      <c r="AU644" s="21"/>
      <c r="AV644" s="21"/>
      <c r="AW644" s="21"/>
      <c r="AX644" s="21"/>
      <c r="AY644" s="21"/>
      <c r="AZ644" s="21"/>
      <c r="BA644" s="21"/>
      <c r="BB644" s="21"/>
      <c r="BC644" s="21"/>
      <c r="BD644" s="21"/>
      <c r="BE644" s="21"/>
    </row>
    <row r="645" spans="1:57" x14ac:dyDescent="0.25">
      <c r="A645" s="21"/>
      <c r="B645" s="64"/>
      <c r="C645" s="105" t="str">
        <f>MID(DEC2BIN(C643,4),1,1)</f>
        <v>1</v>
      </c>
      <c r="D645" s="106" t="str">
        <f>MID(DEC2BIN(C643,4),2,1)</f>
        <v>1</v>
      </c>
      <c r="E645" s="106" t="str">
        <f>MID(DEC2BIN(C643,4),3,1)</f>
        <v>0</v>
      </c>
      <c r="F645" s="107" t="str">
        <f>MID(DEC2BIN(C643,4),4,1)</f>
        <v>0</v>
      </c>
      <c r="G645" s="21"/>
      <c r="H645" s="21"/>
      <c r="I645" s="105" t="str">
        <f>MID(DEC2BIN(I643,4),1,1)</f>
        <v>1</v>
      </c>
      <c r="J645" s="106" t="str">
        <f>MID(DEC2BIN(I643,4),2,1)</f>
        <v>1</v>
      </c>
      <c r="K645" s="106" t="str">
        <f>MID(DEC2BIN(I643,4),3,1)</f>
        <v>1</v>
      </c>
      <c r="L645" s="107" t="str">
        <f>MID(DEC2BIN(I643,4),4,1)</f>
        <v>1</v>
      </c>
      <c r="M645" s="21"/>
      <c r="N645" s="21"/>
      <c r="O645" s="105" t="str">
        <f>MID(DEC2BIN(O643,4),1,1)</f>
        <v>0</v>
      </c>
      <c r="P645" s="106" t="str">
        <f>MID(DEC2BIN(O643,4),2,1)</f>
        <v>0</v>
      </c>
      <c r="Q645" s="106" t="str">
        <f>MID(DEC2BIN(O643,4),3,1)</f>
        <v>1</v>
      </c>
      <c r="R645" s="107" t="str">
        <f>MID(DEC2BIN(O643,4),4,1)</f>
        <v>0</v>
      </c>
      <c r="S645" s="21"/>
      <c r="T645" s="21"/>
      <c r="U645" s="105" t="str">
        <f>MID(DEC2BIN(U643,4),1,1)</f>
        <v>0</v>
      </c>
      <c r="V645" s="106" t="str">
        <f>MID(DEC2BIN(U643,4),2,1)</f>
        <v>1</v>
      </c>
      <c r="W645" s="106" t="str">
        <f>MID(DEC2BIN(U643,4),3,1)</f>
        <v>1</v>
      </c>
      <c r="X645" s="107" t="str">
        <f>MID(DEC2BIN(U643,4),4,1)</f>
        <v>1</v>
      </c>
      <c r="Y645" s="21"/>
      <c r="Z645" s="21"/>
      <c r="AA645" s="105" t="str">
        <f>MID(DEC2BIN(AA643,4),1,1)</f>
        <v>0</v>
      </c>
      <c r="AB645" s="106" t="str">
        <f>MID(DEC2BIN(AA643,4),2,1)</f>
        <v>1</v>
      </c>
      <c r="AC645" s="106" t="str">
        <f>MID(DEC2BIN(AA643,4),3,1)</f>
        <v>0</v>
      </c>
      <c r="AD645" s="107" t="str">
        <f>MID(DEC2BIN(AA643,4),4,1)</f>
        <v>0</v>
      </c>
      <c r="AE645" s="21"/>
      <c r="AF645" s="21"/>
      <c r="AG645" s="105" t="str">
        <f>MID(DEC2BIN(AG643,4),1,1)</f>
        <v>1</v>
      </c>
      <c r="AH645" s="106" t="str">
        <f>MID(DEC2BIN(AG643,4),2,1)</f>
        <v>0</v>
      </c>
      <c r="AI645" s="106" t="str">
        <f>MID(DEC2BIN(AG643,4),3,1)</f>
        <v>0</v>
      </c>
      <c r="AJ645" s="107" t="str">
        <f>MID(DEC2BIN(AG643,4),4,1)</f>
        <v>0</v>
      </c>
      <c r="AK645" s="21"/>
      <c r="AL645" s="21"/>
      <c r="AM645" s="105" t="str">
        <f>MID(DEC2BIN(AM643,4),1,1)</f>
        <v>1</v>
      </c>
      <c r="AN645" s="106" t="str">
        <f>MID(DEC2BIN(AM643,4),2,1)</f>
        <v>1</v>
      </c>
      <c r="AO645" s="106" t="str">
        <f>MID(DEC2BIN(AM643,4),3,1)</f>
        <v>1</v>
      </c>
      <c r="AP645" s="107" t="str">
        <f>MID(DEC2BIN(AM643,4),4,1)</f>
        <v>1</v>
      </c>
      <c r="AQ645" s="21"/>
      <c r="AR645" s="21"/>
      <c r="AS645" s="105" t="str">
        <f>MID(DEC2BIN(AS643,4),1,1)</f>
        <v>1</v>
      </c>
      <c r="AT645" s="106" t="str">
        <f>MID(DEC2BIN(AS643,4),2,1)</f>
        <v>0</v>
      </c>
      <c r="AU645" s="106" t="str">
        <f>MID(DEC2BIN(AS643,4),3,1)</f>
        <v>0</v>
      </c>
      <c r="AV645" s="107" t="str">
        <f>MID(DEC2BIN(AS643,4),4,1)</f>
        <v>0</v>
      </c>
      <c r="AW645" s="21"/>
      <c r="AX645" s="21"/>
      <c r="AY645" s="21"/>
      <c r="AZ645" s="21"/>
      <c r="BA645" s="21"/>
      <c r="BB645" s="21"/>
      <c r="BC645" s="21"/>
      <c r="BD645" s="21"/>
      <c r="BE645" s="21"/>
    </row>
    <row r="646" spans="1:57" s="21" customFormat="1" ht="24.95" customHeight="1" x14ac:dyDescent="0.25">
      <c r="B646" s="64"/>
      <c r="C646" s="21">
        <f>VALUE(C645)</f>
        <v>1</v>
      </c>
      <c r="D646" s="21">
        <f t="shared" ref="D646" si="2192">VALUE(D645)</f>
        <v>1</v>
      </c>
      <c r="E646" s="21">
        <f t="shared" ref="E646" si="2193">VALUE(E645)</f>
        <v>0</v>
      </c>
      <c r="F646" s="21">
        <f t="shared" ref="F646" si="2194">VALUE(F645)</f>
        <v>0</v>
      </c>
      <c r="I646" s="21">
        <f t="shared" ref="I646" si="2195">VALUE(I645)</f>
        <v>1</v>
      </c>
      <c r="J646" s="21">
        <f t="shared" ref="J646" si="2196">VALUE(J645)</f>
        <v>1</v>
      </c>
      <c r="K646" s="21">
        <f t="shared" ref="K646" si="2197">VALUE(K645)</f>
        <v>1</v>
      </c>
      <c r="L646" s="21">
        <f t="shared" ref="L646" si="2198">VALUE(L645)</f>
        <v>1</v>
      </c>
      <c r="O646" s="21">
        <f>VALUE(O645)</f>
        <v>0</v>
      </c>
      <c r="P646" s="21">
        <f t="shared" ref="P646" si="2199">VALUE(P645)</f>
        <v>0</v>
      </c>
      <c r="Q646" s="21">
        <f t="shared" ref="Q646" si="2200">VALUE(Q645)</f>
        <v>1</v>
      </c>
      <c r="R646" s="21">
        <f t="shared" ref="R646" si="2201">VALUE(R645)</f>
        <v>0</v>
      </c>
      <c r="U646" s="21">
        <f>VALUE(U645)</f>
        <v>0</v>
      </c>
      <c r="V646" s="21">
        <f t="shared" ref="V646" si="2202">VALUE(V645)</f>
        <v>1</v>
      </c>
      <c r="W646" s="21">
        <f t="shared" ref="W646" si="2203">VALUE(W645)</f>
        <v>1</v>
      </c>
      <c r="X646" s="21">
        <f t="shared" ref="X646" si="2204">VALUE(X645)</f>
        <v>1</v>
      </c>
      <c r="AA646" s="21">
        <f>VALUE(AA645)</f>
        <v>0</v>
      </c>
      <c r="AB646" s="21">
        <f t="shared" ref="AB646" si="2205">VALUE(AB645)</f>
        <v>1</v>
      </c>
      <c r="AC646" s="21">
        <f t="shared" ref="AC646" si="2206">VALUE(AC645)</f>
        <v>0</v>
      </c>
      <c r="AD646" s="21">
        <f t="shared" ref="AD646" si="2207">VALUE(AD645)</f>
        <v>0</v>
      </c>
      <c r="AG646" s="21">
        <f>VALUE(AG645)</f>
        <v>1</v>
      </c>
      <c r="AH646" s="21">
        <f t="shared" ref="AH646" si="2208">VALUE(AH645)</f>
        <v>0</v>
      </c>
      <c r="AI646" s="21">
        <f t="shared" ref="AI646" si="2209">VALUE(AI645)</f>
        <v>0</v>
      </c>
      <c r="AJ646" s="21">
        <f t="shared" ref="AJ646" si="2210">VALUE(AJ645)</f>
        <v>0</v>
      </c>
      <c r="AM646" s="21">
        <f>VALUE(AM645)</f>
        <v>1</v>
      </c>
      <c r="AN646" s="21">
        <f t="shared" ref="AN646" si="2211">VALUE(AN645)</f>
        <v>1</v>
      </c>
      <c r="AO646" s="21">
        <f t="shared" ref="AO646" si="2212">VALUE(AO645)</f>
        <v>1</v>
      </c>
      <c r="AP646" s="21">
        <f t="shared" ref="AP646" si="2213">VALUE(AP645)</f>
        <v>1</v>
      </c>
      <c r="AS646" s="21">
        <f>VALUE(AS645)</f>
        <v>1</v>
      </c>
      <c r="AT646" s="21">
        <f t="shared" ref="AT646" si="2214">VALUE(AT645)</f>
        <v>0</v>
      </c>
      <c r="AU646" s="21">
        <f t="shared" ref="AU646" si="2215">VALUE(AU645)</f>
        <v>0</v>
      </c>
      <c r="AV646" s="21">
        <f t="shared" ref="AV646" si="2216">VALUE(AV645)</f>
        <v>0</v>
      </c>
    </row>
    <row r="647" spans="1:57" s="21" customFormat="1" ht="24.95" customHeight="1" x14ac:dyDescent="0.25">
      <c r="A647" s="111" t="s">
        <v>588</v>
      </c>
      <c r="B647" s="111"/>
      <c r="C647" s="111">
        <v>1</v>
      </c>
      <c r="D647" s="76">
        <v>2</v>
      </c>
      <c r="E647" s="111">
        <v>3</v>
      </c>
      <c r="F647" s="76">
        <v>4</v>
      </c>
      <c r="G647" s="111">
        <v>5</v>
      </c>
      <c r="H647" s="76">
        <v>6</v>
      </c>
      <c r="I647" s="111">
        <v>7</v>
      </c>
      <c r="J647" s="76">
        <v>8</v>
      </c>
      <c r="K647" s="111">
        <v>9</v>
      </c>
      <c r="L647" s="76">
        <v>10</v>
      </c>
      <c r="M647" s="111">
        <v>11</v>
      </c>
      <c r="N647" s="76">
        <v>12</v>
      </c>
      <c r="O647" s="111">
        <v>13</v>
      </c>
      <c r="P647" s="76">
        <v>14</v>
      </c>
      <c r="Q647" s="111">
        <v>15</v>
      </c>
      <c r="R647" s="76">
        <v>16</v>
      </c>
      <c r="S647" s="111">
        <v>17</v>
      </c>
      <c r="T647" s="76">
        <v>18</v>
      </c>
      <c r="U647" s="111">
        <v>19</v>
      </c>
      <c r="V647" s="76">
        <v>20</v>
      </c>
      <c r="W647" s="111">
        <v>21</v>
      </c>
      <c r="X647" s="76">
        <v>22</v>
      </c>
      <c r="Y647" s="111">
        <v>23</v>
      </c>
      <c r="Z647" s="76">
        <v>24</v>
      </c>
      <c r="AA647" s="111">
        <v>25</v>
      </c>
      <c r="AB647" s="76">
        <v>26</v>
      </c>
      <c r="AC647" s="111">
        <v>27</v>
      </c>
      <c r="AD647" s="76">
        <v>28</v>
      </c>
      <c r="AE647" s="111">
        <v>29</v>
      </c>
      <c r="AF647" s="76">
        <v>30</v>
      </c>
      <c r="AG647" s="111">
        <v>31</v>
      </c>
      <c r="AH647" s="76">
        <v>32</v>
      </c>
    </row>
    <row r="648" spans="1:57" s="21" customFormat="1" ht="24.95" customHeight="1" x14ac:dyDescent="0.25">
      <c r="B648" s="64"/>
      <c r="C648" s="108">
        <f>C646</f>
        <v>1</v>
      </c>
      <c r="D648" s="108">
        <f t="shared" ref="D648:F648" si="2217">D646</f>
        <v>1</v>
      </c>
      <c r="E648" s="108">
        <f t="shared" si="2217"/>
        <v>0</v>
      </c>
      <c r="F648" s="108">
        <f t="shared" si="2217"/>
        <v>0</v>
      </c>
      <c r="G648" s="23">
        <f>I646</f>
        <v>1</v>
      </c>
      <c r="H648" s="23">
        <f t="shared" ref="H648" si="2218">J646</f>
        <v>1</v>
      </c>
      <c r="I648" s="23">
        <f t="shared" ref="I648" si="2219">K646</f>
        <v>1</v>
      </c>
      <c r="J648" s="23">
        <f t="shared" ref="J648" si="2220">L646</f>
        <v>1</v>
      </c>
      <c r="K648" s="23">
        <f>O646</f>
        <v>0</v>
      </c>
      <c r="L648" s="23">
        <f t="shared" ref="L648" si="2221">P646</f>
        <v>0</v>
      </c>
      <c r="M648" s="23">
        <f t="shared" ref="M648" si="2222">Q646</f>
        <v>1</v>
      </c>
      <c r="N648" s="23">
        <f t="shared" ref="N648" si="2223">R646</f>
        <v>0</v>
      </c>
      <c r="O648" s="23">
        <f>U646</f>
        <v>0</v>
      </c>
      <c r="P648" s="23">
        <f t="shared" ref="P648" si="2224">V646</f>
        <v>1</v>
      </c>
      <c r="Q648" s="23">
        <f t="shared" ref="Q648" si="2225">W646</f>
        <v>1</v>
      </c>
      <c r="R648" s="23">
        <f t="shared" ref="R648" si="2226">X646</f>
        <v>1</v>
      </c>
      <c r="S648" s="23">
        <f>AA646</f>
        <v>0</v>
      </c>
      <c r="T648" s="23">
        <f t="shared" ref="T648" si="2227">AB646</f>
        <v>1</v>
      </c>
      <c r="U648" s="23">
        <f t="shared" ref="U648" si="2228">AC646</f>
        <v>0</v>
      </c>
      <c r="V648" s="23">
        <f t="shared" ref="V648" si="2229">AD646</f>
        <v>0</v>
      </c>
      <c r="W648" s="23">
        <f>AG646</f>
        <v>1</v>
      </c>
      <c r="X648" s="23">
        <f t="shared" ref="X648" si="2230">AH646</f>
        <v>0</v>
      </c>
      <c r="Y648" s="23">
        <f t="shared" ref="Y648" si="2231">AI646</f>
        <v>0</v>
      </c>
      <c r="Z648" s="23">
        <f t="shared" ref="Z648" si="2232">AJ646</f>
        <v>0</v>
      </c>
      <c r="AA648" s="23">
        <f>AM646</f>
        <v>1</v>
      </c>
      <c r="AB648" s="23">
        <f t="shared" ref="AB648" si="2233">AN646</f>
        <v>1</v>
      </c>
      <c r="AC648" s="23">
        <f t="shared" ref="AC648" si="2234">AO646</f>
        <v>1</v>
      </c>
      <c r="AD648" s="23">
        <f t="shared" ref="AD648" si="2235">AP646</f>
        <v>1</v>
      </c>
      <c r="AE648" s="23">
        <f>AS646</f>
        <v>1</v>
      </c>
      <c r="AF648" s="23">
        <f t="shared" ref="AF648" si="2236">AT646</f>
        <v>0</v>
      </c>
      <c r="AG648" s="23">
        <f t="shared" ref="AG648" si="2237">AU646</f>
        <v>0</v>
      </c>
      <c r="AH648" s="23">
        <f t="shared" ref="AH648" si="2238">AV646</f>
        <v>0</v>
      </c>
    </row>
    <row r="649" spans="1:57" x14ac:dyDescent="0.25">
      <c r="A649" s="21"/>
      <c r="B649" s="64"/>
      <c r="C649" s="62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</row>
    <row r="650" spans="1:57" x14ac:dyDescent="0.25">
      <c r="A650" s="110" t="s">
        <v>548</v>
      </c>
      <c r="B650" s="110"/>
      <c r="C650" s="109">
        <v>16</v>
      </c>
      <c r="D650" s="110">
        <v>7</v>
      </c>
      <c r="E650" s="110">
        <v>20</v>
      </c>
      <c r="F650" s="110">
        <v>21</v>
      </c>
      <c r="G650" s="110">
        <v>29</v>
      </c>
      <c r="H650" s="110">
        <v>12</v>
      </c>
      <c r="I650" s="110">
        <v>28</v>
      </c>
      <c r="J650" s="110">
        <v>17</v>
      </c>
      <c r="K650" s="110">
        <v>1</v>
      </c>
      <c r="L650" s="110">
        <v>15</v>
      </c>
      <c r="M650" s="110">
        <v>23</v>
      </c>
      <c r="N650" s="110">
        <v>26</v>
      </c>
      <c r="O650" s="110">
        <v>5</v>
      </c>
      <c r="P650" s="110">
        <v>18</v>
      </c>
      <c r="Q650" s="110">
        <v>31</v>
      </c>
      <c r="R650" s="110">
        <v>10</v>
      </c>
      <c r="S650" s="110">
        <v>2</v>
      </c>
      <c r="T650" s="110">
        <v>8</v>
      </c>
      <c r="U650" s="110">
        <v>24</v>
      </c>
      <c r="V650" s="110">
        <v>14</v>
      </c>
      <c r="W650" s="110">
        <v>32</v>
      </c>
      <c r="X650" s="110">
        <v>27</v>
      </c>
      <c r="Y650" s="110">
        <v>3</v>
      </c>
      <c r="Z650" s="110">
        <v>9</v>
      </c>
      <c r="AA650" s="110">
        <v>19</v>
      </c>
      <c r="AB650" s="110">
        <v>13</v>
      </c>
      <c r="AC650" s="110">
        <v>30</v>
      </c>
      <c r="AD650" s="110">
        <v>6</v>
      </c>
      <c r="AE650" s="110">
        <v>22</v>
      </c>
      <c r="AF650" s="110">
        <v>11</v>
      </c>
      <c r="AG650" s="110">
        <v>4</v>
      </c>
      <c r="AH650" s="110">
        <v>25</v>
      </c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</row>
    <row r="651" spans="1:57" x14ac:dyDescent="0.25">
      <c r="A651" s="21"/>
      <c r="B651" s="64"/>
      <c r="C651" s="103">
        <f>K648</f>
        <v>0</v>
      </c>
      <c r="D651" s="103">
        <f>S648</f>
        <v>0</v>
      </c>
      <c r="E651" s="103">
        <f>Y648</f>
        <v>0</v>
      </c>
      <c r="F651" s="112">
        <f>AG648</f>
        <v>0</v>
      </c>
      <c r="G651" s="103">
        <f>O648</f>
        <v>0</v>
      </c>
      <c r="H651" s="103">
        <f>AD648</f>
        <v>1</v>
      </c>
      <c r="I651" s="103">
        <f>D648</f>
        <v>1</v>
      </c>
      <c r="J651" s="103">
        <f>T648</f>
        <v>1</v>
      </c>
      <c r="K651" s="103">
        <f>Z648</f>
        <v>0</v>
      </c>
      <c r="L651" s="103">
        <f>R648</f>
        <v>1</v>
      </c>
      <c r="M651" s="103">
        <f>AF648</f>
        <v>0</v>
      </c>
      <c r="N651" s="103">
        <f>H648</f>
        <v>1</v>
      </c>
      <c r="O651" s="103">
        <f>AB648</f>
        <v>1</v>
      </c>
      <c r="P651" s="103">
        <f>V648</f>
        <v>0</v>
      </c>
      <c r="Q651" s="103">
        <f>L648</f>
        <v>0</v>
      </c>
      <c r="R651" s="103">
        <f>C648</f>
        <v>1</v>
      </c>
      <c r="S651" s="103">
        <f>J648</f>
        <v>1</v>
      </c>
      <c r="T651" s="103">
        <f>P648</f>
        <v>1</v>
      </c>
      <c r="U651" s="103">
        <f>AA648</f>
        <v>1</v>
      </c>
      <c r="V651" s="103">
        <f>E648</f>
        <v>0</v>
      </c>
      <c r="W651" s="103">
        <f>F648</f>
        <v>0</v>
      </c>
      <c r="X651" s="103">
        <f>AE648</f>
        <v>1</v>
      </c>
      <c r="Y651" s="103">
        <f>M648</f>
        <v>1</v>
      </c>
      <c r="Z651" s="103">
        <f>U648</f>
        <v>0</v>
      </c>
      <c r="AA651" s="103">
        <f>AH648</f>
        <v>0</v>
      </c>
      <c r="AB651" s="103">
        <f>N648</f>
        <v>0</v>
      </c>
      <c r="AC651" s="103">
        <f>X648</f>
        <v>0</v>
      </c>
      <c r="AD651" s="103">
        <f>I648</f>
        <v>1</v>
      </c>
      <c r="AE651" s="103">
        <f>G648</f>
        <v>1</v>
      </c>
      <c r="AF651" s="103">
        <f>AC648</f>
        <v>1</v>
      </c>
      <c r="AG651" s="103">
        <f>Q648</f>
        <v>1</v>
      </c>
      <c r="AH651" s="103">
        <f>W648</f>
        <v>1</v>
      </c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/>
      <c r="BE651" s="21"/>
    </row>
    <row r="652" spans="1:57" x14ac:dyDescent="0.25">
      <c r="A652" s="21"/>
      <c r="B652" s="64"/>
      <c r="C652" s="130">
        <v>1</v>
      </c>
      <c r="D652" s="131">
        <v>2</v>
      </c>
      <c r="E652" s="130">
        <v>3</v>
      </c>
      <c r="F652" s="131">
        <v>4</v>
      </c>
      <c r="G652" s="130">
        <v>5</v>
      </c>
      <c r="H652" s="131">
        <v>6</v>
      </c>
      <c r="I652" s="130">
        <v>7</v>
      </c>
      <c r="J652" s="131">
        <v>8</v>
      </c>
      <c r="K652" s="130">
        <v>9</v>
      </c>
      <c r="L652" s="131">
        <v>10</v>
      </c>
      <c r="M652" s="130">
        <v>11</v>
      </c>
      <c r="N652" s="131">
        <v>12</v>
      </c>
      <c r="O652" s="130">
        <v>13</v>
      </c>
      <c r="P652" s="131">
        <v>14</v>
      </c>
      <c r="Q652" s="130">
        <v>15</v>
      </c>
      <c r="R652" s="131">
        <v>16</v>
      </c>
      <c r="S652" s="130">
        <v>17</v>
      </c>
      <c r="T652" s="131">
        <v>18</v>
      </c>
      <c r="U652" s="130">
        <v>19</v>
      </c>
      <c r="V652" s="131">
        <v>20</v>
      </c>
      <c r="W652" s="130">
        <v>21</v>
      </c>
      <c r="X652" s="131">
        <v>22</v>
      </c>
      <c r="Y652" s="130">
        <v>23</v>
      </c>
      <c r="Z652" s="131">
        <v>24</v>
      </c>
      <c r="AA652" s="130">
        <v>25</v>
      </c>
      <c r="AB652" s="131">
        <v>26</v>
      </c>
      <c r="AC652" s="130">
        <v>27</v>
      </c>
      <c r="AD652" s="131">
        <v>28</v>
      </c>
      <c r="AE652" s="130">
        <v>29</v>
      </c>
      <c r="AF652" s="131">
        <v>30</v>
      </c>
      <c r="AG652" s="130">
        <v>31</v>
      </c>
      <c r="AH652" s="131">
        <v>32</v>
      </c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/>
      <c r="BE652" s="21"/>
    </row>
    <row r="653" spans="1:57" x14ac:dyDescent="0.25">
      <c r="A653" s="21"/>
      <c r="B653" s="64"/>
      <c r="C653" s="62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/>
      <c r="BE653" s="21"/>
    </row>
    <row r="654" spans="1:57" x14ac:dyDescent="0.25">
      <c r="A654" s="21"/>
      <c r="B654" s="64"/>
      <c r="C654" s="62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/>
      <c r="BE654" s="21"/>
    </row>
    <row r="655" spans="1:57" x14ac:dyDescent="0.25">
      <c r="A655" s="21"/>
      <c r="B655" s="64"/>
      <c r="C655" s="62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/>
      <c r="BE655" s="21"/>
    </row>
    <row r="656" spans="1:57" x14ac:dyDescent="0.25">
      <c r="A656" s="114" t="s">
        <v>575</v>
      </c>
      <c r="B656" s="114"/>
      <c r="C656" s="114"/>
      <c r="D656" s="68">
        <v>1</v>
      </c>
      <c r="E656" s="68">
        <v>2</v>
      </c>
      <c r="F656" s="68">
        <v>3</v>
      </c>
      <c r="G656" s="68">
        <v>4</v>
      </c>
      <c r="H656" s="68">
        <v>5</v>
      </c>
      <c r="I656" s="68">
        <v>6</v>
      </c>
      <c r="J656" s="68">
        <v>7</v>
      </c>
      <c r="K656" s="68">
        <v>8</v>
      </c>
      <c r="L656" s="68">
        <v>9</v>
      </c>
      <c r="M656" s="68">
        <v>10</v>
      </c>
      <c r="N656" s="68">
        <v>11</v>
      </c>
      <c r="O656" s="68">
        <v>12</v>
      </c>
      <c r="P656" s="68">
        <v>13</v>
      </c>
      <c r="Q656" s="68">
        <v>14</v>
      </c>
      <c r="R656" s="68">
        <v>15</v>
      </c>
      <c r="S656" s="68">
        <v>16</v>
      </c>
      <c r="T656" s="68">
        <v>17</v>
      </c>
      <c r="U656" s="68">
        <v>18</v>
      </c>
      <c r="V656" s="68">
        <v>19</v>
      </c>
      <c r="W656" s="68">
        <v>20</v>
      </c>
      <c r="X656" s="68">
        <v>21</v>
      </c>
      <c r="Y656" s="68">
        <v>22</v>
      </c>
      <c r="Z656" s="68">
        <v>23</v>
      </c>
      <c r="AA656" s="68">
        <v>24</v>
      </c>
      <c r="AB656" s="68">
        <v>25</v>
      </c>
      <c r="AC656" s="68">
        <v>26</v>
      </c>
      <c r="AD656" s="68">
        <v>27</v>
      </c>
      <c r="AE656" s="68">
        <v>28</v>
      </c>
      <c r="AF656" s="68">
        <v>29</v>
      </c>
      <c r="AG656" s="68">
        <v>30</v>
      </c>
      <c r="AH656" s="68">
        <v>31</v>
      </c>
      <c r="AI656" s="68">
        <v>32</v>
      </c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/>
      <c r="BE656" s="21"/>
    </row>
    <row r="657" spans="1:57" x14ac:dyDescent="0.25">
      <c r="A657" s="64" t="s">
        <v>549</v>
      </c>
      <c r="B657" s="64"/>
      <c r="C657" s="62"/>
      <c r="D657" s="68">
        <f>C615</f>
        <v>1</v>
      </c>
      <c r="E657" s="68">
        <f t="shared" ref="E657" si="2239">D615</f>
        <v>0</v>
      </c>
      <c r="F657" s="68">
        <f t="shared" ref="F657" si="2240">E615</f>
        <v>1</v>
      </c>
      <c r="G657" s="68">
        <f t="shared" ref="G657" si="2241">F615</f>
        <v>1</v>
      </c>
      <c r="H657" s="68">
        <f t="shared" ref="H657" si="2242">G615</f>
        <v>1</v>
      </c>
      <c r="I657" s="68">
        <f t="shared" ref="I657" si="2243">H615</f>
        <v>1</v>
      </c>
      <c r="J657" s="68">
        <f t="shared" ref="J657" si="2244">I615</f>
        <v>0</v>
      </c>
      <c r="K657" s="68">
        <f t="shared" ref="K657" si="2245">J615</f>
        <v>0</v>
      </c>
      <c r="L657" s="68">
        <f t="shared" ref="L657" si="2246">K615</f>
        <v>0</v>
      </c>
      <c r="M657" s="68">
        <f t="shared" ref="M657" si="2247">L615</f>
        <v>1</v>
      </c>
      <c r="N657" s="68">
        <f t="shared" ref="N657" si="2248">M615</f>
        <v>1</v>
      </c>
      <c r="O657" s="68">
        <f t="shared" ref="O657" si="2249">N615</f>
        <v>1</v>
      </c>
      <c r="P657" s="68">
        <f t="shared" ref="P657" si="2250">O615</f>
        <v>1</v>
      </c>
      <c r="Q657" s="68">
        <f t="shared" ref="Q657" si="2251">P615</f>
        <v>1</v>
      </c>
      <c r="R657" s="68">
        <f t="shared" ref="R657" si="2252">Q615</f>
        <v>1</v>
      </c>
      <c r="S657" s="68">
        <f t="shared" ref="S657" si="2253">R615</f>
        <v>1</v>
      </c>
      <c r="T657" s="68">
        <f t="shared" ref="T657" si="2254">S615</f>
        <v>1</v>
      </c>
      <c r="U657" s="68">
        <f t="shared" ref="U657" si="2255">T615</f>
        <v>0</v>
      </c>
      <c r="V657" s="68">
        <f t="shared" ref="V657" si="2256">U615</f>
        <v>0</v>
      </c>
      <c r="W657" s="68">
        <f t="shared" ref="W657" si="2257">V615</f>
        <v>0</v>
      </c>
      <c r="X657" s="68">
        <f t="shared" ref="X657" si="2258">W615</f>
        <v>1</v>
      </c>
      <c r="Y657" s="68">
        <f t="shared" ref="Y657" si="2259">X615</f>
        <v>0</v>
      </c>
      <c r="Z657" s="68">
        <f t="shared" ref="Z657" si="2260">Y615</f>
        <v>0</v>
      </c>
      <c r="AA657" s="68">
        <f t="shared" ref="AA657" si="2261">Z615</f>
        <v>1</v>
      </c>
      <c r="AB657" s="68">
        <f t="shared" ref="AB657" si="2262">AA615</f>
        <v>1</v>
      </c>
      <c r="AC657" s="68">
        <f t="shared" ref="AC657" si="2263">AB615</f>
        <v>1</v>
      </c>
      <c r="AD657" s="68">
        <f t="shared" ref="AD657" si="2264">AC615</f>
        <v>0</v>
      </c>
      <c r="AE657" s="68">
        <f t="shared" ref="AE657" si="2265">AD615</f>
        <v>1</v>
      </c>
      <c r="AF657" s="68">
        <f t="shared" ref="AF657" si="2266">AE615</f>
        <v>1</v>
      </c>
      <c r="AG657" s="68">
        <f t="shared" ref="AG657" si="2267">AF615</f>
        <v>0</v>
      </c>
      <c r="AH657" s="68">
        <f t="shared" ref="AH657" si="2268">AG615</f>
        <v>0</v>
      </c>
      <c r="AI657" s="68">
        <f t="shared" ref="AI657" si="2269">AH615</f>
        <v>0</v>
      </c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</row>
    <row r="658" spans="1:57" x14ac:dyDescent="0.25">
      <c r="A658" s="21"/>
      <c r="B658" s="64"/>
      <c r="C658" s="62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</row>
    <row r="659" spans="1:57" x14ac:dyDescent="0.25">
      <c r="A659" s="114" t="s">
        <v>576</v>
      </c>
      <c r="B659" s="114"/>
      <c r="C659" s="114"/>
      <c r="D659" s="70">
        <v>1</v>
      </c>
      <c r="E659" s="70">
        <v>2</v>
      </c>
      <c r="F659" s="70">
        <v>3</v>
      </c>
      <c r="G659" s="70">
        <v>4</v>
      </c>
      <c r="H659" s="70">
        <v>5</v>
      </c>
      <c r="I659" s="70">
        <v>6</v>
      </c>
      <c r="J659" s="70">
        <v>7</v>
      </c>
      <c r="K659" s="70">
        <v>8</v>
      </c>
      <c r="L659" s="70">
        <v>9</v>
      </c>
      <c r="M659" s="70">
        <v>10</v>
      </c>
      <c r="N659" s="70">
        <v>11</v>
      </c>
      <c r="O659" s="70">
        <v>12</v>
      </c>
      <c r="P659" s="70">
        <v>13</v>
      </c>
      <c r="Q659" s="70">
        <v>14</v>
      </c>
      <c r="R659" s="70">
        <v>15</v>
      </c>
      <c r="S659" s="70">
        <v>16</v>
      </c>
      <c r="T659" s="70">
        <v>17</v>
      </c>
      <c r="U659" s="70">
        <v>18</v>
      </c>
      <c r="V659" s="70">
        <v>19</v>
      </c>
      <c r="W659" s="70">
        <v>20</v>
      </c>
      <c r="X659" s="70">
        <v>21</v>
      </c>
      <c r="Y659" s="70">
        <v>22</v>
      </c>
      <c r="Z659" s="70">
        <v>23</v>
      </c>
      <c r="AA659" s="70">
        <v>24</v>
      </c>
      <c r="AB659" s="70">
        <v>25</v>
      </c>
      <c r="AC659" s="70">
        <v>26</v>
      </c>
      <c r="AD659" s="70">
        <v>27</v>
      </c>
      <c r="AE659" s="70">
        <v>28</v>
      </c>
      <c r="AF659" s="70">
        <v>29</v>
      </c>
      <c r="AG659" s="70">
        <v>30</v>
      </c>
      <c r="AH659" s="70">
        <v>31</v>
      </c>
      <c r="AI659" s="70">
        <v>32</v>
      </c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</row>
    <row r="660" spans="1:57" x14ac:dyDescent="0.25">
      <c r="A660" s="64" t="s">
        <v>551</v>
      </c>
      <c r="B660" s="64"/>
      <c r="C660" s="62"/>
      <c r="D660" s="70">
        <f>--_xlfn.XOR(C651,D608)</f>
        <v>1</v>
      </c>
      <c r="E660" s="70">
        <f t="shared" ref="E660:AI660" si="2270">--_xlfn.XOR(D651,E608)</f>
        <v>1</v>
      </c>
      <c r="F660" s="70">
        <f t="shared" si="2270"/>
        <v>0</v>
      </c>
      <c r="G660" s="70">
        <f t="shared" si="2270"/>
        <v>1</v>
      </c>
      <c r="H660" s="70">
        <f t="shared" si="2270"/>
        <v>0</v>
      </c>
      <c r="I660" s="70">
        <f t="shared" si="2270"/>
        <v>1</v>
      </c>
      <c r="J660" s="70">
        <f t="shared" si="2270"/>
        <v>0</v>
      </c>
      <c r="K660" s="70">
        <f t="shared" si="2270"/>
        <v>0</v>
      </c>
      <c r="L660" s="70">
        <f t="shared" si="2270"/>
        <v>1</v>
      </c>
      <c r="M660" s="70">
        <f t="shared" si="2270"/>
        <v>1</v>
      </c>
      <c r="N660" s="70">
        <f t="shared" si="2270"/>
        <v>0</v>
      </c>
      <c r="O660" s="70">
        <f t="shared" si="2270"/>
        <v>1</v>
      </c>
      <c r="P660" s="70">
        <f t="shared" si="2270"/>
        <v>0</v>
      </c>
      <c r="Q660" s="70">
        <f t="shared" si="2270"/>
        <v>1</v>
      </c>
      <c r="R660" s="70">
        <f t="shared" si="2270"/>
        <v>1</v>
      </c>
      <c r="S660" s="70">
        <f t="shared" si="2270"/>
        <v>0</v>
      </c>
      <c r="T660" s="70">
        <f t="shared" si="2270"/>
        <v>0</v>
      </c>
      <c r="U660" s="70">
        <f t="shared" si="2270"/>
        <v>0</v>
      </c>
      <c r="V660" s="70">
        <f t="shared" si="2270"/>
        <v>1</v>
      </c>
      <c r="W660" s="70">
        <f t="shared" si="2270"/>
        <v>1</v>
      </c>
      <c r="X660" s="70">
        <f t="shared" si="2270"/>
        <v>1</v>
      </c>
      <c r="Y660" s="70">
        <f t="shared" si="2270"/>
        <v>1</v>
      </c>
      <c r="Z660" s="70">
        <f t="shared" si="2270"/>
        <v>1</v>
      </c>
      <c r="AA660" s="70">
        <f t="shared" si="2270"/>
        <v>1</v>
      </c>
      <c r="AB660" s="70">
        <f t="shared" si="2270"/>
        <v>0</v>
      </c>
      <c r="AC660" s="70">
        <f t="shared" si="2270"/>
        <v>0</v>
      </c>
      <c r="AD660" s="70">
        <f t="shared" si="2270"/>
        <v>0</v>
      </c>
      <c r="AE660" s="70">
        <f t="shared" si="2270"/>
        <v>0</v>
      </c>
      <c r="AF660" s="70">
        <f t="shared" si="2270"/>
        <v>0</v>
      </c>
      <c r="AG660" s="70">
        <f t="shared" si="2270"/>
        <v>1</v>
      </c>
      <c r="AH660" s="70">
        <f t="shared" si="2270"/>
        <v>0</v>
      </c>
      <c r="AI660" s="70">
        <f t="shared" si="2270"/>
        <v>0</v>
      </c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/>
      <c r="BE660" s="21"/>
    </row>
    <row r="661" spans="1:57" x14ac:dyDescent="0.25">
      <c r="A661" s="132" t="s">
        <v>643</v>
      </c>
      <c r="B661" s="64"/>
      <c r="C661" s="62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/>
      <c r="BE661" s="21"/>
    </row>
    <row r="662" spans="1:57" x14ac:dyDescent="0.25">
      <c r="A662" s="132"/>
      <c r="B662" s="133"/>
      <c r="C662" s="134"/>
      <c r="D662" s="132"/>
      <c r="E662" s="132"/>
      <c r="F662" s="132"/>
      <c r="G662" s="132"/>
      <c r="H662" s="132"/>
      <c r="I662" s="132"/>
      <c r="J662" s="132"/>
      <c r="K662" s="132"/>
      <c r="L662" s="132"/>
      <c r="M662" s="132"/>
      <c r="N662" s="132"/>
      <c r="O662" s="132"/>
      <c r="P662" s="132"/>
      <c r="Q662" s="132"/>
      <c r="R662" s="132"/>
      <c r="S662" s="132"/>
      <c r="T662" s="132"/>
      <c r="U662" s="132"/>
      <c r="V662" s="132"/>
      <c r="W662" s="132"/>
      <c r="X662" s="132"/>
      <c r="Y662" s="132"/>
      <c r="Z662" s="132"/>
      <c r="AA662" s="132"/>
      <c r="AB662" s="132"/>
      <c r="AC662" s="132"/>
      <c r="AD662" s="132"/>
      <c r="AE662" s="132"/>
      <c r="AF662" s="132"/>
      <c r="AG662" s="132"/>
      <c r="AH662" s="132"/>
      <c r="AI662" s="132"/>
      <c r="AJ662" s="132"/>
      <c r="AK662" s="132"/>
      <c r="AL662" s="132"/>
      <c r="AM662" s="132"/>
      <c r="AN662" s="132"/>
      <c r="AO662" s="132"/>
      <c r="AP662" s="132"/>
      <c r="AQ662" s="132"/>
      <c r="AR662" s="132"/>
      <c r="AS662" s="132"/>
      <c r="AT662" s="132"/>
      <c r="AU662" s="132"/>
      <c r="AV662" s="132"/>
      <c r="AW662" s="132"/>
      <c r="AX662" s="132"/>
      <c r="AY662" s="132"/>
      <c r="AZ662" s="132"/>
      <c r="BA662" s="132"/>
      <c r="BB662" s="132"/>
      <c r="BC662" s="132"/>
      <c r="BD662" s="132"/>
      <c r="BE662" s="132"/>
    </row>
    <row r="663" spans="1:57" x14ac:dyDescent="0.25">
      <c r="A663" s="21"/>
      <c r="B663" s="21"/>
      <c r="C663" s="70">
        <v>1</v>
      </c>
      <c r="D663" s="70">
        <v>2</v>
      </c>
      <c r="E663" s="70">
        <v>3</v>
      </c>
      <c r="F663" s="70">
        <v>4</v>
      </c>
      <c r="G663" s="70">
        <v>5</v>
      </c>
      <c r="H663" s="70">
        <v>6</v>
      </c>
      <c r="I663" s="70">
        <v>7</v>
      </c>
      <c r="J663" s="70">
        <v>8</v>
      </c>
      <c r="K663" s="70">
        <v>9</v>
      </c>
      <c r="L663" s="70">
        <v>10</v>
      </c>
      <c r="M663" s="70">
        <v>11</v>
      </c>
      <c r="N663" s="70">
        <v>12</v>
      </c>
      <c r="O663" s="70">
        <v>13</v>
      </c>
      <c r="P663" s="70">
        <v>14</v>
      </c>
      <c r="Q663" s="70">
        <v>15</v>
      </c>
      <c r="R663" s="70">
        <v>16</v>
      </c>
      <c r="S663" s="70">
        <v>17</v>
      </c>
      <c r="T663" s="70">
        <v>18</v>
      </c>
      <c r="U663" s="70">
        <v>19</v>
      </c>
      <c r="V663" s="70">
        <v>20</v>
      </c>
      <c r="W663" s="70">
        <v>21</v>
      </c>
      <c r="X663" s="70">
        <v>22</v>
      </c>
      <c r="Y663" s="70">
        <v>23</v>
      </c>
      <c r="Z663" s="70">
        <v>24</v>
      </c>
      <c r="AA663" s="70">
        <v>25</v>
      </c>
      <c r="AB663" s="70">
        <v>26</v>
      </c>
      <c r="AC663" s="70">
        <v>27</v>
      </c>
      <c r="AD663" s="70">
        <v>28</v>
      </c>
      <c r="AE663" s="70">
        <v>29</v>
      </c>
      <c r="AF663" s="70">
        <v>30</v>
      </c>
      <c r="AG663" s="70">
        <v>31</v>
      </c>
      <c r="AH663" s="70">
        <v>32</v>
      </c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/>
      <c r="BE663" s="21"/>
    </row>
    <row r="664" spans="1:57" x14ac:dyDescent="0.25">
      <c r="A664" s="114" t="s">
        <v>576</v>
      </c>
      <c r="B664" s="114"/>
      <c r="C664" s="70">
        <f>D660</f>
        <v>1</v>
      </c>
      <c r="D664" s="70">
        <f t="shared" ref="D664" si="2271">E660</f>
        <v>1</v>
      </c>
      <c r="E664" s="70">
        <f t="shared" ref="E664" si="2272">F660</f>
        <v>0</v>
      </c>
      <c r="F664" s="70">
        <f t="shared" ref="F664" si="2273">G660</f>
        <v>1</v>
      </c>
      <c r="G664" s="70">
        <f t="shared" ref="G664" si="2274">H660</f>
        <v>0</v>
      </c>
      <c r="H664" s="70">
        <f t="shared" ref="H664" si="2275">I660</f>
        <v>1</v>
      </c>
      <c r="I664" s="70">
        <f t="shared" ref="I664" si="2276">J660</f>
        <v>0</v>
      </c>
      <c r="J664" s="70">
        <f t="shared" ref="J664" si="2277">K660</f>
        <v>0</v>
      </c>
      <c r="K664" s="70">
        <f t="shared" ref="K664" si="2278">L660</f>
        <v>1</v>
      </c>
      <c r="L664" s="70">
        <f t="shared" ref="L664" si="2279">M660</f>
        <v>1</v>
      </c>
      <c r="M664" s="70">
        <f t="shared" ref="M664" si="2280">N660</f>
        <v>0</v>
      </c>
      <c r="N664" s="70">
        <f t="shared" ref="N664" si="2281">O660</f>
        <v>1</v>
      </c>
      <c r="O664" s="70">
        <f t="shared" ref="O664" si="2282">P660</f>
        <v>0</v>
      </c>
      <c r="P664" s="70">
        <f t="shared" ref="P664" si="2283">Q660</f>
        <v>1</v>
      </c>
      <c r="Q664" s="70">
        <f t="shared" ref="Q664" si="2284">R660</f>
        <v>1</v>
      </c>
      <c r="R664" s="70">
        <f t="shared" ref="R664" si="2285">S660</f>
        <v>0</v>
      </c>
      <c r="S664" s="70">
        <f t="shared" ref="S664" si="2286">T660</f>
        <v>0</v>
      </c>
      <c r="T664" s="70">
        <f t="shared" ref="T664" si="2287">U660</f>
        <v>0</v>
      </c>
      <c r="U664" s="70">
        <f t="shared" ref="U664" si="2288">V660</f>
        <v>1</v>
      </c>
      <c r="V664" s="70">
        <f t="shared" ref="V664" si="2289">W660</f>
        <v>1</v>
      </c>
      <c r="W664" s="70">
        <f t="shared" ref="W664" si="2290">X660</f>
        <v>1</v>
      </c>
      <c r="X664" s="70">
        <f t="shared" ref="X664" si="2291">Y660</f>
        <v>1</v>
      </c>
      <c r="Y664" s="70">
        <f t="shared" ref="Y664" si="2292">Z660</f>
        <v>1</v>
      </c>
      <c r="Z664" s="70">
        <f t="shared" ref="Z664" si="2293">AA660</f>
        <v>1</v>
      </c>
      <c r="AA664" s="70">
        <f t="shared" ref="AA664" si="2294">AB660</f>
        <v>0</v>
      </c>
      <c r="AB664" s="70">
        <f t="shared" ref="AB664" si="2295">AC660</f>
        <v>0</v>
      </c>
      <c r="AC664" s="70">
        <f t="shared" ref="AC664" si="2296">AD660</f>
        <v>0</v>
      </c>
      <c r="AD664" s="70">
        <f t="shared" ref="AD664" si="2297">AE660</f>
        <v>0</v>
      </c>
      <c r="AE664" s="70">
        <f t="shared" ref="AE664" si="2298">AF660</f>
        <v>0</v>
      </c>
      <c r="AF664" s="70">
        <f t="shared" ref="AF664" si="2299">AG660</f>
        <v>1</v>
      </c>
      <c r="AG664" s="70">
        <f t="shared" ref="AG664" si="2300">AH660</f>
        <v>0</v>
      </c>
      <c r="AH664" s="70">
        <f t="shared" ref="AH664" si="2301">AI660</f>
        <v>0</v>
      </c>
      <c r="AI664" s="135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/>
      <c r="BE664" s="21"/>
    </row>
    <row r="665" spans="1:57" x14ac:dyDescent="0.25">
      <c r="A665" s="21"/>
      <c r="B665" s="64"/>
      <c r="C665" s="62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/>
      <c r="BE665" s="21"/>
    </row>
    <row r="666" spans="1:57" x14ac:dyDescent="0.25">
      <c r="A666" s="132"/>
      <c r="B666" s="133"/>
      <c r="C666" s="134"/>
      <c r="D666" s="132"/>
      <c r="E666" s="132"/>
      <c r="F666" s="132"/>
      <c r="G666" s="132"/>
      <c r="H666" s="132"/>
      <c r="I666" s="132"/>
      <c r="J666" s="132"/>
      <c r="K666" s="132"/>
      <c r="L666" s="132"/>
      <c r="M666" s="132"/>
      <c r="N666" s="132"/>
      <c r="O666" s="132"/>
      <c r="P666" s="132"/>
      <c r="Q666" s="132"/>
      <c r="R666" s="132"/>
      <c r="S666" s="132"/>
      <c r="T666" s="132"/>
      <c r="U666" s="132"/>
      <c r="V666" s="132"/>
      <c r="W666" s="132"/>
      <c r="X666" s="132"/>
      <c r="Y666" s="132"/>
      <c r="Z666" s="132"/>
      <c r="AA666" s="132"/>
      <c r="AB666" s="132"/>
      <c r="AC666" s="132"/>
      <c r="AD666" s="132"/>
      <c r="AE666" s="132"/>
      <c r="AF666" s="132"/>
      <c r="AG666" s="132"/>
      <c r="AH666" s="132"/>
      <c r="AI666" s="132"/>
      <c r="AJ666" s="132"/>
      <c r="AK666" s="132"/>
      <c r="AL666" s="132"/>
      <c r="AM666" s="132"/>
      <c r="AN666" s="132"/>
      <c r="AO666" s="132"/>
      <c r="AP666" s="132"/>
      <c r="AQ666" s="132"/>
      <c r="AR666" s="132"/>
      <c r="AS666" s="132"/>
      <c r="AT666" s="132"/>
      <c r="AU666" s="132"/>
      <c r="AV666" s="132"/>
      <c r="AW666" s="132"/>
      <c r="AX666" s="132"/>
      <c r="AY666" s="132"/>
      <c r="AZ666" s="21"/>
      <c r="BA666" s="21"/>
      <c r="BB666" s="21"/>
      <c r="BC666" s="21"/>
      <c r="BD666" s="21"/>
      <c r="BE666" s="21"/>
    </row>
    <row r="667" spans="1:57" x14ac:dyDescent="0.25">
      <c r="A667" s="21"/>
      <c r="B667" s="64"/>
      <c r="C667" s="62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/>
      <c r="BE667" s="21"/>
    </row>
    <row r="668" spans="1:57" x14ac:dyDescent="0.25">
      <c r="A668" s="118" t="s">
        <v>532</v>
      </c>
      <c r="B668" s="118"/>
      <c r="C668" s="75">
        <v>32</v>
      </c>
      <c r="D668" s="74">
        <v>1</v>
      </c>
      <c r="E668" s="74">
        <v>2</v>
      </c>
      <c r="F668" s="74">
        <v>3</v>
      </c>
      <c r="G668" s="74">
        <v>4</v>
      </c>
      <c r="H668" s="73">
        <v>5</v>
      </c>
      <c r="I668" s="122"/>
      <c r="J668" s="118">
        <f>AH664</f>
        <v>0</v>
      </c>
      <c r="K668" s="118">
        <f>C664</f>
        <v>1</v>
      </c>
      <c r="L668" s="118">
        <f>D664</f>
        <v>1</v>
      </c>
      <c r="M668" s="118">
        <f>E664</f>
        <v>0</v>
      </c>
      <c r="N668" s="69">
        <f>F664</f>
        <v>1</v>
      </c>
      <c r="O668" s="119">
        <f>G664</f>
        <v>0</v>
      </c>
      <c r="P668" s="122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/>
      <c r="BE668" s="21"/>
    </row>
    <row r="669" spans="1:57" x14ac:dyDescent="0.25">
      <c r="A669" s="21"/>
      <c r="B669" s="64"/>
      <c r="C669" s="75">
        <v>4</v>
      </c>
      <c r="D669" s="74">
        <v>5</v>
      </c>
      <c r="E669" s="74">
        <v>6</v>
      </c>
      <c r="F669" s="74">
        <v>7</v>
      </c>
      <c r="G669" s="74">
        <v>8</v>
      </c>
      <c r="H669" s="73">
        <v>9</v>
      </c>
      <c r="I669" s="122"/>
      <c r="J669" s="118">
        <f t="shared" ref="J669" si="2302">F664</f>
        <v>1</v>
      </c>
      <c r="K669" s="69">
        <f t="shared" ref="K669" si="2303">G664</f>
        <v>0</v>
      </c>
      <c r="L669" s="69">
        <f t="shared" ref="L669" si="2304">H664</f>
        <v>1</v>
      </c>
      <c r="M669" s="69">
        <f t="shared" ref="M669" si="2305">I664</f>
        <v>0</v>
      </c>
      <c r="N669" s="69">
        <f t="shared" ref="N669" si="2306">J664</f>
        <v>0</v>
      </c>
      <c r="O669" s="119">
        <f t="shared" ref="O669" si="2307">K664</f>
        <v>1</v>
      </c>
      <c r="P669" s="122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/>
      <c r="BE669" s="21"/>
    </row>
    <row r="670" spans="1:57" x14ac:dyDescent="0.25">
      <c r="A670" s="21"/>
      <c r="B670" s="64"/>
      <c r="C670" s="75">
        <v>8</v>
      </c>
      <c r="D670" s="74">
        <v>9</v>
      </c>
      <c r="E670" s="74">
        <v>10</v>
      </c>
      <c r="F670" s="74">
        <v>11</v>
      </c>
      <c r="G670" s="74">
        <v>12</v>
      </c>
      <c r="H670" s="73">
        <v>13</v>
      </c>
      <c r="I670" s="123"/>
      <c r="J670" s="120">
        <f t="shared" ref="J670:O670" si="2308">J664</f>
        <v>0</v>
      </c>
      <c r="K670" s="69">
        <f t="shared" si="2308"/>
        <v>1</v>
      </c>
      <c r="L670" s="69">
        <f t="shared" si="2308"/>
        <v>1</v>
      </c>
      <c r="M670" s="69">
        <f t="shared" si="2308"/>
        <v>0</v>
      </c>
      <c r="N670" s="69">
        <f t="shared" si="2308"/>
        <v>1</v>
      </c>
      <c r="O670" s="119">
        <f t="shared" si="2308"/>
        <v>0</v>
      </c>
      <c r="P670" s="123"/>
      <c r="Q670" s="21"/>
      <c r="R670" s="21"/>
      <c r="S670" s="21"/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/>
      <c r="BE670" s="21"/>
    </row>
    <row r="671" spans="1:57" x14ac:dyDescent="0.25">
      <c r="A671" s="21"/>
      <c r="B671" s="64"/>
      <c r="C671" s="75">
        <v>12</v>
      </c>
      <c r="D671" s="74">
        <v>13</v>
      </c>
      <c r="E671" s="74">
        <v>14</v>
      </c>
      <c r="F671" s="74">
        <v>15</v>
      </c>
      <c r="G671" s="74">
        <v>16</v>
      </c>
      <c r="H671" s="73">
        <v>17</v>
      </c>
      <c r="I671" s="122"/>
      <c r="J671" s="118">
        <f t="shared" ref="J671" si="2309">N664</f>
        <v>1</v>
      </c>
      <c r="K671" s="69">
        <f t="shared" ref="K671" si="2310">O664</f>
        <v>0</v>
      </c>
      <c r="L671" s="69">
        <f t="shared" ref="L671" si="2311">P664</f>
        <v>1</v>
      </c>
      <c r="M671" s="69">
        <f t="shared" ref="M671" si="2312">Q664</f>
        <v>1</v>
      </c>
      <c r="N671" s="69">
        <f t="shared" ref="N671" si="2313">R664</f>
        <v>0</v>
      </c>
      <c r="O671" s="119">
        <f t="shared" ref="O671" si="2314">S664</f>
        <v>0</v>
      </c>
      <c r="P671" s="122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/>
      <c r="BE671" s="21"/>
    </row>
    <row r="672" spans="1:57" x14ac:dyDescent="0.25">
      <c r="A672" s="21"/>
      <c r="B672" s="64"/>
      <c r="C672" s="75">
        <v>16</v>
      </c>
      <c r="D672" s="74">
        <v>17</v>
      </c>
      <c r="E672" s="74">
        <v>18</v>
      </c>
      <c r="F672" s="74">
        <v>19</v>
      </c>
      <c r="G672" s="74">
        <v>20</v>
      </c>
      <c r="H672" s="73">
        <v>21</v>
      </c>
      <c r="I672" s="122"/>
      <c r="J672" s="118">
        <f t="shared" ref="J672" si="2315">R664</f>
        <v>0</v>
      </c>
      <c r="K672" s="69">
        <f t="shared" ref="K672" si="2316">S664</f>
        <v>0</v>
      </c>
      <c r="L672" s="69">
        <f t="shared" ref="L672" si="2317">T664</f>
        <v>0</v>
      </c>
      <c r="M672" s="69">
        <f t="shared" ref="M672" si="2318">U664</f>
        <v>1</v>
      </c>
      <c r="N672" s="69">
        <f t="shared" ref="N672" si="2319">V664</f>
        <v>1</v>
      </c>
      <c r="O672" s="119">
        <f t="shared" ref="O672" si="2320">W664</f>
        <v>1</v>
      </c>
      <c r="P672" s="122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/>
      <c r="BE672" s="21"/>
    </row>
    <row r="673" spans="1:57" x14ac:dyDescent="0.25">
      <c r="A673" s="21"/>
      <c r="B673" s="64"/>
      <c r="C673" s="75">
        <v>20</v>
      </c>
      <c r="D673" s="74">
        <v>21</v>
      </c>
      <c r="E673" s="74">
        <v>22</v>
      </c>
      <c r="F673" s="74">
        <v>23</v>
      </c>
      <c r="G673" s="74">
        <v>24</v>
      </c>
      <c r="H673" s="73">
        <v>25</v>
      </c>
      <c r="I673" s="122"/>
      <c r="J673" s="118">
        <f t="shared" ref="J673" si="2321">V664</f>
        <v>1</v>
      </c>
      <c r="K673" s="69">
        <f t="shared" ref="K673" si="2322">W664</f>
        <v>1</v>
      </c>
      <c r="L673" s="69">
        <f t="shared" ref="L673" si="2323">X664</f>
        <v>1</v>
      </c>
      <c r="M673" s="69">
        <f t="shared" ref="M673" si="2324">Y664</f>
        <v>1</v>
      </c>
      <c r="N673" s="69">
        <f t="shared" ref="N673" si="2325">Z664</f>
        <v>1</v>
      </c>
      <c r="O673" s="119">
        <f t="shared" ref="O673" si="2326">AA664</f>
        <v>0</v>
      </c>
      <c r="P673" s="122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21"/>
      <c r="BC673" s="21"/>
      <c r="BD673" s="21"/>
      <c r="BE673" s="21"/>
    </row>
    <row r="674" spans="1:57" x14ac:dyDescent="0.25">
      <c r="A674" s="21"/>
      <c r="B674" s="64"/>
      <c r="C674" s="75">
        <v>24</v>
      </c>
      <c r="D674" s="74">
        <v>25</v>
      </c>
      <c r="E674" s="74">
        <v>26</v>
      </c>
      <c r="F674" s="74">
        <v>27</v>
      </c>
      <c r="G674" s="74">
        <v>28</v>
      </c>
      <c r="H674" s="73">
        <v>29</v>
      </c>
      <c r="I674" s="122"/>
      <c r="J674" s="118">
        <f t="shared" ref="J674" si="2327">Z664</f>
        <v>1</v>
      </c>
      <c r="K674" s="69">
        <f t="shared" ref="K674" si="2328">AA664</f>
        <v>0</v>
      </c>
      <c r="L674" s="69">
        <f t="shared" ref="L674" si="2329">AB664</f>
        <v>0</v>
      </c>
      <c r="M674" s="69">
        <f t="shared" ref="M674" si="2330">AC664</f>
        <v>0</v>
      </c>
      <c r="N674" s="69">
        <f t="shared" ref="N674" si="2331">AD664</f>
        <v>0</v>
      </c>
      <c r="O674" s="119">
        <f t="shared" ref="O674" si="2332">AE664</f>
        <v>0</v>
      </c>
      <c r="P674" s="122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/>
      <c r="BE674" s="21"/>
    </row>
    <row r="675" spans="1:57" x14ac:dyDescent="0.25">
      <c r="A675" s="21"/>
      <c r="B675" s="64"/>
      <c r="C675" s="75">
        <v>28</v>
      </c>
      <c r="D675" s="74">
        <v>29</v>
      </c>
      <c r="E675" s="74">
        <v>30</v>
      </c>
      <c r="F675" s="74">
        <v>31</v>
      </c>
      <c r="G675" s="74">
        <v>32</v>
      </c>
      <c r="H675" s="73">
        <v>1</v>
      </c>
      <c r="I675" s="122"/>
      <c r="J675" s="70">
        <f>AD664</f>
        <v>0</v>
      </c>
      <c r="K675" s="71">
        <f>AE664</f>
        <v>0</v>
      </c>
      <c r="L675" s="71">
        <f>AF664</f>
        <v>1</v>
      </c>
      <c r="M675" s="71">
        <f>AG664</f>
        <v>0</v>
      </c>
      <c r="N675" s="71">
        <f>AH664</f>
        <v>0</v>
      </c>
      <c r="O675" s="121">
        <f>C664</f>
        <v>1</v>
      </c>
      <c r="P675" s="122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/>
      <c r="BE675" s="21"/>
    </row>
    <row r="676" spans="1:57" x14ac:dyDescent="0.25">
      <c r="A676" s="21"/>
      <c r="B676" s="64"/>
      <c r="C676" s="62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/>
      <c r="BE676" s="21"/>
    </row>
    <row r="677" spans="1:57" x14ac:dyDescent="0.25">
      <c r="A677" s="21"/>
      <c r="B677" s="64"/>
      <c r="C677" s="62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/>
      <c r="BE677" s="21"/>
    </row>
    <row r="678" spans="1:57" x14ac:dyDescent="0.25">
      <c r="A678" s="124" t="s">
        <v>533</v>
      </c>
      <c r="B678" s="124"/>
      <c r="C678" s="125">
        <v>1</v>
      </c>
      <c r="D678" s="126">
        <v>2</v>
      </c>
      <c r="E678" s="125">
        <v>3</v>
      </c>
      <c r="F678" s="126">
        <v>4</v>
      </c>
      <c r="G678" s="125">
        <v>5</v>
      </c>
      <c r="H678" s="126">
        <v>6</v>
      </c>
      <c r="I678" s="125">
        <v>7</v>
      </c>
      <c r="J678" s="126">
        <v>8</v>
      </c>
      <c r="K678" s="125">
        <v>9</v>
      </c>
      <c r="L678" s="126">
        <v>10</v>
      </c>
      <c r="M678" s="125">
        <v>11</v>
      </c>
      <c r="N678" s="126">
        <v>12</v>
      </c>
      <c r="O678" s="125">
        <v>13</v>
      </c>
      <c r="P678" s="126">
        <v>14</v>
      </c>
      <c r="Q678" s="125">
        <v>15</v>
      </c>
      <c r="R678" s="126">
        <v>16</v>
      </c>
      <c r="S678" s="125">
        <v>17</v>
      </c>
      <c r="T678" s="126">
        <v>18</v>
      </c>
      <c r="U678" s="125">
        <v>19</v>
      </c>
      <c r="V678" s="126">
        <v>20</v>
      </c>
      <c r="W678" s="125">
        <v>21</v>
      </c>
      <c r="X678" s="126">
        <v>22</v>
      </c>
      <c r="Y678" s="125">
        <v>23</v>
      </c>
      <c r="Z678" s="126">
        <v>24</v>
      </c>
      <c r="AA678" s="125">
        <v>25</v>
      </c>
      <c r="AB678" s="126">
        <v>26</v>
      </c>
      <c r="AC678" s="125">
        <v>27</v>
      </c>
      <c r="AD678" s="126">
        <v>28</v>
      </c>
      <c r="AE678" s="125">
        <v>29</v>
      </c>
      <c r="AF678" s="126">
        <v>30</v>
      </c>
      <c r="AG678" s="125">
        <v>31</v>
      </c>
      <c r="AH678" s="126">
        <v>32</v>
      </c>
      <c r="AI678" s="125">
        <v>33</v>
      </c>
      <c r="AJ678" s="126">
        <v>34</v>
      </c>
      <c r="AK678" s="125">
        <v>35</v>
      </c>
      <c r="AL678" s="126">
        <v>36</v>
      </c>
      <c r="AM678" s="125">
        <v>37</v>
      </c>
      <c r="AN678" s="126">
        <v>38</v>
      </c>
      <c r="AO678" s="125">
        <v>39</v>
      </c>
      <c r="AP678" s="126">
        <v>40</v>
      </c>
      <c r="AQ678" s="125">
        <v>41</v>
      </c>
      <c r="AR678" s="126">
        <v>42</v>
      </c>
      <c r="AS678" s="125">
        <v>43</v>
      </c>
      <c r="AT678" s="126">
        <v>44</v>
      </c>
      <c r="AU678" s="125">
        <v>45</v>
      </c>
      <c r="AV678" s="126">
        <v>46</v>
      </c>
      <c r="AW678" s="125">
        <v>47</v>
      </c>
      <c r="AX678" s="126">
        <v>48</v>
      </c>
      <c r="AY678" s="21"/>
      <c r="AZ678" s="21"/>
      <c r="BA678" s="21"/>
      <c r="BB678" s="21"/>
      <c r="BC678" s="21"/>
      <c r="BD678" s="21"/>
      <c r="BE678" s="21"/>
    </row>
    <row r="679" spans="1:57" x14ac:dyDescent="0.25">
      <c r="A679" s="21"/>
      <c r="B679" s="64"/>
      <c r="C679" s="125">
        <f t="shared" ref="C679" si="2333">J668</f>
        <v>0</v>
      </c>
      <c r="D679" s="125">
        <f t="shared" ref="D679" si="2334">K668</f>
        <v>1</v>
      </c>
      <c r="E679" s="125">
        <f t="shared" ref="E679" si="2335">L668</f>
        <v>1</v>
      </c>
      <c r="F679" s="125">
        <f t="shared" ref="F679" si="2336">M668</f>
        <v>0</v>
      </c>
      <c r="G679" s="126">
        <f t="shared" ref="G679" si="2337">N668</f>
        <v>1</v>
      </c>
      <c r="H679" s="126">
        <f t="shared" ref="H679" si="2338">O668</f>
        <v>0</v>
      </c>
      <c r="I679" s="125">
        <f t="shared" ref="I679" si="2339">J669</f>
        <v>1</v>
      </c>
      <c r="J679" s="125">
        <f t="shared" ref="J679" si="2340">K669</f>
        <v>0</v>
      </c>
      <c r="K679" s="125">
        <f t="shared" ref="K679" si="2341">L669</f>
        <v>1</v>
      </c>
      <c r="L679" s="125">
        <f t="shared" ref="L679" si="2342">M669</f>
        <v>0</v>
      </c>
      <c r="M679" s="125">
        <f t="shared" ref="M679" si="2343">N669</f>
        <v>0</v>
      </c>
      <c r="N679" s="125">
        <f t="shared" ref="N679" si="2344">O669</f>
        <v>1</v>
      </c>
      <c r="O679" s="126">
        <f t="shared" ref="O679" si="2345">J670</f>
        <v>0</v>
      </c>
      <c r="P679" s="126">
        <f t="shared" ref="P679" si="2346">K670</f>
        <v>1</v>
      </c>
      <c r="Q679" s="126">
        <f t="shared" ref="Q679" si="2347">L670</f>
        <v>1</v>
      </c>
      <c r="R679" s="126">
        <f t="shared" ref="R679" si="2348">M670</f>
        <v>0</v>
      </c>
      <c r="S679" s="126">
        <f t="shared" ref="S679" si="2349">N670</f>
        <v>1</v>
      </c>
      <c r="T679" s="126">
        <f t="shared" ref="T679" si="2350">O670</f>
        <v>0</v>
      </c>
      <c r="U679" s="125">
        <f t="shared" ref="U679" si="2351">J671</f>
        <v>1</v>
      </c>
      <c r="V679" s="126">
        <f t="shared" ref="V679" si="2352">K671</f>
        <v>0</v>
      </c>
      <c r="W679" s="125">
        <f t="shared" ref="W679" si="2353">L671</f>
        <v>1</v>
      </c>
      <c r="X679" s="126">
        <f t="shared" ref="X679" si="2354">M671</f>
        <v>1</v>
      </c>
      <c r="Y679" s="125">
        <f t="shared" ref="Y679" si="2355">N671</f>
        <v>0</v>
      </c>
      <c r="Z679" s="126">
        <f t="shared" ref="Z679" si="2356">O671</f>
        <v>0</v>
      </c>
      <c r="AA679" s="125">
        <f t="shared" ref="AA679" si="2357">J672</f>
        <v>0</v>
      </c>
      <c r="AB679" s="126">
        <f t="shared" ref="AB679" si="2358">K672</f>
        <v>0</v>
      </c>
      <c r="AC679" s="125">
        <f>L672</f>
        <v>0</v>
      </c>
      <c r="AD679" s="126">
        <f t="shared" ref="AD679" si="2359">M672</f>
        <v>1</v>
      </c>
      <c r="AE679" s="125">
        <f t="shared" ref="AE679" si="2360">N672</f>
        <v>1</v>
      </c>
      <c r="AF679" s="126">
        <f t="shared" ref="AF679" si="2361">O672</f>
        <v>1</v>
      </c>
      <c r="AG679" s="125">
        <f t="shared" ref="AG679" si="2362">J673</f>
        <v>1</v>
      </c>
      <c r="AH679" s="126">
        <f t="shared" ref="AH679" si="2363">K673</f>
        <v>1</v>
      </c>
      <c r="AI679" s="125">
        <f t="shared" ref="AI679" si="2364">L673</f>
        <v>1</v>
      </c>
      <c r="AJ679" s="126">
        <f t="shared" ref="AJ679" si="2365">M673</f>
        <v>1</v>
      </c>
      <c r="AK679" s="125">
        <f t="shared" ref="AK679" si="2366">N673</f>
        <v>1</v>
      </c>
      <c r="AL679" s="126">
        <f t="shared" ref="AL679" si="2367">O673</f>
        <v>0</v>
      </c>
      <c r="AM679" s="125">
        <f t="shared" ref="AM679" si="2368">J674</f>
        <v>1</v>
      </c>
      <c r="AN679" s="126">
        <f t="shared" ref="AN679" si="2369">K674</f>
        <v>0</v>
      </c>
      <c r="AO679" s="125">
        <f t="shared" ref="AO679" si="2370">L674</f>
        <v>0</v>
      </c>
      <c r="AP679" s="126">
        <f t="shared" ref="AP679" si="2371">M674</f>
        <v>0</v>
      </c>
      <c r="AQ679" s="125">
        <f t="shared" ref="AQ679" si="2372">N674</f>
        <v>0</v>
      </c>
      <c r="AR679" s="126">
        <f t="shared" ref="AR679" si="2373">O674</f>
        <v>0</v>
      </c>
      <c r="AS679" s="125">
        <f t="shared" ref="AS679" si="2374">J675</f>
        <v>0</v>
      </c>
      <c r="AT679" s="126">
        <f t="shared" ref="AT679" si="2375">K675</f>
        <v>0</v>
      </c>
      <c r="AU679" s="125">
        <f t="shared" ref="AU679" si="2376">L675</f>
        <v>1</v>
      </c>
      <c r="AV679" s="126">
        <f t="shared" ref="AV679" si="2377">M675</f>
        <v>0</v>
      </c>
      <c r="AW679" s="125">
        <f t="shared" ref="AW679" si="2378">N675</f>
        <v>0</v>
      </c>
      <c r="AX679" s="126">
        <f t="shared" ref="AX679" si="2379">O675</f>
        <v>1</v>
      </c>
      <c r="AY679" s="21"/>
      <c r="AZ679" s="21"/>
      <c r="BA679" s="21"/>
      <c r="BB679" s="21"/>
      <c r="BC679" s="21"/>
      <c r="BD679" s="21"/>
      <c r="BE679" s="21"/>
    </row>
    <row r="680" spans="1:57" x14ac:dyDescent="0.25">
      <c r="A680" s="21"/>
      <c r="B680" s="64"/>
      <c r="C680" s="62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/>
      <c r="BE680" s="21"/>
    </row>
    <row r="681" spans="1:57" x14ac:dyDescent="0.25">
      <c r="A681" s="21"/>
      <c r="B681" s="64"/>
      <c r="C681" s="62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/>
      <c r="BE681" s="21"/>
    </row>
    <row r="682" spans="1:57" x14ac:dyDescent="0.25">
      <c r="A682" s="127" t="s">
        <v>593</v>
      </c>
      <c r="B682" s="127"/>
      <c r="C682" s="77">
        <f>'Key Generator'!D135</f>
        <v>1</v>
      </c>
      <c r="D682" s="77">
        <f>'Key Generator'!E135</f>
        <v>2</v>
      </c>
      <c r="E682" s="77">
        <f>'Key Generator'!F135</f>
        <v>3</v>
      </c>
      <c r="F682" s="77">
        <f>'Key Generator'!G135</f>
        <v>4</v>
      </c>
      <c r="G682" s="77">
        <f>'Key Generator'!H135</f>
        <v>5</v>
      </c>
      <c r="H682" s="77">
        <f>'Key Generator'!I135</f>
        <v>6</v>
      </c>
      <c r="I682" s="77">
        <f>'Key Generator'!J135</f>
        <v>7</v>
      </c>
      <c r="J682" s="77">
        <f>'Key Generator'!K135</f>
        <v>8</v>
      </c>
      <c r="K682" s="77">
        <f>'Key Generator'!L135</f>
        <v>9</v>
      </c>
      <c r="L682" s="77">
        <f>'Key Generator'!M135</f>
        <v>10</v>
      </c>
      <c r="M682" s="77">
        <f>'Key Generator'!N135</f>
        <v>11</v>
      </c>
      <c r="N682" s="77">
        <f>'Key Generator'!O135</f>
        <v>12</v>
      </c>
      <c r="O682" s="77">
        <f>'Key Generator'!P135</f>
        <v>13</v>
      </c>
      <c r="P682" s="77">
        <f>'Key Generator'!Q135</f>
        <v>14</v>
      </c>
      <c r="Q682" s="77">
        <f>'Key Generator'!R135</f>
        <v>15</v>
      </c>
      <c r="R682" s="77">
        <f>'Key Generator'!S135</f>
        <v>16</v>
      </c>
      <c r="S682" s="77">
        <f>'Key Generator'!T135</f>
        <v>17</v>
      </c>
      <c r="T682" s="77">
        <f>'Key Generator'!U135</f>
        <v>18</v>
      </c>
      <c r="U682" s="77">
        <f>'Key Generator'!V135</f>
        <v>19</v>
      </c>
      <c r="V682" s="77">
        <f>'Key Generator'!W135</f>
        <v>20</v>
      </c>
      <c r="W682" s="77">
        <f>'Key Generator'!X135</f>
        <v>21</v>
      </c>
      <c r="X682" s="77">
        <f>'Key Generator'!Y135</f>
        <v>22</v>
      </c>
      <c r="Y682" s="77">
        <f>'Key Generator'!Z135</f>
        <v>23</v>
      </c>
      <c r="Z682" s="77">
        <f>'Key Generator'!AA135</f>
        <v>24</v>
      </c>
      <c r="AA682" s="77">
        <f>'Key Generator'!AB135</f>
        <v>25</v>
      </c>
      <c r="AB682" s="77">
        <f>'Key Generator'!AC135</f>
        <v>26</v>
      </c>
      <c r="AC682" s="77">
        <f>'Key Generator'!AD135</f>
        <v>27</v>
      </c>
      <c r="AD682" s="77">
        <f>'Key Generator'!AE135</f>
        <v>28</v>
      </c>
      <c r="AE682" s="77">
        <f>'Key Generator'!AF135</f>
        <v>29</v>
      </c>
      <c r="AF682" s="77">
        <f>'Key Generator'!AG135</f>
        <v>30</v>
      </c>
      <c r="AG682" s="77">
        <f>'Key Generator'!AH135</f>
        <v>31</v>
      </c>
      <c r="AH682" s="77">
        <f>'Key Generator'!AI135</f>
        <v>32</v>
      </c>
      <c r="AI682" s="77">
        <f>'Key Generator'!AJ135</f>
        <v>33</v>
      </c>
      <c r="AJ682" s="77">
        <f>'Key Generator'!AK135</f>
        <v>34</v>
      </c>
      <c r="AK682" s="77">
        <f>'Key Generator'!AL135</f>
        <v>35</v>
      </c>
      <c r="AL682" s="77">
        <f>'Key Generator'!AM135</f>
        <v>36</v>
      </c>
      <c r="AM682" s="77">
        <f>'Key Generator'!AN135</f>
        <v>37</v>
      </c>
      <c r="AN682" s="77">
        <f>'Key Generator'!AO135</f>
        <v>38</v>
      </c>
      <c r="AO682" s="77">
        <f>'Key Generator'!AP135</f>
        <v>39</v>
      </c>
      <c r="AP682" s="77">
        <f>'Key Generator'!AQ135</f>
        <v>40</v>
      </c>
      <c r="AQ682" s="77">
        <f>'Key Generator'!AR135</f>
        <v>41</v>
      </c>
      <c r="AR682" s="77">
        <f>'Key Generator'!AS135</f>
        <v>42</v>
      </c>
      <c r="AS682" s="77">
        <f>'Key Generator'!AT135</f>
        <v>43</v>
      </c>
      <c r="AT682" s="77">
        <f>'Key Generator'!AU135</f>
        <v>44</v>
      </c>
      <c r="AU682" s="77">
        <f>'Key Generator'!AV135</f>
        <v>45</v>
      </c>
      <c r="AV682" s="77">
        <f>'Key Generator'!AW135</f>
        <v>46</v>
      </c>
      <c r="AW682" s="77">
        <f>'Key Generator'!AX135</f>
        <v>47</v>
      </c>
      <c r="AX682" s="77">
        <f>'Key Generator'!AY135</f>
        <v>48</v>
      </c>
      <c r="AY682" s="21"/>
      <c r="AZ682" s="21"/>
      <c r="BA682" s="21"/>
      <c r="BB682" s="21"/>
      <c r="BC682" s="21"/>
      <c r="BD682" s="21"/>
      <c r="BE682" s="21"/>
    </row>
    <row r="683" spans="1:57" x14ac:dyDescent="0.25">
      <c r="A683" s="21"/>
      <c r="B683" s="64"/>
      <c r="C683" s="77">
        <f>'Key Generator'!D136</f>
        <v>0</v>
      </c>
      <c r="D683" s="77">
        <f>'Key Generator'!E136</f>
        <v>1</v>
      </c>
      <c r="E683" s="77">
        <f>'Key Generator'!F136</f>
        <v>0</v>
      </c>
      <c r="F683" s="77">
        <f>'Key Generator'!G136</f>
        <v>1</v>
      </c>
      <c r="G683" s="77">
        <f>'Key Generator'!H136</f>
        <v>0</v>
      </c>
      <c r="H683" s="77">
        <f>'Key Generator'!I136</f>
        <v>0</v>
      </c>
      <c r="I683" s="77">
        <f>'Key Generator'!J136</f>
        <v>0</v>
      </c>
      <c r="J683" s="77">
        <f>'Key Generator'!K136</f>
        <v>1</v>
      </c>
      <c r="K683" s="77">
        <f>'Key Generator'!L136</f>
        <v>0</v>
      </c>
      <c r="L683" s="77">
        <f>'Key Generator'!M136</f>
        <v>0</v>
      </c>
      <c r="M683" s="77">
        <f>'Key Generator'!N136</f>
        <v>1</v>
      </c>
      <c r="N683" s="77">
        <f>'Key Generator'!O136</f>
        <v>0</v>
      </c>
      <c r="O683" s="77">
        <f>'Key Generator'!P136</f>
        <v>1</v>
      </c>
      <c r="P683" s="77">
        <f>'Key Generator'!Q136</f>
        <v>1</v>
      </c>
      <c r="Q683" s="77">
        <f>'Key Generator'!R136</f>
        <v>0</v>
      </c>
      <c r="R683" s="77">
        <f>'Key Generator'!S136</f>
        <v>0</v>
      </c>
      <c r="S683" s="77">
        <f>'Key Generator'!T136</f>
        <v>0</v>
      </c>
      <c r="T683" s="77">
        <f>'Key Generator'!U136</f>
        <v>1</v>
      </c>
      <c r="U683" s="77">
        <f>'Key Generator'!V136</f>
        <v>1</v>
      </c>
      <c r="V683" s="77">
        <f>'Key Generator'!W136</f>
        <v>0</v>
      </c>
      <c r="W683" s="77">
        <f>'Key Generator'!X136</f>
        <v>0</v>
      </c>
      <c r="X683" s="77">
        <f>'Key Generator'!Y136</f>
        <v>0</v>
      </c>
      <c r="Y683" s="77">
        <f>'Key Generator'!Z136</f>
        <v>0</v>
      </c>
      <c r="Z683" s="77">
        <f>'Key Generator'!AA136</f>
        <v>0</v>
      </c>
      <c r="AA683" s="77">
        <f>'Key Generator'!AB136</f>
        <v>1</v>
      </c>
      <c r="AB683" s="77">
        <f>'Key Generator'!AC136</f>
        <v>0</v>
      </c>
      <c r="AC683" s="77">
        <f>'Key Generator'!AD136</f>
        <v>1</v>
      </c>
      <c r="AD683" s="77">
        <f>'Key Generator'!AE136</f>
        <v>0</v>
      </c>
      <c r="AE683" s="77">
        <f>'Key Generator'!AF136</f>
        <v>0</v>
      </c>
      <c r="AF683" s="77">
        <f>'Key Generator'!AG136</f>
        <v>0</v>
      </c>
      <c r="AG683" s="77">
        <f>'Key Generator'!AH136</f>
        <v>0</v>
      </c>
      <c r="AH683" s="77">
        <f>'Key Generator'!AI136</f>
        <v>1</v>
      </c>
      <c r="AI683" s="77">
        <f>'Key Generator'!AJ136</f>
        <v>0</v>
      </c>
      <c r="AJ683" s="77">
        <f>'Key Generator'!AK136</f>
        <v>0</v>
      </c>
      <c r="AK683" s="77">
        <f>'Key Generator'!AL136</f>
        <v>0</v>
      </c>
      <c r="AL683" s="77">
        <f>'Key Generator'!AM136</f>
        <v>1</v>
      </c>
      <c r="AM683" s="77">
        <f>'Key Generator'!AN136</f>
        <v>1</v>
      </c>
      <c r="AN683" s="77">
        <f>'Key Generator'!AO136</f>
        <v>1</v>
      </c>
      <c r="AO683" s="77">
        <f>'Key Generator'!AP136</f>
        <v>0</v>
      </c>
      <c r="AP683" s="77">
        <f>'Key Generator'!AQ136</f>
        <v>1</v>
      </c>
      <c r="AQ683" s="77">
        <f>'Key Generator'!AR136</f>
        <v>1</v>
      </c>
      <c r="AR683" s="77">
        <f>'Key Generator'!AS136</f>
        <v>0</v>
      </c>
      <c r="AS683" s="77">
        <f>'Key Generator'!AT136</f>
        <v>1</v>
      </c>
      <c r="AT683" s="77">
        <f>'Key Generator'!AU136</f>
        <v>1</v>
      </c>
      <c r="AU683" s="77">
        <f>'Key Generator'!AV136</f>
        <v>1</v>
      </c>
      <c r="AV683" s="77">
        <f>'Key Generator'!AW136</f>
        <v>0</v>
      </c>
      <c r="AW683" s="77">
        <f>'Key Generator'!AX136</f>
        <v>1</v>
      </c>
      <c r="AX683" s="77">
        <f>'Key Generator'!AY136</f>
        <v>1</v>
      </c>
      <c r="AY683" s="21"/>
      <c r="AZ683" s="21"/>
      <c r="BA683" s="21"/>
      <c r="BB683" s="21"/>
      <c r="BC683" s="21"/>
      <c r="BD683" s="21"/>
      <c r="BE683" s="21"/>
    </row>
    <row r="684" spans="1:57" x14ac:dyDescent="0.25">
      <c r="A684" s="21"/>
      <c r="B684" s="64"/>
      <c r="C684" s="62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/>
      <c r="BE684" s="21"/>
    </row>
    <row r="685" spans="1:57" x14ac:dyDescent="0.25">
      <c r="A685" s="21"/>
      <c r="B685" s="64"/>
      <c r="C685" s="62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/>
      <c r="BE685" s="21"/>
    </row>
    <row r="686" spans="1:57" x14ac:dyDescent="0.25">
      <c r="A686" s="128" t="s">
        <v>535</v>
      </c>
      <c r="B686" s="129"/>
      <c r="C686" s="79">
        <v>1</v>
      </c>
      <c r="D686" s="80">
        <v>2</v>
      </c>
      <c r="E686" s="79">
        <v>3</v>
      </c>
      <c r="F686" s="80">
        <v>4</v>
      </c>
      <c r="G686" s="79">
        <v>5</v>
      </c>
      <c r="H686" s="80">
        <v>6</v>
      </c>
      <c r="I686" s="79">
        <v>7</v>
      </c>
      <c r="J686" s="80">
        <v>8</v>
      </c>
      <c r="K686" s="79">
        <v>9</v>
      </c>
      <c r="L686" s="80">
        <v>10</v>
      </c>
      <c r="M686" s="79">
        <v>11</v>
      </c>
      <c r="N686" s="80">
        <v>12</v>
      </c>
      <c r="O686" s="79">
        <v>13</v>
      </c>
      <c r="P686" s="80">
        <v>14</v>
      </c>
      <c r="Q686" s="79">
        <v>15</v>
      </c>
      <c r="R686" s="80">
        <v>16</v>
      </c>
      <c r="S686" s="79">
        <v>17</v>
      </c>
      <c r="T686" s="80">
        <v>18</v>
      </c>
      <c r="U686" s="79">
        <v>19</v>
      </c>
      <c r="V686" s="80">
        <v>20</v>
      </c>
      <c r="W686" s="79">
        <v>21</v>
      </c>
      <c r="X686" s="80">
        <v>22</v>
      </c>
      <c r="Y686" s="79">
        <v>23</v>
      </c>
      <c r="Z686" s="80">
        <v>24</v>
      </c>
      <c r="AA686" s="79">
        <v>25</v>
      </c>
      <c r="AB686" s="80">
        <v>26</v>
      </c>
      <c r="AC686" s="79">
        <v>27</v>
      </c>
      <c r="AD686" s="80">
        <v>28</v>
      </c>
      <c r="AE686" s="79">
        <v>29</v>
      </c>
      <c r="AF686" s="80">
        <v>30</v>
      </c>
      <c r="AG686" s="79">
        <v>31</v>
      </c>
      <c r="AH686" s="80">
        <v>32</v>
      </c>
      <c r="AI686" s="79">
        <v>33</v>
      </c>
      <c r="AJ686" s="80">
        <v>34</v>
      </c>
      <c r="AK686" s="79">
        <v>35</v>
      </c>
      <c r="AL686" s="80">
        <v>36</v>
      </c>
      <c r="AM686" s="79">
        <v>37</v>
      </c>
      <c r="AN686" s="80">
        <v>38</v>
      </c>
      <c r="AO686" s="79">
        <v>39</v>
      </c>
      <c r="AP686" s="80">
        <v>40</v>
      </c>
      <c r="AQ686" s="79">
        <v>41</v>
      </c>
      <c r="AR686" s="80">
        <v>42</v>
      </c>
      <c r="AS686" s="79">
        <v>43</v>
      </c>
      <c r="AT686" s="80">
        <v>44</v>
      </c>
      <c r="AU686" s="79">
        <v>45</v>
      </c>
      <c r="AV686" s="80">
        <v>46</v>
      </c>
      <c r="AW686" s="79">
        <v>47</v>
      </c>
      <c r="AX686" s="80">
        <v>48</v>
      </c>
      <c r="AY686" s="21"/>
      <c r="AZ686" s="21"/>
      <c r="BA686" s="21"/>
      <c r="BB686" s="21"/>
      <c r="BC686" s="21"/>
      <c r="BD686" s="21"/>
      <c r="BE686" s="21"/>
    </row>
    <row r="687" spans="1:57" x14ac:dyDescent="0.25">
      <c r="A687" s="21"/>
      <c r="B687" s="64"/>
      <c r="C687" s="88">
        <f>--_xlfn.XOR(C679,'Key Generator'!D136)</f>
        <v>0</v>
      </c>
      <c r="D687" s="88">
        <f>--_xlfn.XOR(D679,'Key Generator'!E136)</f>
        <v>0</v>
      </c>
      <c r="E687" s="88">
        <f>--_xlfn.XOR(E679,'Key Generator'!F136)</f>
        <v>1</v>
      </c>
      <c r="F687" s="88">
        <f>--_xlfn.XOR(F679,'Key Generator'!G136)</f>
        <v>1</v>
      </c>
      <c r="G687" s="88">
        <f>--_xlfn.XOR(G679,'Key Generator'!H136)</f>
        <v>1</v>
      </c>
      <c r="H687" s="88">
        <f>--_xlfn.XOR(H679,'Key Generator'!I136)</f>
        <v>0</v>
      </c>
      <c r="I687" s="87">
        <f>--_xlfn.XOR(I679,'Key Generator'!J136)</f>
        <v>1</v>
      </c>
      <c r="J687" s="87">
        <f>--_xlfn.XOR(J679,'Key Generator'!K136)</f>
        <v>1</v>
      </c>
      <c r="K687" s="87">
        <f>--_xlfn.XOR(K679,'Key Generator'!L136)</f>
        <v>1</v>
      </c>
      <c r="L687" s="87">
        <f>--_xlfn.XOR(L679,'Key Generator'!M136)</f>
        <v>0</v>
      </c>
      <c r="M687" s="87">
        <f>--_xlfn.XOR(M679,'Key Generator'!N136)</f>
        <v>1</v>
      </c>
      <c r="N687" s="87">
        <f>--_xlfn.XOR(N679,'Key Generator'!O136)</f>
        <v>1</v>
      </c>
      <c r="O687" s="89">
        <f>--_xlfn.XOR(O679,'Key Generator'!P136)</f>
        <v>1</v>
      </c>
      <c r="P687" s="89">
        <f>--_xlfn.XOR(P679,'Key Generator'!Q136)</f>
        <v>0</v>
      </c>
      <c r="Q687" s="89">
        <f>--_xlfn.XOR(Q679,'Key Generator'!R136)</f>
        <v>1</v>
      </c>
      <c r="R687" s="89">
        <f>--_xlfn.XOR(R679,'Key Generator'!S136)</f>
        <v>0</v>
      </c>
      <c r="S687" s="89">
        <f>--_xlfn.XOR(S679,'Key Generator'!T136)</f>
        <v>1</v>
      </c>
      <c r="T687" s="89">
        <f>--_xlfn.XOR(T679,'Key Generator'!U136)</f>
        <v>1</v>
      </c>
      <c r="U687" s="149">
        <f>--_xlfn.XOR(U679,'Key Generator'!V136)</f>
        <v>0</v>
      </c>
      <c r="V687" s="149">
        <f>--_xlfn.XOR(V679,'Key Generator'!W136)</f>
        <v>0</v>
      </c>
      <c r="W687" s="149">
        <f>--_xlfn.XOR(W679,'Key Generator'!X136)</f>
        <v>1</v>
      </c>
      <c r="X687" s="149">
        <f>--_xlfn.XOR(X679,'Key Generator'!Y136)</f>
        <v>1</v>
      </c>
      <c r="Y687" s="149">
        <f>--_xlfn.XOR(Y679,'Key Generator'!Z136)</f>
        <v>0</v>
      </c>
      <c r="Z687" s="149">
        <f>--_xlfn.XOR(Z679,'Key Generator'!AA136)</f>
        <v>0</v>
      </c>
      <c r="AA687" s="91">
        <f>--_xlfn.XOR(AA679,'Key Generator'!AB136)</f>
        <v>1</v>
      </c>
      <c r="AB687" s="91">
        <f>--_xlfn.XOR(AB679,'Key Generator'!AC136)</f>
        <v>0</v>
      </c>
      <c r="AC687" s="91">
        <f>--_xlfn.XOR(AC679,'Key Generator'!AD136)</f>
        <v>1</v>
      </c>
      <c r="AD687" s="91">
        <f>--_xlfn.XOR(AD679,'Key Generator'!AE136)</f>
        <v>1</v>
      </c>
      <c r="AE687" s="91">
        <f>--_xlfn.XOR(AE679,'Key Generator'!AF136)</f>
        <v>1</v>
      </c>
      <c r="AF687" s="91">
        <f>--_xlfn.XOR(AF679,'Key Generator'!AG136)</f>
        <v>1</v>
      </c>
      <c r="AG687" s="92">
        <f>--_xlfn.XOR(AG679,'Key Generator'!AH136)</f>
        <v>1</v>
      </c>
      <c r="AH687" s="92">
        <f>--_xlfn.XOR(AH679,'Key Generator'!AI136)</f>
        <v>0</v>
      </c>
      <c r="AI687" s="92">
        <f>--_xlfn.XOR(AI679,'Key Generator'!AJ136)</f>
        <v>1</v>
      </c>
      <c r="AJ687" s="92">
        <f>--_xlfn.XOR(AJ679,'Key Generator'!AK136)</f>
        <v>1</v>
      </c>
      <c r="AK687" s="92">
        <f>--_xlfn.XOR(AK679,'Key Generator'!AL136)</f>
        <v>1</v>
      </c>
      <c r="AL687" s="92">
        <f>--_xlfn.XOR(AL679,'Key Generator'!AM136)</f>
        <v>1</v>
      </c>
      <c r="AM687" s="86">
        <f>--_xlfn.XOR(AM679,'Key Generator'!AN136)</f>
        <v>0</v>
      </c>
      <c r="AN687" s="86">
        <f>--_xlfn.XOR(AN679,'Key Generator'!AO136)</f>
        <v>1</v>
      </c>
      <c r="AO687" s="86">
        <f>--_xlfn.XOR(AO679,'Key Generator'!AP136)</f>
        <v>0</v>
      </c>
      <c r="AP687" s="86">
        <f>--_xlfn.XOR(AP679,'Key Generator'!AQ136)</f>
        <v>1</v>
      </c>
      <c r="AQ687" s="86">
        <f>--_xlfn.XOR(AQ679,'Key Generator'!AR136)</f>
        <v>1</v>
      </c>
      <c r="AR687" s="86">
        <f>--_xlfn.XOR(AR679,'Key Generator'!AS136)</f>
        <v>0</v>
      </c>
      <c r="AS687" s="81">
        <f>--_xlfn.XOR(AS679,'Key Generator'!AT136)</f>
        <v>1</v>
      </c>
      <c r="AT687" s="81">
        <f>--_xlfn.XOR(AT679,'Key Generator'!AU136)</f>
        <v>1</v>
      </c>
      <c r="AU687" s="81">
        <f>--_xlfn.XOR(AU679,'Key Generator'!AV136)</f>
        <v>0</v>
      </c>
      <c r="AV687" s="81">
        <f>--_xlfn.XOR(AV679,'Key Generator'!AW136)</f>
        <v>0</v>
      </c>
      <c r="AW687" s="81">
        <f>--_xlfn.XOR(AW679,'Key Generator'!AX136)</f>
        <v>1</v>
      </c>
      <c r="AX687" s="81">
        <f>--_xlfn.XOR(AX679,'Key Generator'!AY136)</f>
        <v>0</v>
      </c>
      <c r="AY687" s="21"/>
      <c r="AZ687" s="21"/>
      <c r="BA687" s="21"/>
      <c r="BB687" s="21"/>
      <c r="BC687" s="21"/>
      <c r="BD687" s="21"/>
      <c r="BE687" s="21"/>
    </row>
    <row r="688" spans="1:57" x14ac:dyDescent="0.25">
      <c r="A688" s="21"/>
      <c r="B688" s="64"/>
      <c r="C688" s="93"/>
      <c r="D688" s="94"/>
      <c r="E688" s="94"/>
      <c r="F688" s="94"/>
      <c r="G688" s="94"/>
      <c r="H688" s="94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/>
      <c r="BE688" s="21"/>
    </row>
    <row r="689" spans="1:57" x14ac:dyDescent="0.25">
      <c r="A689" s="96" t="s">
        <v>545</v>
      </c>
      <c r="B689" s="97"/>
      <c r="C689" s="161">
        <f>D687*8+E687*4+F687*2+G687</f>
        <v>7</v>
      </c>
      <c r="D689" s="97" t="s">
        <v>536</v>
      </c>
      <c r="E689" s="97"/>
      <c r="F689" s="97"/>
      <c r="G689" s="97"/>
      <c r="H689" s="97"/>
      <c r="I689" s="161">
        <f>J687*8+K687*4+L687*2+M687</f>
        <v>13</v>
      </c>
      <c r="J689" s="97" t="s">
        <v>537</v>
      </c>
      <c r="K689" s="97"/>
      <c r="L689" s="97"/>
      <c r="M689" s="97"/>
      <c r="N689" s="97"/>
      <c r="O689" s="161">
        <f>P687*8+Q687*4+R687*2+S687</f>
        <v>5</v>
      </c>
      <c r="P689" s="97" t="s">
        <v>538</v>
      </c>
      <c r="Q689" s="97"/>
      <c r="R689" s="97"/>
      <c r="S689" s="97"/>
      <c r="T689" s="97"/>
      <c r="U689" s="161">
        <f>V687*8+W687*4+X687*2+Y687</f>
        <v>6</v>
      </c>
      <c r="V689" s="97" t="s">
        <v>539</v>
      </c>
      <c r="W689" s="97"/>
      <c r="X689" s="97"/>
      <c r="Y689" s="97"/>
      <c r="Z689" s="97"/>
      <c r="AA689" s="161">
        <f>AB687*8+AC687*4+AD687*2+AE687</f>
        <v>7</v>
      </c>
      <c r="AB689" s="97" t="s">
        <v>540</v>
      </c>
      <c r="AC689" s="97"/>
      <c r="AD689" s="97"/>
      <c r="AE689" s="97"/>
      <c r="AF689" s="97"/>
      <c r="AG689" s="161">
        <f>AH687*8+AI687*4+AJ687*2+AK687</f>
        <v>7</v>
      </c>
      <c r="AH689" s="97" t="s">
        <v>541</v>
      </c>
      <c r="AI689" s="97"/>
      <c r="AJ689" s="97"/>
      <c r="AK689" s="97"/>
      <c r="AL689" s="97"/>
      <c r="AM689" s="161">
        <f>AN687*8+AO687*4+AP687*2+AQ687</f>
        <v>11</v>
      </c>
      <c r="AN689" s="97" t="s">
        <v>542</v>
      </c>
      <c r="AO689" s="97"/>
      <c r="AP689" s="97"/>
      <c r="AQ689" s="97"/>
      <c r="AR689" s="97"/>
      <c r="AS689" s="161">
        <f>AT687*8+AU687*4+AV687*2+AW687</f>
        <v>9</v>
      </c>
      <c r="AT689" s="97" t="s">
        <v>543</v>
      </c>
      <c r="AU689" s="97"/>
      <c r="AV689" s="97"/>
      <c r="AW689" s="97"/>
      <c r="AX689" s="97"/>
      <c r="AY689" s="97"/>
      <c r="AZ689" s="97"/>
      <c r="BA689" s="97"/>
      <c r="BB689" s="97"/>
      <c r="BC689" s="97"/>
      <c r="BD689" s="97"/>
      <c r="BE689" s="97"/>
    </row>
    <row r="690" spans="1:57" x14ac:dyDescent="0.25">
      <c r="A690" s="100" t="s">
        <v>546</v>
      </c>
      <c r="B690" s="99"/>
      <c r="C690" s="87">
        <f>C687*2+H687</f>
        <v>0</v>
      </c>
      <c r="D690" s="98"/>
      <c r="E690" s="98"/>
      <c r="F690" s="99"/>
      <c r="G690" s="99"/>
      <c r="H690" s="99"/>
      <c r="I690" s="87">
        <f>I687*2+N687</f>
        <v>3</v>
      </c>
      <c r="J690" s="99"/>
      <c r="K690" s="99"/>
      <c r="L690" s="99"/>
      <c r="M690" s="99"/>
      <c r="N690" s="99"/>
      <c r="O690" s="87">
        <f>O687*2+T687</f>
        <v>3</v>
      </c>
      <c r="P690" s="99"/>
      <c r="Q690" s="99"/>
      <c r="R690" s="99"/>
      <c r="S690" s="99"/>
      <c r="T690" s="99"/>
      <c r="U690" s="87">
        <f>U687*2+Z687</f>
        <v>0</v>
      </c>
      <c r="V690" s="99"/>
      <c r="W690" s="99"/>
      <c r="X690" s="99"/>
      <c r="Y690" s="99"/>
      <c r="Z690" s="99"/>
      <c r="AA690" s="87">
        <f>AA687*2+AF687</f>
        <v>3</v>
      </c>
      <c r="AB690" s="99"/>
      <c r="AC690" s="99"/>
      <c r="AD690" s="99"/>
      <c r="AE690" s="99"/>
      <c r="AF690" s="99"/>
      <c r="AG690" s="87">
        <f>AG687*2+AL687</f>
        <v>3</v>
      </c>
      <c r="AH690" s="99"/>
      <c r="AI690" s="99"/>
      <c r="AJ690" s="99"/>
      <c r="AK690" s="99"/>
      <c r="AL690" s="99"/>
      <c r="AM690" s="87">
        <f>AM687*2+AR687</f>
        <v>0</v>
      </c>
      <c r="AN690" s="99"/>
      <c r="AO690" s="99"/>
      <c r="AP690" s="99"/>
      <c r="AQ690" s="99"/>
      <c r="AR690" s="99"/>
      <c r="AS690" s="87">
        <f>AS687*2+AX687</f>
        <v>2</v>
      </c>
      <c r="AT690" s="99"/>
      <c r="AU690" s="99"/>
      <c r="AV690" s="99"/>
      <c r="AW690" s="99"/>
      <c r="AX690" s="99"/>
      <c r="AY690" s="99"/>
      <c r="AZ690" s="99"/>
      <c r="BA690" s="99"/>
      <c r="BB690" s="99"/>
      <c r="BC690" s="99"/>
      <c r="BD690" s="99"/>
      <c r="BE690" s="99"/>
    </row>
    <row r="691" spans="1:57" x14ac:dyDescent="0.25">
      <c r="A691" s="21"/>
      <c r="B691" s="64"/>
      <c r="C691" s="62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21"/>
      <c r="BC691" s="21"/>
      <c r="BD691" s="21"/>
      <c r="BE691" s="21"/>
    </row>
    <row r="692" spans="1:57" x14ac:dyDescent="0.25">
      <c r="A692" s="117" t="s">
        <v>547</v>
      </c>
      <c r="B692" s="64"/>
      <c r="C692" s="72">
        <f>INDEX('S-Box'!D3:S6,'DES-Dec'!C690+1,'DES-Dec'!C689+1)</f>
        <v>8</v>
      </c>
      <c r="D692" s="21"/>
      <c r="E692" s="21"/>
      <c r="F692" s="21"/>
      <c r="G692" s="21"/>
      <c r="H692" s="21"/>
      <c r="I692" s="168">
        <f>INDEX('S-Box'!D9:S12,'DES-Dec'!I690+1,'DES-Dec'!I689+1)</f>
        <v>5</v>
      </c>
      <c r="J692" s="21"/>
      <c r="K692" s="21"/>
      <c r="L692" s="21"/>
      <c r="M692" s="21"/>
      <c r="N692" s="21"/>
      <c r="O692" s="168">
        <f>INDEX('S-Box'!D15:S18,'DES-Dec'!O690+1,'DES-Dec'!O689+1)</f>
        <v>9</v>
      </c>
      <c r="P692" s="21"/>
      <c r="Q692" s="21"/>
      <c r="R692" s="21"/>
      <c r="S692" s="21"/>
      <c r="T692" s="21"/>
      <c r="U692" s="168">
        <f>INDEX('S-Box'!D21:S24,'DES-Dec'!U690+1,'DES-Dec'!U689+1)</f>
        <v>9</v>
      </c>
      <c r="V692" s="21"/>
      <c r="W692" s="21"/>
      <c r="X692" s="21"/>
      <c r="Y692" s="21"/>
      <c r="Z692" s="21"/>
      <c r="AA692" s="168">
        <f>INDEX('S-Box'!D27:S30,'DES-Dec'!AA690+1,'DES-Dec'!AA689+1)</f>
        <v>13</v>
      </c>
      <c r="AB692" s="21"/>
      <c r="AC692" s="21"/>
      <c r="AD692" s="21"/>
      <c r="AE692" s="21"/>
      <c r="AF692" s="21"/>
      <c r="AG692" s="168">
        <f>INDEX('S-Box'!D33:S36,'DES-Dec'!AG690+1,'DES-Dec'!AG689+1)</f>
        <v>10</v>
      </c>
      <c r="AH692" s="21"/>
      <c r="AI692" s="21"/>
      <c r="AJ692" s="21"/>
      <c r="AK692" s="21"/>
      <c r="AL692" s="21"/>
      <c r="AM692" s="168">
        <f>INDEX('S-Box'!D39:S42,'DES-Dec'!AM690+1,'DES-Dec'!AM689+1)</f>
        <v>7</v>
      </c>
      <c r="AN692" s="21"/>
      <c r="AO692" s="21"/>
      <c r="AP692" s="21"/>
      <c r="AQ692" s="21"/>
      <c r="AR692" s="21"/>
      <c r="AS692" s="168">
        <f>INDEX('S-Box'!D45:S48,'DES-Dec'!AS690+1,'DES-Dec'!AS689+1)</f>
        <v>6</v>
      </c>
      <c r="AT692" s="21"/>
      <c r="AU692" s="21"/>
      <c r="AV692" s="21"/>
      <c r="AW692" s="21"/>
      <c r="AX692" s="21"/>
      <c r="AY692" s="21"/>
      <c r="AZ692" s="21"/>
      <c r="BA692" s="21"/>
      <c r="BB692" s="21"/>
      <c r="BC692" s="21"/>
      <c r="BD692" s="21"/>
      <c r="BE692" s="21"/>
    </row>
    <row r="693" spans="1:57" x14ac:dyDescent="0.25">
      <c r="A693" s="21"/>
      <c r="B693" s="64"/>
      <c r="C693" s="104"/>
      <c r="D693" s="21"/>
      <c r="E693" s="21"/>
      <c r="F693" s="21"/>
      <c r="G693" s="21"/>
      <c r="H693" s="21"/>
      <c r="I693" s="95"/>
      <c r="J693" s="21"/>
      <c r="K693" s="21"/>
      <c r="L693" s="21"/>
      <c r="M693" s="21"/>
      <c r="N693" s="21"/>
      <c r="O693" s="95"/>
      <c r="P693" s="21"/>
      <c r="Q693" s="21"/>
      <c r="R693" s="21"/>
      <c r="S693" s="21"/>
      <c r="T693" s="21"/>
      <c r="U693" s="95"/>
      <c r="V693" s="21"/>
      <c r="W693" s="21"/>
      <c r="X693" s="21"/>
      <c r="Y693" s="21"/>
      <c r="Z693" s="21"/>
      <c r="AA693" s="95"/>
      <c r="AB693" s="21"/>
      <c r="AC693" s="21"/>
      <c r="AD693" s="21"/>
      <c r="AE693" s="21"/>
      <c r="AF693" s="21"/>
      <c r="AG693" s="95"/>
      <c r="AH693" s="21"/>
      <c r="AI693" s="21"/>
      <c r="AJ693" s="21"/>
      <c r="AK693" s="21"/>
      <c r="AL693" s="21"/>
      <c r="AM693" s="95"/>
      <c r="AN693" s="21"/>
      <c r="AO693" s="21"/>
      <c r="AP693" s="21"/>
      <c r="AQ693" s="21"/>
      <c r="AR693" s="21"/>
      <c r="AS693" s="95"/>
      <c r="AT693" s="21"/>
      <c r="AU693" s="21"/>
      <c r="AV693" s="21"/>
      <c r="AW693" s="21"/>
      <c r="AX693" s="21"/>
      <c r="AY693" s="21"/>
      <c r="AZ693" s="21"/>
      <c r="BA693" s="21"/>
      <c r="BB693" s="21"/>
      <c r="BC693" s="21"/>
      <c r="BD693" s="21"/>
      <c r="BE693" s="21"/>
    </row>
    <row r="694" spans="1:57" x14ac:dyDescent="0.25">
      <c r="A694" s="21"/>
      <c r="B694" s="64"/>
      <c r="C694" s="105" t="str">
        <f>MID(DEC2BIN(C692,4),1,1)</f>
        <v>1</v>
      </c>
      <c r="D694" s="106" t="str">
        <f>MID(DEC2BIN(C692,4),2,1)</f>
        <v>0</v>
      </c>
      <c r="E694" s="106" t="str">
        <f>MID(DEC2BIN(C692,4),3,1)</f>
        <v>0</v>
      </c>
      <c r="F694" s="107" t="str">
        <f>MID(DEC2BIN(C692,4),4,1)</f>
        <v>0</v>
      </c>
      <c r="G694" s="21"/>
      <c r="H694" s="21"/>
      <c r="I694" s="105" t="str">
        <f>MID(DEC2BIN(I692,4),1,1)</f>
        <v>0</v>
      </c>
      <c r="J694" s="106" t="str">
        <f>MID(DEC2BIN(I692,4),2,1)</f>
        <v>1</v>
      </c>
      <c r="K694" s="106" t="str">
        <f>MID(DEC2BIN(I692,4),3,1)</f>
        <v>0</v>
      </c>
      <c r="L694" s="107" t="str">
        <f>MID(DEC2BIN(I692,4),4,1)</f>
        <v>1</v>
      </c>
      <c r="M694" s="21"/>
      <c r="N694" s="21"/>
      <c r="O694" s="105" t="str">
        <f>MID(DEC2BIN(O692,4),1,1)</f>
        <v>1</v>
      </c>
      <c r="P694" s="106" t="str">
        <f>MID(DEC2BIN(O692,4),2,1)</f>
        <v>0</v>
      </c>
      <c r="Q694" s="106" t="str">
        <f>MID(DEC2BIN(O692,4),3,1)</f>
        <v>0</v>
      </c>
      <c r="R694" s="107" t="str">
        <f>MID(DEC2BIN(O692,4),4,1)</f>
        <v>1</v>
      </c>
      <c r="S694" s="21"/>
      <c r="T694" s="21"/>
      <c r="U694" s="105" t="str">
        <f>MID(DEC2BIN(U692,4),1,1)</f>
        <v>1</v>
      </c>
      <c r="V694" s="106" t="str">
        <f>MID(DEC2BIN(U692,4),2,1)</f>
        <v>0</v>
      </c>
      <c r="W694" s="106" t="str">
        <f>MID(DEC2BIN(U692,4),3,1)</f>
        <v>0</v>
      </c>
      <c r="X694" s="107" t="str">
        <f>MID(DEC2BIN(U692,4),4,1)</f>
        <v>1</v>
      </c>
      <c r="Y694" s="21"/>
      <c r="Z694" s="21"/>
      <c r="AA694" s="105" t="str">
        <f>MID(DEC2BIN(AA692,4),1,1)</f>
        <v>1</v>
      </c>
      <c r="AB694" s="106" t="str">
        <f>MID(DEC2BIN(AA692,4),2,1)</f>
        <v>1</v>
      </c>
      <c r="AC694" s="106" t="str">
        <f>MID(DEC2BIN(AA692,4),3,1)</f>
        <v>0</v>
      </c>
      <c r="AD694" s="107" t="str">
        <f>MID(DEC2BIN(AA692,4),4,1)</f>
        <v>1</v>
      </c>
      <c r="AE694" s="21"/>
      <c r="AF694" s="21"/>
      <c r="AG694" s="105" t="str">
        <f>MID(DEC2BIN(AG692,4),1,1)</f>
        <v>1</v>
      </c>
      <c r="AH694" s="106" t="str">
        <f>MID(DEC2BIN(AG692,4),2,1)</f>
        <v>0</v>
      </c>
      <c r="AI694" s="106" t="str">
        <f>MID(DEC2BIN(AG692,4),3,1)</f>
        <v>1</v>
      </c>
      <c r="AJ694" s="107" t="str">
        <f>MID(DEC2BIN(AG692,4),4,1)</f>
        <v>0</v>
      </c>
      <c r="AK694" s="21"/>
      <c r="AL694" s="21"/>
      <c r="AM694" s="105" t="str">
        <f>MID(DEC2BIN(AM692,4),1,1)</f>
        <v>0</v>
      </c>
      <c r="AN694" s="106" t="str">
        <f>MID(DEC2BIN(AM692,4),2,1)</f>
        <v>1</v>
      </c>
      <c r="AO694" s="106" t="str">
        <f>MID(DEC2BIN(AM692,4),3,1)</f>
        <v>1</v>
      </c>
      <c r="AP694" s="107" t="str">
        <f>MID(DEC2BIN(AM692,4),4,1)</f>
        <v>1</v>
      </c>
      <c r="AQ694" s="21"/>
      <c r="AR694" s="21"/>
      <c r="AS694" s="105" t="str">
        <f>MID(DEC2BIN(AS692,4),1,1)</f>
        <v>0</v>
      </c>
      <c r="AT694" s="106" t="str">
        <f>MID(DEC2BIN(AS692,4),2,1)</f>
        <v>1</v>
      </c>
      <c r="AU694" s="106" t="str">
        <f>MID(DEC2BIN(AS692,4),3,1)</f>
        <v>1</v>
      </c>
      <c r="AV694" s="107" t="str">
        <f>MID(DEC2BIN(AS692,4),4,1)</f>
        <v>0</v>
      </c>
      <c r="AW694" s="21"/>
      <c r="AX694" s="21"/>
      <c r="AY694" s="21"/>
      <c r="AZ694" s="21"/>
      <c r="BA694" s="21"/>
      <c r="BB694" s="21"/>
      <c r="BC694" s="21"/>
      <c r="BD694" s="21"/>
      <c r="BE694" s="21"/>
    </row>
    <row r="695" spans="1:57" s="21" customFormat="1" ht="24.95" customHeight="1" x14ac:dyDescent="0.25">
      <c r="B695" s="64"/>
      <c r="C695" s="21">
        <f>VALUE(C694)</f>
        <v>1</v>
      </c>
      <c r="D695" s="21">
        <f t="shared" ref="D695" si="2380">VALUE(D694)</f>
        <v>0</v>
      </c>
      <c r="E695" s="21">
        <f t="shared" ref="E695" si="2381">VALUE(E694)</f>
        <v>0</v>
      </c>
      <c r="F695" s="21">
        <f t="shared" ref="F695" si="2382">VALUE(F694)</f>
        <v>0</v>
      </c>
      <c r="I695" s="21">
        <f t="shared" ref="I695" si="2383">VALUE(I694)</f>
        <v>0</v>
      </c>
      <c r="J695" s="21">
        <f t="shared" ref="J695" si="2384">VALUE(J694)</f>
        <v>1</v>
      </c>
      <c r="K695" s="21">
        <f t="shared" ref="K695" si="2385">VALUE(K694)</f>
        <v>0</v>
      </c>
      <c r="L695" s="21">
        <f t="shared" ref="L695" si="2386">VALUE(L694)</f>
        <v>1</v>
      </c>
      <c r="O695" s="21">
        <f>VALUE(O694)</f>
        <v>1</v>
      </c>
      <c r="P695" s="21">
        <f t="shared" ref="P695" si="2387">VALUE(P694)</f>
        <v>0</v>
      </c>
      <c r="Q695" s="21">
        <f t="shared" ref="Q695" si="2388">VALUE(Q694)</f>
        <v>0</v>
      </c>
      <c r="R695" s="21">
        <f t="shared" ref="R695" si="2389">VALUE(R694)</f>
        <v>1</v>
      </c>
      <c r="U695" s="21">
        <f>VALUE(U694)</f>
        <v>1</v>
      </c>
      <c r="V695" s="21">
        <f t="shared" ref="V695" si="2390">VALUE(V694)</f>
        <v>0</v>
      </c>
      <c r="W695" s="21">
        <f t="shared" ref="W695" si="2391">VALUE(W694)</f>
        <v>0</v>
      </c>
      <c r="X695" s="21">
        <f t="shared" ref="X695" si="2392">VALUE(X694)</f>
        <v>1</v>
      </c>
      <c r="AA695" s="21">
        <f>VALUE(AA694)</f>
        <v>1</v>
      </c>
      <c r="AB695" s="21">
        <f t="shared" ref="AB695" si="2393">VALUE(AB694)</f>
        <v>1</v>
      </c>
      <c r="AC695" s="21">
        <f t="shared" ref="AC695" si="2394">VALUE(AC694)</f>
        <v>0</v>
      </c>
      <c r="AD695" s="21">
        <f t="shared" ref="AD695" si="2395">VALUE(AD694)</f>
        <v>1</v>
      </c>
      <c r="AG695" s="21">
        <f>VALUE(AG694)</f>
        <v>1</v>
      </c>
      <c r="AH695" s="21">
        <f t="shared" ref="AH695" si="2396">VALUE(AH694)</f>
        <v>0</v>
      </c>
      <c r="AI695" s="21">
        <f t="shared" ref="AI695" si="2397">VALUE(AI694)</f>
        <v>1</v>
      </c>
      <c r="AJ695" s="21">
        <f t="shared" ref="AJ695" si="2398">VALUE(AJ694)</f>
        <v>0</v>
      </c>
      <c r="AM695" s="21">
        <f>VALUE(AM694)</f>
        <v>0</v>
      </c>
      <c r="AN695" s="21">
        <f t="shared" ref="AN695" si="2399">VALUE(AN694)</f>
        <v>1</v>
      </c>
      <c r="AO695" s="21">
        <f t="shared" ref="AO695" si="2400">VALUE(AO694)</f>
        <v>1</v>
      </c>
      <c r="AP695" s="21">
        <f t="shared" ref="AP695" si="2401">VALUE(AP694)</f>
        <v>1</v>
      </c>
      <c r="AS695" s="21">
        <f>VALUE(AS694)</f>
        <v>0</v>
      </c>
      <c r="AT695" s="21">
        <f t="shared" ref="AT695" si="2402">VALUE(AT694)</f>
        <v>1</v>
      </c>
      <c r="AU695" s="21">
        <f t="shared" ref="AU695" si="2403">VALUE(AU694)</f>
        <v>1</v>
      </c>
      <c r="AV695" s="21">
        <f t="shared" ref="AV695" si="2404">VALUE(AV694)</f>
        <v>0</v>
      </c>
    </row>
    <row r="696" spans="1:57" s="21" customFormat="1" ht="24.95" customHeight="1" x14ac:dyDescent="0.25">
      <c r="A696" s="111" t="s">
        <v>588</v>
      </c>
      <c r="B696" s="111"/>
      <c r="C696" s="111">
        <v>1</v>
      </c>
      <c r="D696" s="76">
        <v>2</v>
      </c>
      <c r="E696" s="111">
        <v>3</v>
      </c>
      <c r="F696" s="76">
        <v>4</v>
      </c>
      <c r="G696" s="111">
        <v>5</v>
      </c>
      <c r="H696" s="76">
        <v>6</v>
      </c>
      <c r="I696" s="111">
        <v>7</v>
      </c>
      <c r="J696" s="76">
        <v>8</v>
      </c>
      <c r="K696" s="111">
        <v>9</v>
      </c>
      <c r="L696" s="76">
        <v>10</v>
      </c>
      <c r="M696" s="111">
        <v>11</v>
      </c>
      <c r="N696" s="76">
        <v>12</v>
      </c>
      <c r="O696" s="111">
        <v>13</v>
      </c>
      <c r="P696" s="76">
        <v>14</v>
      </c>
      <c r="Q696" s="111">
        <v>15</v>
      </c>
      <c r="R696" s="76">
        <v>16</v>
      </c>
      <c r="S696" s="111">
        <v>17</v>
      </c>
      <c r="T696" s="76">
        <v>18</v>
      </c>
      <c r="U696" s="111">
        <v>19</v>
      </c>
      <c r="V696" s="76">
        <v>20</v>
      </c>
      <c r="W696" s="111">
        <v>21</v>
      </c>
      <c r="X696" s="76">
        <v>22</v>
      </c>
      <c r="Y696" s="111">
        <v>23</v>
      </c>
      <c r="Z696" s="76">
        <v>24</v>
      </c>
      <c r="AA696" s="111">
        <v>25</v>
      </c>
      <c r="AB696" s="76">
        <v>26</v>
      </c>
      <c r="AC696" s="111">
        <v>27</v>
      </c>
      <c r="AD696" s="76">
        <v>28</v>
      </c>
      <c r="AE696" s="111">
        <v>29</v>
      </c>
      <c r="AF696" s="76">
        <v>30</v>
      </c>
      <c r="AG696" s="111">
        <v>31</v>
      </c>
      <c r="AH696" s="76">
        <v>32</v>
      </c>
    </row>
    <row r="697" spans="1:57" s="21" customFormat="1" ht="24.95" customHeight="1" x14ac:dyDescent="0.25">
      <c r="B697" s="64"/>
      <c r="C697" s="108">
        <f>C695</f>
        <v>1</v>
      </c>
      <c r="D697" s="108">
        <f t="shared" ref="D697:F697" si="2405">D695</f>
        <v>0</v>
      </c>
      <c r="E697" s="108">
        <f t="shared" si="2405"/>
        <v>0</v>
      </c>
      <c r="F697" s="108">
        <f t="shared" si="2405"/>
        <v>0</v>
      </c>
      <c r="G697" s="23">
        <f>I695</f>
        <v>0</v>
      </c>
      <c r="H697" s="23">
        <f t="shared" ref="H697" si="2406">J695</f>
        <v>1</v>
      </c>
      <c r="I697" s="23">
        <f t="shared" ref="I697" si="2407">K695</f>
        <v>0</v>
      </c>
      <c r="J697" s="23">
        <f t="shared" ref="J697" si="2408">L695</f>
        <v>1</v>
      </c>
      <c r="K697" s="23">
        <f>O695</f>
        <v>1</v>
      </c>
      <c r="L697" s="23">
        <f t="shared" ref="L697" si="2409">P695</f>
        <v>0</v>
      </c>
      <c r="M697" s="23">
        <f t="shared" ref="M697" si="2410">Q695</f>
        <v>0</v>
      </c>
      <c r="N697" s="23">
        <f t="shared" ref="N697" si="2411">R695</f>
        <v>1</v>
      </c>
      <c r="O697" s="23">
        <f>U695</f>
        <v>1</v>
      </c>
      <c r="P697" s="23">
        <f t="shared" ref="P697" si="2412">V695</f>
        <v>0</v>
      </c>
      <c r="Q697" s="23">
        <f t="shared" ref="Q697" si="2413">W695</f>
        <v>0</v>
      </c>
      <c r="R697" s="23">
        <f t="shared" ref="R697" si="2414">X695</f>
        <v>1</v>
      </c>
      <c r="S697" s="23">
        <f>AA695</f>
        <v>1</v>
      </c>
      <c r="T697" s="23">
        <f t="shared" ref="T697" si="2415">AB695</f>
        <v>1</v>
      </c>
      <c r="U697" s="23">
        <f t="shared" ref="U697" si="2416">AC695</f>
        <v>0</v>
      </c>
      <c r="V697" s="23">
        <f t="shared" ref="V697" si="2417">AD695</f>
        <v>1</v>
      </c>
      <c r="W697" s="23">
        <f>AG695</f>
        <v>1</v>
      </c>
      <c r="X697" s="23">
        <f t="shared" ref="X697" si="2418">AH695</f>
        <v>0</v>
      </c>
      <c r="Y697" s="23">
        <f t="shared" ref="Y697" si="2419">AI695</f>
        <v>1</v>
      </c>
      <c r="Z697" s="23">
        <f t="shared" ref="Z697" si="2420">AJ695</f>
        <v>0</v>
      </c>
      <c r="AA697" s="23">
        <f>AM695</f>
        <v>0</v>
      </c>
      <c r="AB697" s="23">
        <f t="shared" ref="AB697" si="2421">AN695</f>
        <v>1</v>
      </c>
      <c r="AC697" s="23">
        <f t="shared" ref="AC697" si="2422">AO695</f>
        <v>1</v>
      </c>
      <c r="AD697" s="23">
        <f t="shared" ref="AD697" si="2423">AP695</f>
        <v>1</v>
      </c>
      <c r="AE697" s="23">
        <f>AS695</f>
        <v>0</v>
      </c>
      <c r="AF697" s="23">
        <f t="shared" ref="AF697" si="2424">AT695</f>
        <v>1</v>
      </c>
      <c r="AG697" s="23">
        <f t="shared" ref="AG697" si="2425">AU695</f>
        <v>1</v>
      </c>
      <c r="AH697" s="23">
        <f t="shared" ref="AH697" si="2426">AV695</f>
        <v>0</v>
      </c>
    </row>
    <row r="698" spans="1:57" x14ac:dyDescent="0.25">
      <c r="A698" s="21"/>
      <c r="B698" s="64"/>
      <c r="C698" s="62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21"/>
      <c r="BC698" s="21"/>
      <c r="BD698" s="21"/>
      <c r="BE698" s="21"/>
    </row>
    <row r="699" spans="1:57" x14ac:dyDescent="0.25">
      <c r="A699" s="110" t="s">
        <v>548</v>
      </c>
      <c r="B699" s="110"/>
      <c r="C699" s="109">
        <v>16</v>
      </c>
      <c r="D699" s="110">
        <v>7</v>
      </c>
      <c r="E699" s="110">
        <v>20</v>
      </c>
      <c r="F699" s="110">
        <v>21</v>
      </c>
      <c r="G699" s="110">
        <v>29</v>
      </c>
      <c r="H699" s="110">
        <v>12</v>
      </c>
      <c r="I699" s="110">
        <v>28</v>
      </c>
      <c r="J699" s="110">
        <v>17</v>
      </c>
      <c r="K699" s="110">
        <v>1</v>
      </c>
      <c r="L699" s="110">
        <v>15</v>
      </c>
      <c r="M699" s="110">
        <v>23</v>
      </c>
      <c r="N699" s="110">
        <v>26</v>
      </c>
      <c r="O699" s="110">
        <v>5</v>
      </c>
      <c r="P699" s="110">
        <v>18</v>
      </c>
      <c r="Q699" s="110">
        <v>31</v>
      </c>
      <c r="R699" s="110">
        <v>10</v>
      </c>
      <c r="S699" s="110">
        <v>2</v>
      </c>
      <c r="T699" s="110">
        <v>8</v>
      </c>
      <c r="U699" s="110">
        <v>24</v>
      </c>
      <c r="V699" s="110">
        <v>14</v>
      </c>
      <c r="W699" s="110">
        <v>32</v>
      </c>
      <c r="X699" s="110">
        <v>27</v>
      </c>
      <c r="Y699" s="110">
        <v>3</v>
      </c>
      <c r="Z699" s="110">
        <v>9</v>
      </c>
      <c r="AA699" s="110">
        <v>19</v>
      </c>
      <c r="AB699" s="110">
        <v>13</v>
      </c>
      <c r="AC699" s="110">
        <v>30</v>
      </c>
      <c r="AD699" s="110">
        <v>6</v>
      </c>
      <c r="AE699" s="110">
        <v>22</v>
      </c>
      <c r="AF699" s="110">
        <v>11</v>
      </c>
      <c r="AG699" s="110">
        <v>4</v>
      </c>
      <c r="AH699" s="110">
        <v>25</v>
      </c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21"/>
      <c r="BC699" s="21"/>
      <c r="BD699" s="21"/>
      <c r="BE699" s="21"/>
    </row>
    <row r="700" spans="1:57" x14ac:dyDescent="0.25">
      <c r="A700" s="21"/>
      <c r="B700" s="64"/>
      <c r="C700" s="103">
        <f>K697</f>
        <v>1</v>
      </c>
      <c r="D700" s="103">
        <f>S697</f>
        <v>1</v>
      </c>
      <c r="E700" s="103">
        <f>Y697</f>
        <v>1</v>
      </c>
      <c r="F700" s="112">
        <f>AG697</f>
        <v>1</v>
      </c>
      <c r="G700" s="103">
        <f>O697</f>
        <v>1</v>
      </c>
      <c r="H700" s="103">
        <f>AD697</f>
        <v>1</v>
      </c>
      <c r="I700" s="103">
        <f>D697</f>
        <v>0</v>
      </c>
      <c r="J700" s="103">
        <f>T697</f>
        <v>1</v>
      </c>
      <c r="K700" s="103">
        <f>Z697</f>
        <v>0</v>
      </c>
      <c r="L700" s="103">
        <f>R697</f>
        <v>1</v>
      </c>
      <c r="M700" s="103">
        <f>AF697</f>
        <v>1</v>
      </c>
      <c r="N700" s="103">
        <f>H697</f>
        <v>1</v>
      </c>
      <c r="O700" s="103">
        <f>AB697</f>
        <v>1</v>
      </c>
      <c r="P700" s="103">
        <f>V697</f>
        <v>1</v>
      </c>
      <c r="Q700" s="103">
        <f>L697</f>
        <v>0</v>
      </c>
      <c r="R700" s="103">
        <f>C697</f>
        <v>1</v>
      </c>
      <c r="S700" s="103">
        <f>J697</f>
        <v>1</v>
      </c>
      <c r="T700" s="103">
        <f>P697</f>
        <v>0</v>
      </c>
      <c r="U700" s="103">
        <f>AA697</f>
        <v>0</v>
      </c>
      <c r="V700" s="103">
        <f>E697</f>
        <v>0</v>
      </c>
      <c r="W700" s="103">
        <f>F697</f>
        <v>0</v>
      </c>
      <c r="X700" s="103">
        <f>AE697</f>
        <v>0</v>
      </c>
      <c r="Y700" s="103">
        <f>M697</f>
        <v>0</v>
      </c>
      <c r="Z700" s="103">
        <f>U697</f>
        <v>0</v>
      </c>
      <c r="AA700" s="103">
        <f>AH697</f>
        <v>0</v>
      </c>
      <c r="AB700" s="103">
        <f>N697</f>
        <v>1</v>
      </c>
      <c r="AC700" s="103">
        <f>X697</f>
        <v>0</v>
      </c>
      <c r="AD700" s="103">
        <f>I697</f>
        <v>0</v>
      </c>
      <c r="AE700" s="103">
        <f>G697</f>
        <v>0</v>
      </c>
      <c r="AF700" s="103">
        <f>AC697</f>
        <v>1</v>
      </c>
      <c r="AG700" s="103">
        <f>Q697</f>
        <v>0</v>
      </c>
      <c r="AH700" s="103">
        <f>W697</f>
        <v>1</v>
      </c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21"/>
      <c r="BC700" s="21"/>
      <c r="BD700" s="21"/>
      <c r="BE700" s="21"/>
    </row>
    <row r="701" spans="1:57" x14ac:dyDescent="0.25">
      <c r="A701" s="21"/>
      <c r="B701" s="64"/>
      <c r="C701" s="130">
        <v>1</v>
      </c>
      <c r="D701" s="131">
        <v>2</v>
      </c>
      <c r="E701" s="130">
        <v>3</v>
      </c>
      <c r="F701" s="131">
        <v>4</v>
      </c>
      <c r="G701" s="130">
        <v>5</v>
      </c>
      <c r="H701" s="131">
        <v>6</v>
      </c>
      <c r="I701" s="130">
        <v>7</v>
      </c>
      <c r="J701" s="131">
        <v>8</v>
      </c>
      <c r="K701" s="130">
        <v>9</v>
      </c>
      <c r="L701" s="131">
        <v>10</v>
      </c>
      <c r="M701" s="130">
        <v>11</v>
      </c>
      <c r="N701" s="131">
        <v>12</v>
      </c>
      <c r="O701" s="130">
        <v>13</v>
      </c>
      <c r="P701" s="131">
        <v>14</v>
      </c>
      <c r="Q701" s="130">
        <v>15</v>
      </c>
      <c r="R701" s="131">
        <v>16</v>
      </c>
      <c r="S701" s="130">
        <v>17</v>
      </c>
      <c r="T701" s="131">
        <v>18</v>
      </c>
      <c r="U701" s="130">
        <v>19</v>
      </c>
      <c r="V701" s="131">
        <v>20</v>
      </c>
      <c r="W701" s="130">
        <v>21</v>
      </c>
      <c r="X701" s="131">
        <v>22</v>
      </c>
      <c r="Y701" s="130">
        <v>23</v>
      </c>
      <c r="Z701" s="131">
        <v>24</v>
      </c>
      <c r="AA701" s="130">
        <v>25</v>
      </c>
      <c r="AB701" s="131">
        <v>26</v>
      </c>
      <c r="AC701" s="130">
        <v>27</v>
      </c>
      <c r="AD701" s="131">
        <v>28</v>
      </c>
      <c r="AE701" s="130">
        <v>29</v>
      </c>
      <c r="AF701" s="131">
        <v>30</v>
      </c>
      <c r="AG701" s="130">
        <v>31</v>
      </c>
      <c r="AH701" s="131">
        <v>32</v>
      </c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21"/>
      <c r="BC701" s="21"/>
      <c r="BD701" s="21"/>
      <c r="BE701" s="21"/>
    </row>
    <row r="702" spans="1:57" x14ac:dyDescent="0.25">
      <c r="A702" s="21"/>
      <c r="B702" s="64"/>
      <c r="C702" s="62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21"/>
      <c r="BC702" s="21"/>
      <c r="BD702" s="21"/>
      <c r="BE702" s="21"/>
    </row>
    <row r="703" spans="1:57" x14ac:dyDescent="0.25">
      <c r="A703" s="21"/>
      <c r="B703" s="64"/>
      <c r="C703" s="62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21"/>
      <c r="BC703" s="21"/>
      <c r="BD703" s="21"/>
      <c r="BE703" s="21"/>
    </row>
    <row r="704" spans="1:57" x14ac:dyDescent="0.25">
      <c r="A704" s="21"/>
      <c r="B704" s="64"/>
      <c r="C704" s="62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21"/>
      <c r="BC704" s="21"/>
      <c r="BD704" s="21"/>
      <c r="BE704" s="21"/>
    </row>
    <row r="705" spans="1:57" x14ac:dyDescent="0.25">
      <c r="A705" s="114" t="s">
        <v>578</v>
      </c>
      <c r="B705" s="114"/>
      <c r="C705" s="114"/>
      <c r="D705" s="68">
        <v>1</v>
      </c>
      <c r="E705" s="68">
        <v>2</v>
      </c>
      <c r="F705" s="68">
        <v>3</v>
      </c>
      <c r="G705" s="68">
        <v>4</v>
      </c>
      <c r="H705" s="68">
        <v>5</v>
      </c>
      <c r="I705" s="68">
        <v>6</v>
      </c>
      <c r="J705" s="68">
        <v>7</v>
      </c>
      <c r="K705" s="68">
        <v>8</v>
      </c>
      <c r="L705" s="68">
        <v>9</v>
      </c>
      <c r="M705" s="68">
        <v>10</v>
      </c>
      <c r="N705" s="68">
        <v>11</v>
      </c>
      <c r="O705" s="68">
        <v>12</v>
      </c>
      <c r="P705" s="68">
        <v>13</v>
      </c>
      <c r="Q705" s="68">
        <v>14</v>
      </c>
      <c r="R705" s="68">
        <v>15</v>
      </c>
      <c r="S705" s="68">
        <v>16</v>
      </c>
      <c r="T705" s="68">
        <v>17</v>
      </c>
      <c r="U705" s="68">
        <v>18</v>
      </c>
      <c r="V705" s="68">
        <v>19</v>
      </c>
      <c r="W705" s="68">
        <v>20</v>
      </c>
      <c r="X705" s="68">
        <v>21</v>
      </c>
      <c r="Y705" s="68">
        <v>22</v>
      </c>
      <c r="Z705" s="68">
        <v>23</v>
      </c>
      <c r="AA705" s="68">
        <v>24</v>
      </c>
      <c r="AB705" s="68">
        <v>25</v>
      </c>
      <c r="AC705" s="68">
        <v>26</v>
      </c>
      <c r="AD705" s="68">
        <v>27</v>
      </c>
      <c r="AE705" s="68">
        <v>28</v>
      </c>
      <c r="AF705" s="68">
        <v>29</v>
      </c>
      <c r="AG705" s="68">
        <v>30</v>
      </c>
      <c r="AH705" s="68">
        <v>31</v>
      </c>
      <c r="AI705" s="68">
        <v>32</v>
      </c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21"/>
      <c r="BC705" s="21"/>
      <c r="BD705" s="21"/>
      <c r="BE705" s="21"/>
    </row>
    <row r="706" spans="1:57" x14ac:dyDescent="0.25">
      <c r="A706" s="64" t="s">
        <v>549</v>
      </c>
      <c r="B706" s="64"/>
      <c r="C706" s="62"/>
      <c r="D706" s="68">
        <f>C664</f>
        <v>1</v>
      </c>
      <c r="E706" s="68">
        <f t="shared" ref="E706" si="2427">D664</f>
        <v>1</v>
      </c>
      <c r="F706" s="68">
        <f t="shared" ref="F706" si="2428">E664</f>
        <v>0</v>
      </c>
      <c r="G706" s="68">
        <f t="shared" ref="G706" si="2429">F664</f>
        <v>1</v>
      </c>
      <c r="H706" s="68">
        <f t="shared" ref="H706" si="2430">G664</f>
        <v>0</v>
      </c>
      <c r="I706" s="68">
        <f t="shared" ref="I706" si="2431">H664</f>
        <v>1</v>
      </c>
      <c r="J706" s="68">
        <f t="shared" ref="J706" si="2432">I664</f>
        <v>0</v>
      </c>
      <c r="K706" s="68">
        <f t="shared" ref="K706" si="2433">J664</f>
        <v>0</v>
      </c>
      <c r="L706" s="68">
        <f t="shared" ref="L706" si="2434">K664</f>
        <v>1</v>
      </c>
      <c r="M706" s="68">
        <f t="shared" ref="M706" si="2435">L664</f>
        <v>1</v>
      </c>
      <c r="N706" s="68">
        <f t="shared" ref="N706" si="2436">M664</f>
        <v>0</v>
      </c>
      <c r="O706" s="68">
        <f t="shared" ref="O706" si="2437">N664</f>
        <v>1</v>
      </c>
      <c r="P706" s="68">
        <f t="shared" ref="P706" si="2438">O664</f>
        <v>0</v>
      </c>
      <c r="Q706" s="68">
        <f t="shared" ref="Q706" si="2439">P664</f>
        <v>1</v>
      </c>
      <c r="R706" s="68">
        <f t="shared" ref="R706" si="2440">Q664</f>
        <v>1</v>
      </c>
      <c r="S706" s="68">
        <f t="shared" ref="S706" si="2441">R664</f>
        <v>0</v>
      </c>
      <c r="T706" s="68">
        <f t="shared" ref="T706" si="2442">S664</f>
        <v>0</v>
      </c>
      <c r="U706" s="68">
        <f t="shared" ref="U706" si="2443">T664</f>
        <v>0</v>
      </c>
      <c r="V706" s="68">
        <f t="shared" ref="V706" si="2444">U664</f>
        <v>1</v>
      </c>
      <c r="W706" s="68">
        <f t="shared" ref="W706" si="2445">V664</f>
        <v>1</v>
      </c>
      <c r="X706" s="68">
        <f t="shared" ref="X706" si="2446">W664</f>
        <v>1</v>
      </c>
      <c r="Y706" s="68">
        <f t="shared" ref="Y706" si="2447">X664</f>
        <v>1</v>
      </c>
      <c r="Z706" s="68">
        <f t="shared" ref="Z706" si="2448">Y664</f>
        <v>1</v>
      </c>
      <c r="AA706" s="68">
        <f t="shared" ref="AA706" si="2449">Z664</f>
        <v>1</v>
      </c>
      <c r="AB706" s="68">
        <f t="shared" ref="AB706" si="2450">AA664</f>
        <v>0</v>
      </c>
      <c r="AC706" s="68">
        <f t="shared" ref="AC706" si="2451">AB664</f>
        <v>0</v>
      </c>
      <c r="AD706" s="68">
        <f t="shared" ref="AD706" si="2452">AC664</f>
        <v>0</v>
      </c>
      <c r="AE706" s="68">
        <f t="shared" ref="AE706" si="2453">AD664</f>
        <v>0</v>
      </c>
      <c r="AF706" s="68">
        <f t="shared" ref="AF706" si="2454">AE664</f>
        <v>0</v>
      </c>
      <c r="AG706" s="68">
        <f t="shared" ref="AG706" si="2455">AF664</f>
        <v>1</v>
      </c>
      <c r="AH706" s="68">
        <f t="shared" ref="AH706" si="2456">AG664</f>
        <v>0</v>
      </c>
      <c r="AI706" s="68">
        <f t="shared" ref="AI706" si="2457">AH664</f>
        <v>0</v>
      </c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21"/>
      <c r="BC706" s="21"/>
      <c r="BD706" s="21"/>
      <c r="BE706" s="21"/>
    </row>
    <row r="707" spans="1:57" x14ac:dyDescent="0.25">
      <c r="A707" s="21"/>
      <c r="B707" s="64"/>
      <c r="C707" s="62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21"/>
      <c r="BC707" s="21"/>
      <c r="BD707" s="21"/>
      <c r="BE707" s="21"/>
    </row>
    <row r="708" spans="1:57" x14ac:dyDescent="0.25">
      <c r="A708" s="114" t="s">
        <v>579</v>
      </c>
      <c r="B708" s="114"/>
      <c r="C708" s="114"/>
      <c r="D708" s="70">
        <v>1</v>
      </c>
      <c r="E708" s="70">
        <v>2</v>
      </c>
      <c r="F708" s="70">
        <v>3</v>
      </c>
      <c r="G708" s="70">
        <v>4</v>
      </c>
      <c r="H708" s="70">
        <v>5</v>
      </c>
      <c r="I708" s="70">
        <v>6</v>
      </c>
      <c r="J708" s="70">
        <v>7</v>
      </c>
      <c r="K708" s="70">
        <v>8</v>
      </c>
      <c r="L708" s="70">
        <v>9</v>
      </c>
      <c r="M708" s="70">
        <v>10</v>
      </c>
      <c r="N708" s="70">
        <v>11</v>
      </c>
      <c r="O708" s="70">
        <v>12</v>
      </c>
      <c r="P708" s="70">
        <v>13</v>
      </c>
      <c r="Q708" s="70">
        <v>14</v>
      </c>
      <c r="R708" s="70">
        <v>15</v>
      </c>
      <c r="S708" s="70">
        <v>16</v>
      </c>
      <c r="T708" s="70">
        <v>17</v>
      </c>
      <c r="U708" s="70">
        <v>18</v>
      </c>
      <c r="V708" s="70">
        <v>19</v>
      </c>
      <c r="W708" s="70">
        <v>20</v>
      </c>
      <c r="X708" s="70">
        <v>21</v>
      </c>
      <c r="Y708" s="70">
        <v>22</v>
      </c>
      <c r="Z708" s="70">
        <v>23</v>
      </c>
      <c r="AA708" s="70">
        <v>24</v>
      </c>
      <c r="AB708" s="70">
        <v>25</v>
      </c>
      <c r="AC708" s="70">
        <v>26</v>
      </c>
      <c r="AD708" s="70">
        <v>27</v>
      </c>
      <c r="AE708" s="70">
        <v>28</v>
      </c>
      <c r="AF708" s="70">
        <v>29</v>
      </c>
      <c r="AG708" s="70">
        <v>30</v>
      </c>
      <c r="AH708" s="70">
        <v>31</v>
      </c>
      <c r="AI708" s="70">
        <v>32</v>
      </c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21"/>
      <c r="BC708" s="21"/>
      <c r="BD708" s="21"/>
      <c r="BE708" s="21"/>
    </row>
    <row r="709" spans="1:57" x14ac:dyDescent="0.25">
      <c r="A709" s="64" t="s">
        <v>551</v>
      </c>
      <c r="B709" s="64"/>
      <c r="C709" s="62"/>
      <c r="D709" s="70">
        <f>--_xlfn.XOR(C700,D657)</f>
        <v>0</v>
      </c>
      <c r="E709" s="70">
        <f t="shared" ref="E709:AI709" si="2458">--_xlfn.XOR(D700,E657)</f>
        <v>1</v>
      </c>
      <c r="F709" s="70">
        <f t="shared" si="2458"/>
        <v>0</v>
      </c>
      <c r="G709" s="70">
        <f t="shared" si="2458"/>
        <v>0</v>
      </c>
      <c r="H709" s="70">
        <f t="shared" si="2458"/>
        <v>0</v>
      </c>
      <c r="I709" s="70">
        <f t="shared" si="2458"/>
        <v>0</v>
      </c>
      <c r="J709" s="70">
        <f t="shared" si="2458"/>
        <v>0</v>
      </c>
      <c r="K709" s="70">
        <f t="shared" si="2458"/>
        <v>1</v>
      </c>
      <c r="L709" s="70">
        <f t="shared" si="2458"/>
        <v>0</v>
      </c>
      <c r="M709" s="70">
        <f t="shared" si="2458"/>
        <v>0</v>
      </c>
      <c r="N709" s="70">
        <f t="shared" si="2458"/>
        <v>0</v>
      </c>
      <c r="O709" s="70">
        <f t="shared" si="2458"/>
        <v>0</v>
      </c>
      <c r="P709" s="70">
        <f t="shared" si="2458"/>
        <v>0</v>
      </c>
      <c r="Q709" s="70">
        <f t="shared" si="2458"/>
        <v>0</v>
      </c>
      <c r="R709" s="70">
        <f t="shared" si="2458"/>
        <v>1</v>
      </c>
      <c r="S709" s="70">
        <f t="shared" si="2458"/>
        <v>0</v>
      </c>
      <c r="T709" s="70">
        <f t="shared" si="2458"/>
        <v>0</v>
      </c>
      <c r="U709" s="70">
        <f t="shared" si="2458"/>
        <v>0</v>
      </c>
      <c r="V709" s="70">
        <f t="shared" si="2458"/>
        <v>0</v>
      </c>
      <c r="W709" s="70">
        <f t="shared" si="2458"/>
        <v>0</v>
      </c>
      <c r="X709" s="70">
        <f t="shared" si="2458"/>
        <v>1</v>
      </c>
      <c r="Y709" s="70">
        <f t="shared" si="2458"/>
        <v>0</v>
      </c>
      <c r="Z709" s="70">
        <f t="shared" si="2458"/>
        <v>0</v>
      </c>
      <c r="AA709" s="70">
        <f t="shared" si="2458"/>
        <v>1</v>
      </c>
      <c r="AB709" s="70">
        <f t="shared" si="2458"/>
        <v>1</v>
      </c>
      <c r="AC709" s="70">
        <f t="shared" si="2458"/>
        <v>0</v>
      </c>
      <c r="AD709" s="70">
        <f t="shared" si="2458"/>
        <v>0</v>
      </c>
      <c r="AE709" s="70">
        <f t="shared" si="2458"/>
        <v>1</v>
      </c>
      <c r="AF709" s="70">
        <f t="shared" si="2458"/>
        <v>1</v>
      </c>
      <c r="AG709" s="70">
        <f t="shared" si="2458"/>
        <v>1</v>
      </c>
      <c r="AH709" s="70">
        <f t="shared" si="2458"/>
        <v>0</v>
      </c>
      <c r="AI709" s="70">
        <f t="shared" si="2458"/>
        <v>1</v>
      </c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21"/>
      <c r="BC709" s="21"/>
      <c r="BD709" s="21"/>
      <c r="BE709" s="21"/>
    </row>
    <row r="710" spans="1:57" x14ac:dyDescent="0.25">
      <c r="A710" s="132" t="s">
        <v>644</v>
      </c>
      <c r="B710" s="64"/>
      <c r="C710" s="62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21"/>
      <c r="BC710" s="21"/>
      <c r="BD710" s="21"/>
      <c r="BE710" s="21"/>
    </row>
    <row r="711" spans="1:57" x14ac:dyDescent="0.25">
      <c r="A711" s="132"/>
      <c r="B711" s="133"/>
      <c r="C711" s="134"/>
      <c r="D711" s="132"/>
      <c r="E711" s="132"/>
      <c r="F711" s="132"/>
      <c r="G711" s="132"/>
      <c r="H711" s="132"/>
      <c r="I711" s="132"/>
      <c r="J711" s="132"/>
      <c r="K711" s="132"/>
      <c r="L711" s="132"/>
      <c r="M711" s="132"/>
      <c r="N711" s="132"/>
      <c r="O711" s="132"/>
      <c r="P711" s="132"/>
      <c r="Q711" s="132"/>
      <c r="R711" s="132"/>
      <c r="S711" s="132"/>
      <c r="T711" s="132"/>
      <c r="U711" s="132"/>
      <c r="V711" s="132"/>
      <c r="W711" s="132"/>
      <c r="X711" s="132"/>
      <c r="Y711" s="132"/>
      <c r="Z711" s="132"/>
      <c r="AA711" s="132"/>
      <c r="AB711" s="132"/>
      <c r="AC711" s="132"/>
      <c r="AD711" s="132"/>
      <c r="AE711" s="132"/>
      <c r="AF711" s="132"/>
      <c r="AG711" s="132"/>
      <c r="AH711" s="132"/>
      <c r="AI711" s="132"/>
      <c r="AJ711" s="132"/>
      <c r="AK711" s="132"/>
      <c r="AL711" s="132"/>
      <c r="AM711" s="132"/>
      <c r="AN711" s="132"/>
      <c r="AO711" s="132"/>
      <c r="AP711" s="132"/>
      <c r="AQ711" s="132"/>
      <c r="AR711" s="132"/>
      <c r="AS711" s="132"/>
      <c r="AT711" s="132"/>
      <c r="AU711" s="132"/>
      <c r="AV711" s="132"/>
      <c r="AW711" s="132"/>
      <c r="AX711" s="132"/>
      <c r="AY711" s="132"/>
      <c r="AZ711" s="132"/>
      <c r="BA711" s="132"/>
      <c r="BB711" s="132"/>
      <c r="BC711" s="132"/>
      <c r="BD711" s="132"/>
      <c r="BE711" s="132"/>
    </row>
    <row r="712" spans="1:57" x14ac:dyDescent="0.25">
      <c r="A712" s="21"/>
      <c r="B712" s="21"/>
      <c r="C712" s="70">
        <v>1</v>
      </c>
      <c r="D712" s="70">
        <v>2</v>
      </c>
      <c r="E712" s="70">
        <v>3</v>
      </c>
      <c r="F712" s="70">
        <v>4</v>
      </c>
      <c r="G712" s="70">
        <v>5</v>
      </c>
      <c r="H712" s="70">
        <v>6</v>
      </c>
      <c r="I712" s="70">
        <v>7</v>
      </c>
      <c r="J712" s="70">
        <v>8</v>
      </c>
      <c r="K712" s="70">
        <v>9</v>
      </c>
      <c r="L712" s="70">
        <v>10</v>
      </c>
      <c r="M712" s="70">
        <v>11</v>
      </c>
      <c r="N712" s="70">
        <v>12</v>
      </c>
      <c r="O712" s="70">
        <v>13</v>
      </c>
      <c r="P712" s="70">
        <v>14</v>
      </c>
      <c r="Q712" s="70">
        <v>15</v>
      </c>
      <c r="R712" s="70">
        <v>16</v>
      </c>
      <c r="S712" s="70">
        <v>17</v>
      </c>
      <c r="T712" s="70">
        <v>18</v>
      </c>
      <c r="U712" s="70">
        <v>19</v>
      </c>
      <c r="V712" s="70">
        <v>20</v>
      </c>
      <c r="W712" s="70">
        <v>21</v>
      </c>
      <c r="X712" s="70">
        <v>22</v>
      </c>
      <c r="Y712" s="70">
        <v>23</v>
      </c>
      <c r="Z712" s="70">
        <v>24</v>
      </c>
      <c r="AA712" s="70">
        <v>25</v>
      </c>
      <c r="AB712" s="70">
        <v>26</v>
      </c>
      <c r="AC712" s="70">
        <v>27</v>
      </c>
      <c r="AD712" s="70">
        <v>28</v>
      </c>
      <c r="AE712" s="70">
        <v>29</v>
      </c>
      <c r="AF712" s="70">
        <v>30</v>
      </c>
      <c r="AG712" s="70">
        <v>31</v>
      </c>
      <c r="AH712" s="70">
        <v>32</v>
      </c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21"/>
      <c r="BC712" s="21"/>
      <c r="BD712" s="21"/>
      <c r="BE712" s="21"/>
    </row>
    <row r="713" spans="1:57" x14ac:dyDescent="0.25">
      <c r="A713" s="114" t="s">
        <v>579</v>
      </c>
      <c r="B713" s="114"/>
      <c r="C713" s="70">
        <f>D709</f>
        <v>0</v>
      </c>
      <c r="D713" s="70">
        <f t="shared" ref="D713" si="2459">E709</f>
        <v>1</v>
      </c>
      <c r="E713" s="70">
        <f t="shared" ref="E713" si="2460">F709</f>
        <v>0</v>
      </c>
      <c r="F713" s="70">
        <f t="shared" ref="F713" si="2461">G709</f>
        <v>0</v>
      </c>
      <c r="G713" s="70">
        <f t="shared" ref="G713" si="2462">H709</f>
        <v>0</v>
      </c>
      <c r="H713" s="70">
        <f t="shared" ref="H713" si="2463">I709</f>
        <v>0</v>
      </c>
      <c r="I713" s="70">
        <f t="shared" ref="I713" si="2464">J709</f>
        <v>0</v>
      </c>
      <c r="J713" s="70">
        <f t="shared" ref="J713" si="2465">K709</f>
        <v>1</v>
      </c>
      <c r="K713" s="70">
        <f t="shared" ref="K713" si="2466">L709</f>
        <v>0</v>
      </c>
      <c r="L713" s="70">
        <f t="shared" ref="L713" si="2467">M709</f>
        <v>0</v>
      </c>
      <c r="M713" s="70">
        <f t="shared" ref="M713" si="2468">N709</f>
        <v>0</v>
      </c>
      <c r="N713" s="70">
        <f t="shared" ref="N713" si="2469">O709</f>
        <v>0</v>
      </c>
      <c r="O713" s="70">
        <f t="shared" ref="O713" si="2470">P709</f>
        <v>0</v>
      </c>
      <c r="P713" s="70">
        <f t="shared" ref="P713" si="2471">Q709</f>
        <v>0</v>
      </c>
      <c r="Q713" s="70">
        <f t="shared" ref="Q713" si="2472">R709</f>
        <v>1</v>
      </c>
      <c r="R713" s="70">
        <f t="shared" ref="R713" si="2473">S709</f>
        <v>0</v>
      </c>
      <c r="S713" s="70">
        <f t="shared" ref="S713" si="2474">T709</f>
        <v>0</v>
      </c>
      <c r="T713" s="70">
        <f t="shared" ref="T713" si="2475">U709</f>
        <v>0</v>
      </c>
      <c r="U713" s="70">
        <f t="shared" ref="U713" si="2476">V709</f>
        <v>0</v>
      </c>
      <c r="V713" s="70">
        <f t="shared" ref="V713" si="2477">W709</f>
        <v>0</v>
      </c>
      <c r="W713" s="70">
        <f t="shared" ref="W713" si="2478">X709</f>
        <v>1</v>
      </c>
      <c r="X713" s="70">
        <f t="shared" ref="X713" si="2479">Y709</f>
        <v>0</v>
      </c>
      <c r="Y713" s="70">
        <f t="shared" ref="Y713" si="2480">Z709</f>
        <v>0</v>
      </c>
      <c r="Z713" s="70">
        <f t="shared" ref="Z713" si="2481">AA709</f>
        <v>1</v>
      </c>
      <c r="AA713" s="70">
        <f t="shared" ref="AA713" si="2482">AB709</f>
        <v>1</v>
      </c>
      <c r="AB713" s="70">
        <f t="shared" ref="AB713" si="2483">AC709</f>
        <v>0</v>
      </c>
      <c r="AC713" s="70">
        <f t="shared" ref="AC713" si="2484">AD709</f>
        <v>0</v>
      </c>
      <c r="AD713" s="70">
        <f t="shared" ref="AD713" si="2485">AE709</f>
        <v>1</v>
      </c>
      <c r="AE713" s="70">
        <f t="shared" ref="AE713" si="2486">AF709</f>
        <v>1</v>
      </c>
      <c r="AF713" s="70">
        <f t="shared" ref="AF713" si="2487">AG709</f>
        <v>1</v>
      </c>
      <c r="AG713" s="70">
        <f t="shared" ref="AG713" si="2488">AH709</f>
        <v>0</v>
      </c>
      <c r="AH713" s="70">
        <f t="shared" ref="AH713" si="2489">AI709</f>
        <v>1</v>
      </c>
      <c r="AI713" s="135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21"/>
      <c r="BC713" s="21"/>
      <c r="BD713" s="21"/>
      <c r="BE713" s="21"/>
    </row>
    <row r="714" spans="1:57" x14ac:dyDescent="0.25">
      <c r="A714" s="21"/>
      <c r="B714" s="64"/>
      <c r="C714" s="62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21"/>
      <c r="BC714" s="21"/>
      <c r="BD714" s="21"/>
      <c r="BE714" s="21"/>
    </row>
    <row r="715" spans="1:57" x14ac:dyDescent="0.25">
      <c r="A715" s="132"/>
      <c r="B715" s="133"/>
      <c r="C715" s="134"/>
      <c r="D715" s="132"/>
      <c r="E715" s="132"/>
      <c r="F715" s="132"/>
      <c r="G715" s="132"/>
      <c r="H715" s="132"/>
      <c r="I715" s="132"/>
      <c r="J715" s="132"/>
      <c r="K715" s="132"/>
      <c r="L715" s="132"/>
      <c r="M715" s="132"/>
      <c r="N715" s="132"/>
      <c r="O715" s="132"/>
      <c r="P715" s="132"/>
      <c r="Q715" s="132"/>
      <c r="R715" s="132"/>
      <c r="S715" s="132"/>
      <c r="T715" s="132"/>
      <c r="U715" s="132"/>
      <c r="V715" s="132"/>
      <c r="W715" s="132"/>
      <c r="X715" s="132"/>
      <c r="Y715" s="132"/>
      <c r="Z715" s="132"/>
      <c r="AA715" s="132"/>
      <c r="AB715" s="132"/>
      <c r="AC715" s="132"/>
      <c r="AD715" s="132"/>
      <c r="AE715" s="132"/>
      <c r="AF715" s="132"/>
      <c r="AG715" s="132"/>
      <c r="AH715" s="132"/>
      <c r="AI715" s="132"/>
      <c r="AJ715" s="132"/>
      <c r="AK715" s="132"/>
      <c r="AL715" s="132"/>
      <c r="AM715" s="132"/>
      <c r="AN715" s="132"/>
      <c r="AO715" s="132"/>
      <c r="AP715" s="132"/>
      <c r="AQ715" s="132"/>
      <c r="AR715" s="132"/>
      <c r="AS715" s="132"/>
      <c r="AT715" s="132"/>
      <c r="AU715" s="132"/>
      <c r="AV715" s="132"/>
      <c r="AW715" s="132"/>
      <c r="AX715" s="132"/>
      <c r="AY715" s="132"/>
      <c r="AZ715" s="21"/>
      <c r="BA715" s="21"/>
      <c r="BB715" s="21"/>
      <c r="BC715" s="21"/>
      <c r="BD715" s="21"/>
      <c r="BE715" s="21"/>
    </row>
    <row r="716" spans="1:57" x14ac:dyDescent="0.25">
      <c r="A716" s="21"/>
      <c r="B716" s="64"/>
      <c r="C716" s="62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21"/>
      <c r="BC716" s="21"/>
      <c r="BD716" s="21"/>
      <c r="BE716" s="21"/>
    </row>
    <row r="717" spans="1:57" x14ac:dyDescent="0.25">
      <c r="A717" s="118" t="s">
        <v>532</v>
      </c>
      <c r="B717" s="118"/>
      <c r="C717" s="75">
        <v>32</v>
      </c>
      <c r="D717" s="74">
        <v>1</v>
      </c>
      <c r="E717" s="74">
        <v>2</v>
      </c>
      <c r="F717" s="74">
        <v>3</v>
      </c>
      <c r="G717" s="74">
        <v>4</v>
      </c>
      <c r="H717" s="73">
        <v>5</v>
      </c>
      <c r="I717" s="122"/>
      <c r="J717" s="118">
        <f>AH713</f>
        <v>1</v>
      </c>
      <c r="K717" s="118">
        <f>C713</f>
        <v>0</v>
      </c>
      <c r="L717" s="118">
        <f>D713</f>
        <v>1</v>
      </c>
      <c r="M717" s="118">
        <f>E713</f>
        <v>0</v>
      </c>
      <c r="N717" s="69">
        <f>F713</f>
        <v>0</v>
      </c>
      <c r="O717" s="119">
        <f>G713</f>
        <v>0</v>
      </c>
      <c r="P717" s="122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21"/>
      <c r="BC717" s="21"/>
      <c r="BD717" s="21"/>
      <c r="BE717" s="21"/>
    </row>
    <row r="718" spans="1:57" x14ac:dyDescent="0.25">
      <c r="A718" s="21"/>
      <c r="B718" s="64"/>
      <c r="C718" s="75">
        <v>4</v>
      </c>
      <c r="D718" s="74">
        <v>5</v>
      </c>
      <c r="E718" s="74">
        <v>6</v>
      </c>
      <c r="F718" s="74">
        <v>7</v>
      </c>
      <c r="G718" s="74">
        <v>8</v>
      </c>
      <c r="H718" s="73">
        <v>9</v>
      </c>
      <c r="I718" s="122"/>
      <c r="J718" s="118">
        <f t="shared" ref="J718" si="2490">F713</f>
        <v>0</v>
      </c>
      <c r="K718" s="69">
        <f t="shared" ref="K718" si="2491">G713</f>
        <v>0</v>
      </c>
      <c r="L718" s="69">
        <f t="shared" ref="L718" si="2492">H713</f>
        <v>0</v>
      </c>
      <c r="M718" s="69">
        <f t="shared" ref="M718" si="2493">I713</f>
        <v>0</v>
      </c>
      <c r="N718" s="69">
        <f t="shared" ref="N718" si="2494">J713</f>
        <v>1</v>
      </c>
      <c r="O718" s="119">
        <f t="shared" ref="O718" si="2495">K713</f>
        <v>0</v>
      </c>
      <c r="P718" s="122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21"/>
      <c r="BC718" s="21"/>
      <c r="BD718" s="21"/>
      <c r="BE718" s="21"/>
    </row>
    <row r="719" spans="1:57" x14ac:dyDescent="0.25">
      <c r="A719" s="21"/>
      <c r="B719" s="64"/>
      <c r="C719" s="75">
        <v>8</v>
      </c>
      <c r="D719" s="74">
        <v>9</v>
      </c>
      <c r="E719" s="74">
        <v>10</v>
      </c>
      <c r="F719" s="74">
        <v>11</v>
      </c>
      <c r="G719" s="74">
        <v>12</v>
      </c>
      <c r="H719" s="73">
        <v>13</v>
      </c>
      <c r="I719" s="123"/>
      <c r="J719" s="120">
        <f t="shared" ref="J719:O719" si="2496">J713</f>
        <v>1</v>
      </c>
      <c r="K719" s="69">
        <f t="shared" si="2496"/>
        <v>0</v>
      </c>
      <c r="L719" s="69">
        <f t="shared" si="2496"/>
        <v>0</v>
      </c>
      <c r="M719" s="69">
        <f t="shared" si="2496"/>
        <v>0</v>
      </c>
      <c r="N719" s="69">
        <f t="shared" si="2496"/>
        <v>0</v>
      </c>
      <c r="O719" s="119">
        <f t="shared" si="2496"/>
        <v>0</v>
      </c>
      <c r="P719" s="123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21"/>
      <c r="BC719" s="21"/>
      <c r="BD719" s="21"/>
      <c r="BE719" s="21"/>
    </row>
    <row r="720" spans="1:57" x14ac:dyDescent="0.25">
      <c r="A720" s="21"/>
      <c r="B720" s="64"/>
      <c r="C720" s="75">
        <v>12</v>
      </c>
      <c r="D720" s="74">
        <v>13</v>
      </c>
      <c r="E720" s="74">
        <v>14</v>
      </c>
      <c r="F720" s="74">
        <v>15</v>
      </c>
      <c r="G720" s="74">
        <v>16</v>
      </c>
      <c r="H720" s="73">
        <v>17</v>
      </c>
      <c r="I720" s="122"/>
      <c r="J720" s="118">
        <f t="shared" ref="J720" si="2497">N713</f>
        <v>0</v>
      </c>
      <c r="K720" s="69">
        <f t="shared" ref="K720" si="2498">O713</f>
        <v>0</v>
      </c>
      <c r="L720" s="69">
        <f t="shared" ref="L720" si="2499">P713</f>
        <v>0</v>
      </c>
      <c r="M720" s="69">
        <f t="shared" ref="M720" si="2500">Q713</f>
        <v>1</v>
      </c>
      <c r="N720" s="69">
        <f t="shared" ref="N720" si="2501">R713</f>
        <v>0</v>
      </c>
      <c r="O720" s="119">
        <f t="shared" ref="O720" si="2502">S713</f>
        <v>0</v>
      </c>
      <c r="P720" s="122"/>
      <c r="Q720" s="21"/>
      <c r="R720" s="21"/>
      <c r="S720" s="21"/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21"/>
      <c r="BC720" s="21"/>
      <c r="BD720" s="21"/>
      <c r="BE720" s="21"/>
    </row>
    <row r="721" spans="1:57" x14ac:dyDescent="0.25">
      <c r="A721" s="21"/>
      <c r="B721" s="64"/>
      <c r="C721" s="75">
        <v>16</v>
      </c>
      <c r="D721" s="74">
        <v>17</v>
      </c>
      <c r="E721" s="74">
        <v>18</v>
      </c>
      <c r="F721" s="74">
        <v>19</v>
      </c>
      <c r="G721" s="74">
        <v>20</v>
      </c>
      <c r="H721" s="73">
        <v>21</v>
      </c>
      <c r="I721" s="122"/>
      <c r="J721" s="118">
        <f t="shared" ref="J721" si="2503">R713</f>
        <v>0</v>
      </c>
      <c r="K721" s="69">
        <f t="shared" ref="K721" si="2504">S713</f>
        <v>0</v>
      </c>
      <c r="L721" s="69">
        <f t="shared" ref="L721" si="2505">T713</f>
        <v>0</v>
      </c>
      <c r="M721" s="69">
        <f t="shared" ref="M721" si="2506">U713</f>
        <v>0</v>
      </c>
      <c r="N721" s="69">
        <f t="shared" ref="N721" si="2507">V713</f>
        <v>0</v>
      </c>
      <c r="O721" s="119">
        <f t="shared" ref="O721" si="2508">W713</f>
        <v>1</v>
      </c>
      <c r="P721" s="122"/>
      <c r="Q721" s="21"/>
      <c r="R721" s="21"/>
      <c r="S721" s="21"/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21"/>
      <c r="BC721" s="21"/>
      <c r="BD721" s="21"/>
      <c r="BE721" s="21"/>
    </row>
    <row r="722" spans="1:57" x14ac:dyDescent="0.25">
      <c r="A722" s="21"/>
      <c r="B722" s="64"/>
      <c r="C722" s="75">
        <v>20</v>
      </c>
      <c r="D722" s="74">
        <v>21</v>
      </c>
      <c r="E722" s="74">
        <v>22</v>
      </c>
      <c r="F722" s="74">
        <v>23</v>
      </c>
      <c r="G722" s="74">
        <v>24</v>
      </c>
      <c r="H722" s="73">
        <v>25</v>
      </c>
      <c r="I722" s="122"/>
      <c r="J722" s="118">
        <f t="shared" ref="J722" si="2509">V713</f>
        <v>0</v>
      </c>
      <c r="K722" s="69">
        <f t="shared" ref="K722" si="2510">W713</f>
        <v>1</v>
      </c>
      <c r="L722" s="69">
        <f t="shared" ref="L722" si="2511">X713</f>
        <v>0</v>
      </c>
      <c r="M722" s="69">
        <f t="shared" ref="M722" si="2512">Y713</f>
        <v>0</v>
      </c>
      <c r="N722" s="69">
        <f t="shared" ref="N722" si="2513">Z713</f>
        <v>1</v>
      </c>
      <c r="O722" s="119">
        <f t="shared" ref="O722" si="2514">AA713</f>
        <v>1</v>
      </c>
      <c r="P722" s="122"/>
      <c r="Q722" s="21"/>
      <c r="R722" s="21"/>
      <c r="S722" s="21"/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21"/>
      <c r="BC722" s="21"/>
      <c r="BD722" s="21"/>
      <c r="BE722" s="21"/>
    </row>
    <row r="723" spans="1:57" x14ac:dyDescent="0.25">
      <c r="A723" s="21"/>
      <c r="B723" s="64"/>
      <c r="C723" s="75">
        <v>24</v>
      </c>
      <c r="D723" s="74">
        <v>25</v>
      </c>
      <c r="E723" s="74">
        <v>26</v>
      </c>
      <c r="F723" s="74">
        <v>27</v>
      </c>
      <c r="G723" s="74">
        <v>28</v>
      </c>
      <c r="H723" s="73">
        <v>29</v>
      </c>
      <c r="I723" s="122"/>
      <c r="J723" s="118">
        <f t="shared" ref="J723" si="2515">Z713</f>
        <v>1</v>
      </c>
      <c r="K723" s="69">
        <f t="shared" ref="K723" si="2516">AA713</f>
        <v>1</v>
      </c>
      <c r="L723" s="69">
        <f t="shared" ref="L723" si="2517">AB713</f>
        <v>0</v>
      </c>
      <c r="M723" s="69">
        <f t="shared" ref="M723" si="2518">AC713</f>
        <v>0</v>
      </c>
      <c r="N723" s="69">
        <f t="shared" ref="N723" si="2519">AD713</f>
        <v>1</v>
      </c>
      <c r="O723" s="119">
        <f t="shared" ref="O723" si="2520">AE713</f>
        <v>1</v>
      </c>
      <c r="P723" s="122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21"/>
      <c r="BC723" s="21"/>
      <c r="BD723" s="21"/>
      <c r="BE723" s="21"/>
    </row>
    <row r="724" spans="1:57" x14ac:dyDescent="0.25">
      <c r="A724" s="21"/>
      <c r="B724" s="64"/>
      <c r="C724" s="75">
        <v>28</v>
      </c>
      <c r="D724" s="74">
        <v>29</v>
      </c>
      <c r="E724" s="74">
        <v>30</v>
      </c>
      <c r="F724" s="74">
        <v>31</v>
      </c>
      <c r="G724" s="74">
        <v>32</v>
      </c>
      <c r="H724" s="73">
        <v>1</v>
      </c>
      <c r="I724" s="122"/>
      <c r="J724" s="70">
        <f>AD713</f>
        <v>1</v>
      </c>
      <c r="K724" s="71">
        <f>AE713</f>
        <v>1</v>
      </c>
      <c r="L724" s="71">
        <f>AF713</f>
        <v>1</v>
      </c>
      <c r="M724" s="71">
        <f>AG713</f>
        <v>0</v>
      </c>
      <c r="N724" s="71">
        <f>AH713</f>
        <v>1</v>
      </c>
      <c r="O724" s="121">
        <f>C713</f>
        <v>0</v>
      </c>
      <c r="P724" s="122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21"/>
      <c r="BC724" s="21"/>
      <c r="BD724" s="21"/>
      <c r="BE724" s="21"/>
    </row>
    <row r="725" spans="1:57" x14ac:dyDescent="0.25">
      <c r="A725" s="21"/>
      <c r="B725" s="64"/>
      <c r="C725" s="62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21"/>
      <c r="BC725" s="21"/>
      <c r="BD725" s="21"/>
      <c r="BE725" s="21"/>
    </row>
    <row r="726" spans="1:57" x14ac:dyDescent="0.25">
      <c r="A726" s="21"/>
      <c r="B726" s="64"/>
      <c r="C726" s="62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21"/>
      <c r="BC726" s="21"/>
      <c r="BD726" s="21"/>
      <c r="BE726" s="21"/>
    </row>
    <row r="727" spans="1:57" x14ac:dyDescent="0.25">
      <c r="A727" s="124" t="s">
        <v>533</v>
      </c>
      <c r="B727" s="124"/>
      <c r="C727" s="125">
        <v>1</v>
      </c>
      <c r="D727" s="126">
        <v>2</v>
      </c>
      <c r="E727" s="125">
        <v>3</v>
      </c>
      <c r="F727" s="126">
        <v>4</v>
      </c>
      <c r="G727" s="125">
        <v>5</v>
      </c>
      <c r="H727" s="126">
        <v>6</v>
      </c>
      <c r="I727" s="125">
        <v>7</v>
      </c>
      <c r="J727" s="126">
        <v>8</v>
      </c>
      <c r="K727" s="125">
        <v>9</v>
      </c>
      <c r="L727" s="126">
        <v>10</v>
      </c>
      <c r="M727" s="125">
        <v>11</v>
      </c>
      <c r="N727" s="126">
        <v>12</v>
      </c>
      <c r="O727" s="125">
        <v>13</v>
      </c>
      <c r="P727" s="126">
        <v>14</v>
      </c>
      <c r="Q727" s="125">
        <v>15</v>
      </c>
      <c r="R727" s="126">
        <v>16</v>
      </c>
      <c r="S727" s="125">
        <v>17</v>
      </c>
      <c r="T727" s="126">
        <v>18</v>
      </c>
      <c r="U727" s="125">
        <v>19</v>
      </c>
      <c r="V727" s="126">
        <v>20</v>
      </c>
      <c r="W727" s="125">
        <v>21</v>
      </c>
      <c r="X727" s="126">
        <v>22</v>
      </c>
      <c r="Y727" s="125">
        <v>23</v>
      </c>
      <c r="Z727" s="126">
        <v>24</v>
      </c>
      <c r="AA727" s="125">
        <v>25</v>
      </c>
      <c r="AB727" s="126">
        <v>26</v>
      </c>
      <c r="AC727" s="125">
        <v>27</v>
      </c>
      <c r="AD727" s="126">
        <v>28</v>
      </c>
      <c r="AE727" s="125">
        <v>29</v>
      </c>
      <c r="AF727" s="126">
        <v>30</v>
      </c>
      <c r="AG727" s="125">
        <v>31</v>
      </c>
      <c r="AH727" s="126">
        <v>32</v>
      </c>
      <c r="AI727" s="125">
        <v>33</v>
      </c>
      <c r="AJ727" s="126">
        <v>34</v>
      </c>
      <c r="AK727" s="125">
        <v>35</v>
      </c>
      <c r="AL727" s="126">
        <v>36</v>
      </c>
      <c r="AM727" s="125">
        <v>37</v>
      </c>
      <c r="AN727" s="126">
        <v>38</v>
      </c>
      <c r="AO727" s="125">
        <v>39</v>
      </c>
      <c r="AP727" s="126">
        <v>40</v>
      </c>
      <c r="AQ727" s="125">
        <v>41</v>
      </c>
      <c r="AR727" s="126">
        <v>42</v>
      </c>
      <c r="AS727" s="125">
        <v>43</v>
      </c>
      <c r="AT727" s="126">
        <v>44</v>
      </c>
      <c r="AU727" s="125">
        <v>45</v>
      </c>
      <c r="AV727" s="126">
        <v>46</v>
      </c>
      <c r="AW727" s="125">
        <v>47</v>
      </c>
      <c r="AX727" s="126">
        <v>48</v>
      </c>
      <c r="AY727" s="21"/>
      <c r="AZ727" s="21"/>
      <c r="BA727" s="21"/>
      <c r="BB727" s="21"/>
      <c r="BC727" s="21"/>
      <c r="BD727" s="21"/>
      <c r="BE727" s="21"/>
    </row>
    <row r="728" spans="1:57" x14ac:dyDescent="0.25">
      <c r="A728" s="21"/>
      <c r="B728" s="64"/>
      <c r="C728" s="125">
        <f t="shared" ref="C728" si="2521">J717</f>
        <v>1</v>
      </c>
      <c r="D728" s="125">
        <f t="shared" ref="D728" si="2522">K717</f>
        <v>0</v>
      </c>
      <c r="E728" s="125">
        <f t="shared" ref="E728" si="2523">L717</f>
        <v>1</v>
      </c>
      <c r="F728" s="125">
        <f t="shared" ref="F728" si="2524">M717</f>
        <v>0</v>
      </c>
      <c r="G728" s="126">
        <f t="shared" ref="G728" si="2525">N717</f>
        <v>0</v>
      </c>
      <c r="H728" s="126">
        <f t="shared" ref="H728" si="2526">O717</f>
        <v>0</v>
      </c>
      <c r="I728" s="125">
        <f t="shared" ref="I728" si="2527">J718</f>
        <v>0</v>
      </c>
      <c r="J728" s="125">
        <f t="shared" ref="J728" si="2528">K718</f>
        <v>0</v>
      </c>
      <c r="K728" s="125">
        <f t="shared" ref="K728" si="2529">L718</f>
        <v>0</v>
      </c>
      <c r="L728" s="125">
        <f t="shared" ref="L728" si="2530">M718</f>
        <v>0</v>
      </c>
      <c r="M728" s="125">
        <f t="shared" ref="M728" si="2531">N718</f>
        <v>1</v>
      </c>
      <c r="N728" s="125">
        <f t="shared" ref="N728" si="2532">O718</f>
        <v>0</v>
      </c>
      <c r="O728" s="126">
        <f t="shared" ref="O728" si="2533">J719</f>
        <v>1</v>
      </c>
      <c r="P728" s="126">
        <f t="shared" ref="P728" si="2534">K719</f>
        <v>0</v>
      </c>
      <c r="Q728" s="126">
        <f t="shared" ref="Q728" si="2535">L719</f>
        <v>0</v>
      </c>
      <c r="R728" s="126">
        <f t="shared" ref="R728" si="2536">M719</f>
        <v>0</v>
      </c>
      <c r="S728" s="126">
        <f t="shared" ref="S728" si="2537">N719</f>
        <v>0</v>
      </c>
      <c r="T728" s="126">
        <f t="shared" ref="T728" si="2538">O719</f>
        <v>0</v>
      </c>
      <c r="U728" s="125">
        <f t="shared" ref="U728" si="2539">J720</f>
        <v>0</v>
      </c>
      <c r="V728" s="126">
        <f t="shared" ref="V728" si="2540">K720</f>
        <v>0</v>
      </c>
      <c r="W728" s="125">
        <f t="shared" ref="W728" si="2541">L720</f>
        <v>0</v>
      </c>
      <c r="X728" s="126">
        <f t="shared" ref="X728" si="2542">M720</f>
        <v>1</v>
      </c>
      <c r="Y728" s="125">
        <f t="shared" ref="Y728" si="2543">N720</f>
        <v>0</v>
      </c>
      <c r="Z728" s="126">
        <f t="shared" ref="Z728" si="2544">O720</f>
        <v>0</v>
      </c>
      <c r="AA728" s="125">
        <f t="shared" ref="AA728" si="2545">J721</f>
        <v>0</v>
      </c>
      <c r="AB728" s="126">
        <f t="shared" ref="AB728" si="2546">K721</f>
        <v>0</v>
      </c>
      <c r="AC728" s="125">
        <f>L721</f>
        <v>0</v>
      </c>
      <c r="AD728" s="126">
        <f t="shared" ref="AD728" si="2547">M721</f>
        <v>0</v>
      </c>
      <c r="AE728" s="125">
        <f t="shared" ref="AE728" si="2548">N721</f>
        <v>0</v>
      </c>
      <c r="AF728" s="126">
        <f t="shared" ref="AF728" si="2549">O721</f>
        <v>1</v>
      </c>
      <c r="AG728" s="125">
        <f t="shared" ref="AG728" si="2550">J722</f>
        <v>0</v>
      </c>
      <c r="AH728" s="126">
        <f t="shared" ref="AH728" si="2551">K722</f>
        <v>1</v>
      </c>
      <c r="AI728" s="125">
        <f t="shared" ref="AI728" si="2552">L722</f>
        <v>0</v>
      </c>
      <c r="AJ728" s="126">
        <f t="shared" ref="AJ728" si="2553">M722</f>
        <v>0</v>
      </c>
      <c r="AK728" s="125">
        <f t="shared" ref="AK728" si="2554">N722</f>
        <v>1</v>
      </c>
      <c r="AL728" s="126">
        <f t="shared" ref="AL728" si="2555">O722</f>
        <v>1</v>
      </c>
      <c r="AM728" s="125">
        <f t="shared" ref="AM728" si="2556">J723</f>
        <v>1</v>
      </c>
      <c r="AN728" s="126">
        <f t="shared" ref="AN728" si="2557">K723</f>
        <v>1</v>
      </c>
      <c r="AO728" s="125">
        <f t="shared" ref="AO728" si="2558">L723</f>
        <v>0</v>
      </c>
      <c r="AP728" s="126">
        <f t="shared" ref="AP728" si="2559">M723</f>
        <v>0</v>
      </c>
      <c r="AQ728" s="125">
        <f t="shared" ref="AQ728" si="2560">N723</f>
        <v>1</v>
      </c>
      <c r="AR728" s="126">
        <f t="shared" ref="AR728" si="2561">O723</f>
        <v>1</v>
      </c>
      <c r="AS728" s="125">
        <f t="shared" ref="AS728" si="2562">J724</f>
        <v>1</v>
      </c>
      <c r="AT728" s="126">
        <f t="shared" ref="AT728" si="2563">K724</f>
        <v>1</v>
      </c>
      <c r="AU728" s="125">
        <f t="shared" ref="AU728" si="2564">L724</f>
        <v>1</v>
      </c>
      <c r="AV728" s="126">
        <f t="shared" ref="AV728" si="2565">M724</f>
        <v>0</v>
      </c>
      <c r="AW728" s="125">
        <f t="shared" ref="AW728" si="2566">N724</f>
        <v>1</v>
      </c>
      <c r="AX728" s="126">
        <f t="shared" ref="AX728" si="2567">O724</f>
        <v>0</v>
      </c>
      <c r="AY728" s="21"/>
      <c r="AZ728" s="21"/>
      <c r="BA728" s="21"/>
      <c r="BB728" s="21"/>
      <c r="BC728" s="21"/>
      <c r="BD728" s="21"/>
      <c r="BE728" s="21"/>
    </row>
    <row r="729" spans="1:57" x14ac:dyDescent="0.25">
      <c r="A729" s="21"/>
      <c r="B729" s="64"/>
      <c r="C729" s="62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21"/>
      <c r="BC729" s="21"/>
      <c r="BD729" s="21"/>
      <c r="BE729" s="21"/>
    </row>
    <row r="730" spans="1:57" x14ac:dyDescent="0.25">
      <c r="A730" s="21"/>
      <c r="B730" s="64"/>
      <c r="C730" s="62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21"/>
      <c r="BC730" s="21"/>
      <c r="BD730" s="21"/>
      <c r="BE730" s="21"/>
    </row>
    <row r="731" spans="1:57" x14ac:dyDescent="0.25">
      <c r="A731" s="127" t="s">
        <v>587</v>
      </c>
      <c r="B731" s="127"/>
      <c r="C731" s="77">
        <f>'Key Generator'!D101</f>
        <v>1</v>
      </c>
      <c r="D731" s="77">
        <f>'Key Generator'!E101</f>
        <v>2</v>
      </c>
      <c r="E731" s="77">
        <f>'Key Generator'!F101</f>
        <v>3</v>
      </c>
      <c r="F731" s="77">
        <f>'Key Generator'!G101</f>
        <v>4</v>
      </c>
      <c r="G731" s="77">
        <f>'Key Generator'!H101</f>
        <v>5</v>
      </c>
      <c r="H731" s="77">
        <f>'Key Generator'!I101</f>
        <v>6</v>
      </c>
      <c r="I731" s="77">
        <f>'Key Generator'!J101</f>
        <v>7</v>
      </c>
      <c r="J731" s="77">
        <f>'Key Generator'!K101</f>
        <v>8</v>
      </c>
      <c r="K731" s="77">
        <f>'Key Generator'!L101</f>
        <v>9</v>
      </c>
      <c r="L731" s="77">
        <f>'Key Generator'!M101</f>
        <v>10</v>
      </c>
      <c r="M731" s="77">
        <f>'Key Generator'!N101</f>
        <v>11</v>
      </c>
      <c r="N731" s="77">
        <f>'Key Generator'!O101</f>
        <v>12</v>
      </c>
      <c r="O731" s="77">
        <f>'Key Generator'!P101</f>
        <v>13</v>
      </c>
      <c r="P731" s="77">
        <f>'Key Generator'!Q101</f>
        <v>14</v>
      </c>
      <c r="Q731" s="77">
        <f>'Key Generator'!R101</f>
        <v>15</v>
      </c>
      <c r="R731" s="77">
        <f>'Key Generator'!S101</f>
        <v>16</v>
      </c>
      <c r="S731" s="77">
        <f>'Key Generator'!T101</f>
        <v>17</v>
      </c>
      <c r="T731" s="77">
        <f>'Key Generator'!U101</f>
        <v>18</v>
      </c>
      <c r="U731" s="77">
        <f>'Key Generator'!V101</f>
        <v>19</v>
      </c>
      <c r="V731" s="77">
        <f>'Key Generator'!W101</f>
        <v>20</v>
      </c>
      <c r="W731" s="77">
        <f>'Key Generator'!X101</f>
        <v>21</v>
      </c>
      <c r="X731" s="77">
        <f>'Key Generator'!Y101</f>
        <v>22</v>
      </c>
      <c r="Y731" s="77">
        <f>'Key Generator'!Z101</f>
        <v>23</v>
      </c>
      <c r="Z731" s="77">
        <f>'Key Generator'!AA101</f>
        <v>24</v>
      </c>
      <c r="AA731" s="77">
        <f>'Key Generator'!AB101</f>
        <v>25</v>
      </c>
      <c r="AB731" s="77">
        <f>'Key Generator'!AC101</f>
        <v>26</v>
      </c>
      <c r="AC731" s="77">
        <f>'Key Generator'!AD101</f>
        <v>27</v>
      </c>
      <c r="AD731" s="77">
        <f>'Key Generator'!AE101</f>
        <v>28</v>
      </c>
      <c r="AE731" s="77">
        <f>'Key Generator'!AF101</f>
        <v>29</v>
      </c>
      <c r="AF731" s="77">
        <f>'Key Generator'!AG101</f>
        <v>30</v>
      </c>
      <c r="AG731" s="77">
        <f>'Key Generator'!AH101</f>
        <v>31</v>
      </c>
      <c r="AH731" s="77">
        <f>'Key Generator'!AI101</f>
        <v>32</v>
      </c>
      <c r="AI731" s="77">
        <f>'Key Generator'!AJ101</f>
        <v>33</v>
      </c>
      <c r="AJ731" s="77">
        <f>'Key Generator'!AK101</f>
        <v>34</v>
      </c>
      <c r="AK731" s="77">
        <f>'Key Generator'!AL101</f>
        <v>35</v>
      </c>
      <c r="AL731" s="77">
        <f>'Key Generator'!AM101</f>
        <v>36</v>
      </c>
      <c r="AM731" s="77">
        <f>'Key Generator'!AN101</f>
        <v>37</v>
      </c>
      <c r="AN731" s="77">
        <f>'Key Generator'!AO101</f>
        <v>38</v>
      </c>
      <c r="AO731" s="77">
        <f>'Key Generator'!AP101</f>
        <v>39</v>
      </c>
      <c r="AP731" s="77">
        <f>'Key Generator'!AQ101</f>
        <v>40</v>
      </c>
      <c r="AQ731" s="77">
        <f>'Key Generator'!AR101</f>
        <v>41</v>
      </c>
      <c r="AR731" s="77">
        <f>'Key Generator'!AS101</f>
        <v>42</v>
      </c>
      <c r="AS731" s="77">
        <f>'Key Generator'!AT101</f>
        <v>43</v>
      </c>
      <c r="AT731" s="77">
        <f>'Key Generator'!AU101</f>
        <v>44</v>
      </c>
      <c r="AU731" s="77">
        <f>'Key Generator'!AV101</f>
        <v>45</v>
      </c>
      <c r="AV731" s="77">
        <f>'Key Generator'!AW101</f>
        <v>46</v>
      </c>
      <c r="AW731" s="77">
        <f>'Key Generator'!AX101</f>
        <v>47</v>
      </c>
      <c r="AX731" s="77">
        <f>'Key Generator'!AY101</f>
        <v>48</v>
      </c>
      <c r="AY731" s="21"/>
      <c r="AZ731" s="21"/>
      <c r="BA731" s="21"/>
      <c r="BB731" s="21"/>
      <c r="BC731" s="21"/>
      <c r="BD731" s="21"/>
      <c r="BE731" s="21"/>
    </row>
    <row r="732" spans="1:57" x14ac:dyDescent="0.25">
      <c r="A732" s="21"/>
      <c r="B732" s="64"/>
      <c r="C732" s="77">
        <f>'Key Generator'!D102</f>
        <v>1</v>
      </c>
      <c r="D732" s="77">
        <f>'Key Generator'!E102</f>
        <v>1</v>
      </c>
      <c r="E732" s="77">
        <f>'Key Generator'!F102</f>
        <v>0</v>
      </c>
      <c r="F732" s="77">
        <f>'Key Generator'!G102</f>
        <v>1</v>
      </c>
      <c r="G732" s="77">
        <f>'Key Generator'!H102</f>
        <v>0</v>
      </c>
      <c r="H732" s="77">
        <f>'Key Generator'!I102</f>
        <v>0</v>
      </c>
      <c r="I732" s="77">
        <f>'Key Generator'!J102</f>
        <v>0</v>
      </c>
      <c r="J732" s="77">
        <f>'Key Generator'!K102</f>
        <v>0</v>
      </c>
      <c r="K732" s="77">
        <f>'Key Generator'!L102</f>
        <v>0</v>
      </c>
      <c r="L732" s="77">
        <f>'Key Generator'!M102</f>
        <v>1</v>
      </c>
      <c r="M732" s="77">
        <f>'Key Generator'!N102</f>
        <v>1</v>
      </c>
      <c r="N732" s="77">
        <f>'Key Generator'!O102</f>
        <v>0</v>
      </c>
      <c r="O732" s="77">
        <f>'Key Generator'!P102</f>
        <v>1</v>
      </c>
      <c r="P732" s="77">
        <f>'Key Generator'!Q102</f>
        <v>1</v>
      </c>
      <c r="Q732" s="77">
        <f>'Key Generator'!R102</f>
        <v>0</v>
      </c>
      <c r="R732" s="77">
        <f>'Key Generator'!S102</f>
        <v>0</v>
      </c>
      <c r="S732" s="77">
        <f>'Key Generator'!T102</f>
        <v>1</v>
      </c>
      <c r="T732" s="77">
        <f>'Key Generator'!U102</f>
        <v>0</v>
      </c>
      <c r="U732" s="77">
        <f>'Key Generator'!V102</f>
        <v>0</v>
      </c>
      <c r="V732" s="77">
        <f>'Key Generator'!W102</f>
        <v>0</v>
      </c>
      <c r="W732" s="77">
        <f>'Key Generator'!X102</f>
        <v>0</v>
      </c>
      <c r="X732" s="77">
        <f>'Key Generator'!Y102</f>
        <v>1</v>
      </c>
      <c r="Y732" s="77">
        <f>'Key Generator'!Z102</f>
        <v>0</v>
      </c>
      <c r="Z732" s="77">
        <f>'Key Generator'!AA102</f>
        <v>0</v>
      </c>
      <c r="AA732" s="77">
        <f>'Key Generator'!AB102</f>
        <v>1</v>
      </c>
      <c r="AB732" s="77">
        <f>'Key Generator'!AC102</f>
        <v>1</v>
      </c>
      <c r="AC732" s="77">
        <f>'Key Generator'!AD102</f>
        <v>1</v>
      </c>
      <c r="AD732" s="77">
        <f>'Key Generator'!AE102</f>
        <v>0</v>
      </c>
      <c r="AE732" s="77">
        <f>'Key Generator'!AF102</f>
        <v>0</v>
      </c>
      <c r="AF732" s="77">
        <f>'Key Generator'!AG102</f>
        <v>0</v>
      </c>
      <c r="AG732" s="77">
        <f>'Key Generator'!AH102</f>
        <v>1</v>
      </c>
      <c r="AH732" s="77">
        <f>'Key Generator'!AI102</f>
        <v>1</v>
      </c>
      <c r="AI732" s="77">
        <f>'Key Generator'!AJ102</f>
        <v>1</v>
      </c>
      <c r="AJ732" s="77">
        <f>'Key Generator'!AK102</f>
        <v>0</v>
      </c>
      <c r="AK732" s="77">
        <f>'Key Generator'!AL102</f>
        <v>0</v>
      </c>
      <c r="AL732" s="77">
        <f>'Key Generator'!AM102</f>
        <v>1</v>
      </c>
      <c r="AM732" s="77">
        <f>'Key Generator'!AN102</f>
        <v>1</v>
      </c>
      <c r="AN732" s="77">
        <f>'Key Generator'!AO102</f>
        <v>0</v>
      </c>
      <c r="AO732" s="77">
        <f>'Key Generator'!AP102</f>
        <v>0</v>
      </c>
      <c r="AP732" s="77">
        <f>'Key Generator'!AQ102</f>
        <v>0</v>
      </c>
      <c r="AQ732" s="77">
        <f>'Key Generator'!AR102</f>
        <v>0</v>
      </c>
      <c r="AR732" s="77">
        <f>'Key Generator'!AS102</f>
        <v>0</v>
      </c>
      <c r="AS732" s="77">
        <f>'Key Generator'!AT102</f>
        <v>1</v>
      </c>
      <c r="AT732" s="77">
        <f>'Key Generator'!AU102</f>
        <v>1</v>
      </c>
      <c r="AU732" s="77">
        <f>'Key Generator'!AV102</f>
        <v>0</v>
      </c>
      <c r="AV732" s="77">
        <f>'Key Generator'!AW102</f>
        <v>1</v>
      </c>
      <c r="AW732" s="77">
        <f>'Key Generator'!AX102</f>
        <v>1</v>
      </c>
      <c r="AX732" s="77">
        <f>'Key Generator'!AY102</f>
        <v>0</v>
      </c>
      <c r="AY732" s="21"/>
      <c r="AZ732" s="21"/>
      <c r="BA732" s="21"/>
      <c r="BB732" s="21"/>
      <c r="BC732" s="21"/>
      <c r="BD732" s="21"/>
      <c r="BE732" s="21"/>
    </row>
    <row r="733" spans="1:57" x14ac:dyDescent="0.25">
      <c r="A733" s="21"/>
      <c r="B733" s="64"/>
      <c r="C733" s="62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21"/>
      <c r="BC733" s="21"/>
      <c r="BD733" s="21"/>
      <c r="BE733" s="21"/>
    </row>
    <row r="734" spans="1:57" x14ac:dyDescent="0.25">
      <c r="A734" s="21"/>
      <c r="B734" s="64"/>
      <c r="C734" s="62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21"/>
      <c r="BC734" s="21"/>
      <c r="BD734" s="21"/>
      <c r="BE734" s="21"/>
    </row>
    <row r="735" spans="1:57" x14ac:dyDescent="0.25">
      <c r="A735" s="128" t="s">
        <v>535</v>
      </c>
      <c r="B735" s="129"/>
      <c r="C735" s="79">
        <v>1</v>
      </c>
      <c r="D735" s="80">
        <v>2</v>
      </c>
      <c r="E735" s="79">
        <v>3</v>
      </c>
      <c r="F735" s="80">
        <v>4</v>
      </c>
      <c r="G735" s="79">
        <v>5</v>
      </c>
      <c r="H735" s="80">
        <v>6</v>
      </c>
      <c r="I735" s="79">
        <v>7</v>
      </c>
      <c r="J735" s="80">
        <v>8</v>
      </c>
      <c r="K735" s="79">
        <v>9</v>
      </c>
      <c r="L735" s="80">
        <v>10</v>
      </c>
      <c r="M735" s="79">
        <v>11</v>
      </c>
      <c r="N735" s="80">
        <v>12</v>
      </c>
      <c r="O735" s="79">
        <v>13</v>
      </c>
      <c r="P735" s="80">
        <v>14</v>
      </c>
      <c r="Q735" s="79">
        <v>15</v>
      </c>
      <c r="R735" s="80">
        <v>16</v>
      </c>
      <c r="S735" s="79">
        <v>17</v>
      </c>
      <c r="T735" s="80">
        <v>18</v>
      </c>
      <c r="U735" s="79">
        <v>19</v>
      </c>
      <c r="V735" s="80">
        <v>20</v>
      </c>
      <c r="W735" s="79">
        <v>21</v>
      </c>
      <c r="X735" s="80">
        <v>22</v>
      </c>
      <c r="Y735" s="79">
        <v>23</v>
      </c>
      <c r="Z735" s="80">
        <v>24</v>
      </c>
      <c r="AA735" s="79">
        <v>25</v>
      </c>
      <c r="AB735" s="80">
        <v>26</v>
      </c>
      <c r="AC735" s="79">
        <v>27</v>
      </c>
      <c r="AD735" s="80">
        <v>28</v>
      </c>
      <c r="AE735" s="79">
        <v>29</v>
      </c>
      <c r="AF735" s="80">
        <v>30</v>
      </c>
      <c r="AG735" s="79">
        <v>31</v>
      </c>
      <c r="AH735" s="80">
        <v>32</v>
      </c>
      <c r="AI735" s="79">
        <v>33</v>
      </c>
      <c r="AJ735" s="80">
        <v>34</v>
      </c>
      <c r="AK735" s="79">
        <v>35</v>
      </c>
      <c r="AL735" s="80">
        <v>36</v>
      </c>
      <c r="AM735" s="79">
        <v>37</v>
      </c>
      <c r="AN735" s="80">
        <v>38</v>
      </c>
      <c r="AO735" s="79">
        <v>39</v>
      </c>
      <c r="AP735" s="80">
        <v>40</v>
      </c>
      <c r="AQ735" s="79">
        <v>41</v>
      </c>
      <c r="AR735" s="80">
        <v>42</v>
      </c>
      <c r="AS735" s="79">
        <v>43</v>
      </c>
      <c r="AT735" s="80">
        <v>44</v>
      </c>
      <c r="AU735" s="79">
        <v>45</v>
      </c>
      <c r="AV735" s="80">
        <v>46</v>
      </c>
      <c r="AW735" s="79">
        <v>47</v>
      </c>
      <c r="AX735" s="80">
        <v>48</v>
      </c>
      <c r="AY735" s="21"/>
      <c r="AZ735" s="21"/>
      <c r="BA735" s="21"/>
      <c r="BB735" s="21"/>
      <c r="BC735" s="21"/>
      <c r="BD735" s="21"/>
      <c r="BE735" s="21"/>
    </row>
    <row r="736" spans="1:57" x14ac:dyDescent="0.25">
      <c r="A736" s="21"/>
      <c r="B736" s="64"/>
      <c r="C736" s="88">
        <f>--_xlfn.XOR(C728,'Key Generator'!D102)</f>
        <v>0</v>
      </c>
      <c r="D736" s="88">
        <f>--_xlfn.XOR(D728,'Key Generator'!E102)</f>
        <v>1</v>
      </c>
      <c r="E736" s="88">
        <f>--_xlfn.XOR(E728,'Key Generator'!F102)</f>
        <v>1</v>
      </c>
      <c r="F736" s="88">
        <f>--_xlfn.XOR(F728,'Key Generator'!G102)</f>
        <v>1</v>
      </c>
      <c r="G736" s="88">
        <f>--_xlfn.XOR(G728,'Key Generator'!H102)</f>
        <v>0</v>
      </c>
      <c r="H736" s="88">
        <f>--_xlfn.XOR(H728,'Key Generator'!I102)</f>
        <v>0</v>
      </c>
      <c r="I736" s="87">
        <f>--_xlfn.XOR(I728,'Key Generator'!J102)</f>
        <v>0</v>
      </c>
      <c r="J736" s="87">
        <f>--_xlfn.XOR(J728,'Key Generator'!K102)</f>
        <v>0</v>
      </c>
      <c r="K736" s="87">
        <f>--_xlfn.XOR(K728,'Key Generator'!L102)</f>
        <v>0</v>
      </c>
      <c r="L736" s="87">
        <f>--_xlfn.XOR(L728,'Key Generator'!M102)</f>
        <v>1</v>
      </c>
      <c r="M736" s="87">
        <f>--_xlfn.XOR(M728,'Key Generator'!N102)</f>
        <v>0</v>
      </c>
      <c r="N736" s="87">
        <f>--_xlfn.XOR(N728,'Key Generator'!O102)</f>
        <v>0</v>
      </c>
      <c r="O736" s="89">
        <f>--_xlfn.XOR(O728,'Key Generator'!P102)</f>
        <v>0</v>
      </c>
      <c r="P736" s="89">
        <f>--_xlfn.XOR(P728,'Key Generator'!Q102)</f>
        <v>1</v>
      </c>
      <c r="Q736" s="89">
        <f>--_xlfn.XOR(Q728,'Key Generator'!R102)</f>
        <v>0</v>
      </c>
      <c r="R736" s="89">
        <f>--_xlfn.XOR(R728,'Key Generator'!S102)</f>
        <v>0</v>
      </c>
      <c r="S736" s="89">
        <f>--_xlfn.XOR(S728,'Key Generator'!T102)</f>
        <v>1</v>
      </c>
      <c r="T736" s="89">
        <f>--_xlfn.XOR(T728,'Key Generator'!U102)</f>
        <v>0</v>
      </c>
      <c r="U736" s="149">
        <f>--_xlfn.XOR(U728,'Key Generator'!V102)</f>
        <v>0</v>
      </c>
      <c r="V736" s="149">
        <f>--_xlfn.XOR(V728,'Key Generator'!W102)</f>
        <v>0</v>
      </c>
      <c r="W736" s="149">
        <f>--_xlfn.XOR(W728,'Key Generator'!X102)</f>
        <v>0</v>
      </c>
      <c r="X736" s="149">
        <f>--_xlfn.XOR(X728,'Key Generator'!Y102)</f>
        <v>0</v>
      </c>
      <c r="Y736" s="149">
        <f>--_xlfn.XOR(Y728,'Key Generator'!Z102)</f>
        <v>0</v>
      </c>
      <c r="Z736" s="149">
        <f>--_xlfn.XOR(Z728,'Key Generator'!AA102)</f>
        <v>0</v>
      </c>
      <c r="AA736" s="91">
        <f>--_xlfn.XOR(AA728,'Key Generator'!AB102)</f>
        <v>1</v>
      </c>
      <c r="AB736" s="91">
        <f>--_xlfn.XOR(AB728,'Key Generator'!AC102)</f>
        <v>1</v>
      </c>
      <c r="AC736" s="91">
        <f>--_xlfn.XOR(AC728,'Key Generator'!AD102)</f>
        <v>1</v>
      </c>
      <c r="AD736" s="91">
        <f>--_xlfn.XOR(AD728,'Key Generator'!AE102)</f>
        <v>0</v>
      </c>
      <c r="AE736" s="91">
        <f>--_xlfn.XOR(AE728,'Key Generator'!AF102)</f>
        <v>0</v>
      </c>
      <c r="AF736" s="91">
        <f>--_xlfn.XOR(AF728,'Key Generator'!AG102)</f>
        <v>1</v>
      </c>
      <c r="AG736" s="92">
        <f>--_xlfn.XOR(AG728,'Key Generator'!AH102)</f>
        <v>1</v>
      </c>
      <c r="AH736" s="92">
        <f>--_xlfn.XOR(AH728,'Key Generator'!AI102)</f>
        <v>0</v>
      </c>
      <c r="AI736" s="92">
        <f>--_xlfn.XOR(AI728,'Key Generator'!AJ102)</f>
        <v>1</v>
      </c>
      <c r="AJ736" s="92">
        <f>--_xlfn.XOR(AJ728,'Key Generator'!AK102)</f>
        <v>0</v>
      </c>
      <c r="AK736" s="92">
        <f>--_xlfn.XOR(AK728,'Key Generator'!AL102)</f>
        <v>1</v>
      </c>
      <c r="AL736" s="92">
        <f>--_xlfn.XOR(AL728,'Key Generator'!AM102)</f>
        <v>0</v>
      </c>
      <c r="AM736" s="86">
        <f>--_xlfn.XOR(AM728,'Key Generator'!AN102)</f>
        <v>0</v>
      </c>
      <c r="AN736" s="86">
        <f>--_xlfn.XOR(AN728,'Key Generator'!AO102)</f>
        <v>1</v>
      </c>
      <c r="AO736" s="86">
        <f>--_xlfn.XOR(AO728,'Key Generator'!AP102)</f>
        <v>0</v>
      </c>
      <c r="AP736" s="86">
        <f>--_xlfn.XOR(AP728,'Key Generator'!AQ102)</f>
        <v>0</v>
      </c>
      <c r="AQ736" s="86">
        <f>--_xlfn.XOR(AQ728,'Key Generator'!AR102)</f>
        <v>1</v>
      </c>
      <c r="AR736" s="86">
        <f>--_xlfn.XOR(AR728,'Key Generator'!AS102)</f>
        <v>1</v>
      </c>
      <c r="AS736" s="81">
        <f>--_xlfn.XOR(AS728,'Key Generator'!AT102)</f>
        <v>0</v>
      </c>
      <c r="AT736" s="81">
        <f>--_xlfn.XOR(AT728,'Key Generator'!AU102)</f>
        <v>0</v>
      </c>
      <c r="AU736" s="81">
        <f>--_xlfn.XOR(AU728,'Key Generator'!AV102)</f>
        <v>1</v>
      </c>
      <c r="AV736" s="81">
        <f>--_xlfn.XOR(AV728,'Key Generator'!AW102)</f>
        <v>1</v>
      </c>
      <c r="AW736" s="81">
        <f>--_xlfn.XOR(AW728,'Key Generator'!AX102)</f>
        <v>0</v>
      </c>
      <c r="AX736" s="81">
        <f>--_xlfn.XOR(AX728,'Key Generator'!AY102)</f>
        <v>0</v>
      </c>
      <c r="AY736" s="21"/>
      <c r="AZ736" s="21"/>
      <c r="BA736" s="21"/>
      <c r="BB736" s="21"/>
      <c r="BC736" s="21"/>
      <c r="BD736" s="21"/>
      <c r="BE736" s="21"/>
    </row>
    <row r="737" spans="1:57" x14ac:dyDescent="0.25">
      <c r="A737" s="21"/>
      <c r="B737" s="64"/>
      <c r="C737" s="93"/>
      <c r="D737" s="94"/>
      <c r="E737" s="94"/>
      <c r="F737" s="94"/>
      <c r="G737" s="94"/>
      <c r="H737" s="94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21"/>
      <c r="BC737" s="21"/>
      <c r="BD737" s="21"/>
      <c r="BE737" s="21"/>
    </row>
    <row r="738" spans="1:57" x14ac:dyDescent="0.25">
      <c r="A738" s="96" t="s">
        <v>545</v>
      </c>
      <c r="B738" s="97"/>
      <c r="C738" s="161">
        <f>D736*8+E736*4+F736*2+G736</f>
        <v>14</v>
      </c>
      <c r="D738" s="97" t="s">
        <v>536</v>
      </c>
      <c r="E738" s="97"/>
      <c r="F738" s="97"/>
      <c r="G738" s="97"/>
      <c r="H738" s="97"/>
      <c r="I738" s="161">
        <f>J736*8+K736*4+L736*2+M736</f>
        <v>2</v>
      </c>
      <c r="J738" s="97" t="s">
        <v>537</v>
      </c>
      <c r="K738" s="97"/>
      <c r="L738" s="97"/>
      <c r="M738" s="97"/>
      <c r="N738" s="97"/>
      <c r="O738" s="161">
        <f>P736*8+Q736*4+R736*2+S736</f>
        <v>9</v>
      </c>
      <c r="P738" s="97" t="s">
        <v>538</v>
      </c>
      <c r="Q738" s="97"/>
      <c r="R738" s="97"/>
      <c r="S738" s="97"/>
      <c r="T738" s="97"/>
      <c r="U738" s="161">
        <f>V736*8+W736*4+X736*2+Y736</f>
        <v>0</v>
      </c>
      <c r="V738" s="97" t="s">
        <v>539</v>
      </c>
      <c r="W738" s="97"/>
      <c r="X738" s="97"/>
      <c r="Y738" s="97"/>
      <c r="Z738" s="97"/>
      <c r="AA738" s="161">
        <f>AB736*8+AC736*4+AD736*2+AE736</f>
        <v>12</v>
      </c>
      <c r="AB738" s="97" t="s">
        <v>540</v>
      </c>
      <c r="AC738" s="97"/>
      <c r="AD738" s="97"/>
      <c r="AE738" s="97"/>
      <c r="AF738" s="97"/>
      <c r="AG738" s="161">
        <f>AH736*8+AI736*4+AJ736*2+AK736</f>
        <v>5</v>
      </c>
      <c r="AH738" s="97" t="s">
        <v>541</v>
      </c>
      <c r="AI738" s="97"/>
      <c r="AJ738" s="97"/>
      <c r="AK738" s="97"/>
      <c r="AL738" s="97"/>
      <c r="AM738" s="161">
        <f>AN736*8+AO736*4+AP736*2+AQ736</f>
        <v>9</v>
      </c>
      <c r="AN738" s="97" t="s">
        <v>542</v>
      </c>
      <c r="AO738" s="97"/>
      <c r="AP738" s="97"/>
      <c r="AQ738" s="97"/>
      <c r="AR738" s="97"/>
      <c r="AS738" s="161">
        <f>AT736*8+AU736*4+AV736*2+AW736</f>
        <v>6</v>
      </c>
      <c r="AT738" s="97" t="s">
        <v>543</v>
      </c>
      <c r="AU738" s="97"/>
      <c r="AV738" s="97"/>
      <c r="AW738" s="97"/>
      <c r="AX738" s="97"/>
      <c r="AY738" s="97"/>
      <c r="AZ738" s="97"/>
      <c r="BA738" s="97"/>
      <c r="BB738" s="97"/>
      <c r="BC738" s="97"/>
      <c r="BD738" s="97"/>
      <c r="BE738" s="97"/>
    </row>
    <row r="739" spans="1:57" x14ac:dyDescent="0.25">
      <c r="A739" s="100" t="s">
        <v>546</v>
      </c>
      <c r="B739" s="99"/>
      <c r="C739" s="87">
        <f>C736*2+H736</f>
        <v>0</v>
      </c>
      <c r="D739" s="98"/>
      <c r="E739" s="98"/>
      <c r="F739" s="99"/>
      <c r="G739" s="99"/>
      <c r="H739" s="99"/>
      <c r="I739" s="87">
        <f>I736*2+N736</f>
        <v>0</v>
      </c>
      <c r="J739" s="99"/>
      <c r="K739" s="99"/>
      <c r="L739" s="99"/>
      <c r="M739" s="99"/>
      <c r="N739" s="99"/>
      <c r="O739" s="87">
        <f>O736*2+T736</f>
        <v>0</v>
      </c>
      <c r="P739" s="99"/>
      <c r="Q739" s="99"/>
      <c r="R739" s="99"/>
      <c r="S739" s="99"/>
      <c r="T739" s="99"/>
      <c r="U739" s="87">
        <f>U736*2+Z736</f>
        <v>0</v>
      </c>
      <c r="V739" s="99"/>
      <c r="W739" s="99"/>
      <c r="X739" s="99"/>
      <c r="Y739" s="99"/>
      <c r="Z739" s="99"/>
      <c r="AA739" s="87">
        <f>AA736*2+AF736</f>
        <v>3</v>
      </c>
      <c r="AB739" s="99"/>
      <c r="AC739" s="99"/>
      <c r="AD739" s="99"/>
      <c r="AE739" s="99"/>
      <c r="AF739" s="99"/>
      <c r="AG739" s="87">
        <f>AG736*2+AL736</f>
        <v>2</v>
      </c>
      <c r="AH739" s="99"/>
      <c r="AI739" s="99"/>
      <c r="AJ739" s="99"/>
      <c r="AK739" s="99"/>
      <c r="AL739" s="99"/>
      <c r="AM739" s="87">
        <f>AM736*2+AR736</f>
        <v>1</v>
      </c>
      <c r="AN739" s="99"/>
      <c r="AO739" s="99"/>
      <c r="AP739" s="99"/>
      <c r="AQ739" s="99"/>
      <c r="AR739" s="99"/>
      <c r="AS739" s="87">
        <f>AS736*2+AX736</f>
        <v>0</v>
      </c>
      <c r="AT739" s="99"/>
      <c r="AU739" s="99"/>
      <c r="AV739" s="99"/>
      <c r="AW739" s="99"/>
      <c r="AX739" s="99"/>
      <c r="AY739" s="99"/>
      <c r="AZ739" s="99"/>
      <c r="BA739" s="99"/>
      <c r="BB739" s="99"/>
      <c r="BC739" s="99"/>
      <c r="BD739" s="99"/>
      <c r="BE739" s="99"/>
    </row>
    <row r="740" spans="1:57" x14ac:dyDescent="0.25">
      <c r="A740" s="21"/>
      <c r="B740" s="64"/>
      <c r="C740" s="62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21"/>
      <c r="BC740" s="21"/>
      <c r="BD740" s="21"/>
      <c r="BE740" s="21"/>
    </row>
    <row r="741" spans="1:57" x14ac:dyDescent="0.25">
      <c r="A741" s="117" t="s">
        <v>547</v>
      </c>
      <c r="B741" s="64"/>
      <c r="C741" s="72">
        <f>INDEX('S-Box'!D3:S6,'DES-Dec'!C739+1,'DES-Dec'!C738+1)</f>
        <v>0</v>
      </c>
      <c r="D741" s="21"/>
      <c r="E741" s="21"/>
      <c r="F741" s="21"/>
      <c r="G741" s="21"/>
      <c r="H741" s="21"/>
      <c r="I741" s="168">
        <f>INDEX('S-Box'!D9:S12,'DES-Dec'!I739+1,'DES-Dec'!I738+1)</f>
        <v>8</v>
      </c>
      <c r="J741" s="21"/>
      <c r="K741" s="21"/>
      <c r="L741" s="21"/>
      <c r="M741" s="21"/>
      <c r="N741" s="21"/>
      <c r="O741" s="168">
        <f>INDEX('S-Box'!D15:S18,'DES-Dec'!O739+1,'DES-Dec'!O738+1)</f>
        <v>13</v>
      </c>
      <c r="P741" s="21"/>
      <c r="Q741" s="21"/>
      <c r="R741" s="21"/>
      <c r="S741" s="21"/>
      <c r="T741" s="21"/>
      <c r="U741" s="168">
        <f>INDEX('S-Box'!D21:S24,'DES-Dec'!U739+1,'DES-Dec'!U738+1)</f>
        <v>7</v>
      </c>
      <c r="V741" s="21"/>
      <c r="W741" s="21"/>
      <c r="X741" s="21"/>
      <c r="Y741" s="21"/>
      <c r="Z741" s="21"/>
      <c r="AA741" s="168">
        <f>INDEX('S-Box'!D27:S30,'DES-Dec'!AA739+1,'DES-Dec'!AA738+1)</f>
        <v>10</v>
      </c>
      <c r="AB741" s="21"/>
      <c r="AC741" s="21"/>
      <c r="AD741" s="21"/>
      <c r="AE741" s="21"/>
      <c r="AF741" s="21"/>
      <c r="AG741" s="168">
        <f>INDEX('S-Box'!D33:S36,'DES-Dec'!AG739+1,'DES-Dec'!AG738+1)</f>
        <v>8</v>
      </c>
      <c r="AH741" s="21"/>
      <c r="AI741" s="21"/>
      <c r="AJ741" s="21"/>
      <c r="AK741" s="21"/>
      <c r="AL741" s="21"/>
      <c r="AM741" s="168">
        <f>INDEX('S-Box'!D39:S42,'DES-Dec'!AM739+1,'DES-Dec'!AM738+1)</f>
        <v>3</v>
      </c>
      <c r="AN741" s="21"/>
      <c r="AO741" s="21"/>
      <c r="AP741" s="21"/>
      <c r="AQ741" s="21"/>
      <c r="AR741" s="21"/>
      <c r="AS741" s="168">
        <f>INDEX('S-Box'!D45:S48,'DES-Dec'!AS739+1,'DES-Dec'!AS738+1)</f>
        <v>11</v>
      </c>
      <c r="AT741" s="21"/>
      <c r="AU741" s="21"/>
      <c r="AV741" s="21"/>
      <c r="AW741" s="21"/>
      <c r="AX741" s="21"/>
      <c r="AY741" s="21"/>
      <c r="AZ741" s="21"/>
      <c r="BA741" s="21"/>
      <c r="BB741" s="21"/>
      <c r="BC741" s="21"/>
      <c r="BD741" s="21"/>
      <c r="BE741" s="21"/>
    </row>
    <row r="742" spans="1:57" x14ac:dyDescent="0.25">
      <c r="A742" s="21"/>
      <c r="B742" s="64"/>
      <c r="C742" s="104"/>
      <c r="D742" s="21"/>
      <c r="E742" s="21"/>
      <c r="F742" s="21"/>
      <c r="G742" s="21"/>
      <c r="H742" s="21"/>
      <c r="I742" s="95"/>
      <c r="J742" s="21"/>
      <c r="K742" s="21"/>
      <c r="L742" s="21"/>
      <c r="M742" s="21"/>
      <c r="N742" s="21"/>
      <c r="O742" s="95"/>
      <c r="P742" s="21"/>
      <c r="Q742" s="21"/>
      <c r="R742" s="21"/>
      <c r="S742" s="21"/>
      <c r="T742" s="21"/>
      <c r="U742" s="95"/>
      <c r="V742" s="21"/>
      <c r="W742" s="21"/>
      <c r="X742" s="21"/>
      <c r="Y742" s="21"/>
      <c r="Z742" s="21"/>
      <c r="AA742" s="95"/>
      <c r="AB742" s="21"/>
      <c r="AC742" s="21"/>
      <c r="AD742" s="21"/>
      <c r="AE742" s="21"/>
      <c r="AF742" s="21"/>
      <c r="AG742" s="95"/>
      <c r="AH742" s="21"/>
      <c r="AI742" s="21"/>
      <c r="AJ742" s="21"/>
      <c r="AK742" s="21"/>
      <c r="AL742" s="21"/>
      <c r="AM742" s="95"/>
      <c r="AN742" s="21"/>
      <c r="AO742" s="21"/>
      <c r="AP742" s="21"/>
      <c r="AQ742" s="21"/>
      <c r="AR742" s="21"/>
      <c r="AS742" s="95"/>
      <c r="AT742" s="21"/>
      <c r="AU742" s="21"/>
      <c r="AV742" s="21"/>
      <c r="AW742" s="21"/>
      <c r="AX742" s="21"/>
      <c r="AY742" s="21"/>
      <c r="AZ742" s="21"/>
      <c r="BA742" s="21"/>
      <c r="BB742" s="21"/>
      <c r="BC742" s="21"/>
      <c r="BD742" s="21"/>
      <c r="BE742" s="21"/>
    </row>
    <row r="743" spans="1:57" x14ac:dyDescent="0.25">
      <c r="A743" s="21"/>
      <c r="B743" s="64"/>
      <c r="C743" s="105" t="str">
        <f>MID(DEC2BIN(C741,4),1,1)</f>
        <v>0</v>
      </c>
      <c r="D743" s="106" t="str">
        <f>MID(DEC2BIN(C741,4),2,1)</f>
        <v>0</v>
      </c>
      <c r="E743" s="106" t="str">
        <f>MID(DEC2BIN(C741,4),3,1)</f>
        <v>0</v>
      </c>
      <c r="F743" s="107" t="str">
        <f>MID(DEC2BIN(C741,4),4,1)</f>
        <v>0</v>
      </c>
      <c r="G743" s="21"/>
      <c r="H743" s="21"/>
      <c r="I743" s="105" t="str">
        <f>MID(DEC2BIN(I741,4),1,1)</f>
        <v>1</v>
      </c>
      <c r="J743" s="106" t="str">
        <f>MID(DEC2BIN(I741,4),2,1)</f>
        <v>0</v>
      </c>
      <c r="K743" s="106" t="str">
        <f>MID(DEC2BIN(I741,4),3,1)</f>
        <v>0</v>
      </c>
      <c r="L743" s="107" t="str">
        <f>MID(DEC2BIN(I741,4),4,1)</f>
        <v>0</v>
      </c>
      <c r="M743" s="21"/>
      <c r="N743" s="21"/>
      <c r="O743" s="105" t="str">
        <f>MID(DEC2BIN(O741,4),1,1)</f>
        <v>1</v>
      </c>
      <c r="P743" s="106" t="str">
        <f>MID(DEC2BIN(O741,4),2,1)</f>
        <v>1</v>
      </c>
      <c r="Q743" s="106" t="str">
        <f>MID(DEC2BIN(O741,4),3,1)</f>
        <v>0</v>
      </c>
      <c r="R743" s="107" t="str">
        <f>MID(DEC2BIN(O741,4),4,1)</f>
        <v>1</v>
      </c>
      <c r="S743" s="21"/>
      <c r="T743" s="21"/>
      <c r="U743" s="105" t="str">
        <f>MID(DEC2BIN(U741,4),1,1)</f>
        <v>0</v>
      </c>
      <c r="V743" s="106" t="str">
        <f>MID(DEC2BIN(U741,4),2,1)</f>
        <v>1</v>
      </c>
      <c r="W743" s="106" t="str">
        <f>MID(DEC2BIN(U741,4),3,1)</f>
        <v>1</v>
      </c>
      <c r="X743" s="107" t="str">
        <f>MID(DEC2BIN(U741,4),4,1)</f>
        <v>1</v>
      </c>
      <c r="Y743" s="21"/>
      <c r="Z743" s="21"/>
      <c r="AA743" s="105" t="str">
        <f>MID(DEC2BIN(AA741,4),1,1)</f>
        <v>1</v>
      </c>
      <c r="AB743" s="106" t="str">
        <f>MID(DEC2BIN(AA741,4),2,1)</f>
        <v>0</v>
      </c>
      <c r="AC743" s="106" t="str">
        <f>MID(DEC2BIN(AA741,4),3,1)</f>
        <v>1</v>
      </c>
      <c r="AD743" s="107" t="str">
        <f>MID(DEC2BIN(AA741,4),4,1)</f>
        <v>0</v>
      </c>
      <c r="AE743" s="21"/>
      <c r="AF743" s="21"/>
      <c r="AG743" s="105" t="str">
        <f>MID(DEC2BIN(AG741,4),1,1)</f>
        <v>1</v>
      </c>
      <c r="AH743" s="106" t="str">
        <f>MID(DEC2BIN(AG741,4),2,1)</f>
        <v>0</v>
      </c>
      <c r="AI743" s="106" t="str">
        <f>MID(DEC2BIN(AG741,4),3,1)</f>
        <v>0</v>
      </c>
      <c r="AJ743" s="107" t="str">
        <f>MID(DEC2BIN(AG741,4),4,1)</f>
        <v>0</v>
      </c>
      <c r="AK743" s="21"/>
      <c r="AL743" s="21"/>
      <c r="AM743" s="105" t="str">
        <f>MID(DEC2BIN(AM741,4),1,1)</f>
        <v>0</v>
      </c>
      <c r="AN743" s="106" t="str">
        <f>MID(DEC2BIN(AM741,4),2,1)</f>
        <v>0</v>
      </c>
      <c r="AO743" s="106" t="str">
        <f>MID(DEC2BIN(AM741,4),3,1)</f>
        <v>1</v>
      </c>
      <c r="AP743" s="107" t="str">
        <f>MID(DEC2BIN(AM741,4),4,1)</f>
        <v>1</v>
      </c>
      <c r="AQ743" s="21"/>
      <c r="AR743" s="21"/>
      <c r="AS743" s="105" t="str">
        <f>MID(DEC2BIN(AS741,4),1,1)</f>
        <v>1</v>
      </c>
      <c r="AT743" s="106" t="str">
        <f>MID(DEC2BIN(AS741,4),2,1)</f>
        <v>0</v>
      </c>
      <c r="AU743" s="106" t="str">
        <f>MID(DEC2BIN(AS741,4),3,1)</f>
        <v>1</v>
      </c>
      <c r="AV743" s="107" t="str">
        <f>MID(DEC2BIN(AS741,4),4,1)</f>
        <v>1</v>
      </c>
      <c r="AW743" s="21"/>
      <c r="AX743" s="21"/>
      <c r="AY743" s="21"/>
      <c r="AZ743" s="21"/>
      <c r="BA743" s="21"/>
      <c r="BB743" s="21"/>
      <c r="BC743" s="21"/>
      <c r="BD743" s="21"/>
      <c r="BE743" s="21"/>
    </row>
    <row r="744" spans="1:57" s="21" customFormat="1" ht="24.95" customHeight="1" x14ac:dyDescent="0.25">
      <c r="B744" s="64"/>
      <c r="C744" s="21">
        <f>VALUE(C743)</f>
        <v>0</v>
      </c>
      <c r="D744" s="21">
        <f t="shared" ref="D744" si="2568">VALUE(D743)</f>
        <v>0</v>
      </c>
      <c r="E744" s="21">
        <f t="shared" ref="E744" si="2569">VALUE(E743)</f>
        <v>0</v>
      </c>
      <c r="F744" s="21">
        <f t="shared" ref="F744" si="2570">VALUE(F743)</f>
        <v>0</v>
      </c>
      <c r="I744" s="21">
        <f t="shared" ref="I744" si="2571">VALUE(I743)</f>
        <v>1</v>
      </c>
      <c r="J744" s="21">
        <f t="shared" ref="J744" si="2572">VALUE(J743)</f>
        <v>0</v>
      </c>
      <c r="K744" s="21">
        <f t="shared" ref="K744" si="2573">VALUE(K743)</f>
        <v>0</v>
      </c>
      <c r="L744" s="21">
        <f t="shared" ref="L744" si="2574">VALUE(L743)</f>
        <v>0</v>
      </c>
      <c r="O744" s="21">
        <f>VALUE(O743)</f>
        <v>1</v>
      </c>
      <c r="P744" s="21">
        <f t="shared" ref="P744" si="2575">VALUE(P743)</f>
        <v>1</v>
      </c>
      <c r="Q744" s="21">
        <f t="shared" ref="Q744" si="2576">VALUE(Q743)</f>
        <v>0</v>
      </c>
      <c r="R744" s="21">
        <f t="shared" ref="R744" si="2577">VALUE(R743)</f>
        <v>1</v>
      </c>
      <c r="U744" s="21">
        <f>VALUE(U743)</f>
        <v>0</v>
      </c>
      <c r="V744" s="21">
        <f t="shared" ref="V744" si="2578">VALUE(V743)</f>
        <v>1</v>
      </c>
      <c r="W744" s="21">
        <f t="shared" ref="W744" si="2579">VALUE(W743)</f>
        <v>1</v>
      </c>
      <c r="X744" s="21">
        <f t="shared" ref="X744" si="2580">VALUE(X743)</f>
        <v>1</v>
      </c>
      <c r="AA744" s="21">
        <f>VALUE(AA743)</f>
        <v>1</v>
      </c>
      <c r="AB744" s="21">
        <f t="shared" ref="AB744" si="2581">VALUE(AB743)</f>
        <v>0</v>
      </c>
      <c r="AC744" s="21">
        <f t="shared" ref="AC744" si="2582">VALUE(AC743)</f>
        <v>1</v>
      </c>
      <c r="AD744" s="21">
        <f t="shared" ref="AD744" si="2583">VALUE(AD743)</f>
        <v>0</v>
      </c>
      <c r="AG744" s="21">
        <f>VALUE(AG743)</f>
        <v>1</v>
      </c>
      <c r="AH744" s="21">
        <f t="shared" ref="AH744" si="2584">VALUE(AH743)</f>
        <v>0</v>
      </c>
      <c r="AI744" s="21">
        <f t="shared" ref="AI744" si="2585">VALUE(AI743)</f>
        <v>0</v>
      </c>
      <c r="AJ744" s="21">
        <f t="shared" ref="AJ744" si="2586">VALUE(AJ743)</f>
        <v>0</v>
      </c>
      <c r="AM744" s="21">
        <f>VALUE(AM743)</f>
        <v>0</v>
      </c>
      <c r="AN744" s="21">
        <f t="shared" ref="AN744" si="2587">VALUE(AN743)</f>
        <v>0</v>
      </c>
      <c r="AO744" s="21">
        <f t="shared" ref="AO744" si="2588">VALUE(AO743)</f>
        <v>1</v>
      </c>
      <c r="AP744" s="21">
        <f t="shared" ref="AP744" si="2589">VALUE(AP743)</f>
        <v>1</v>
      </c>
      <c r="AS744" s="21">
        <f>VALUE(AS743)</f>
        <v>1</v>
      </c>
      <c r="AT744" s="21">
        <f t="shared" ref="AT744" si="2590">VALUE(AT743)</f>
        <v>0</v>
      </c>
      <c r="AU744" s="21">
        <f t="shared" ref="AU744" si="2591">VALUE(AU743)</f>
        <v>1</v>
      </c>
      <c r="AV744" s="21">
        <f t="shared" ref="AV744" si="2592">VALUE(AV743)</f>
        <v>1</v>
      </c>
    </row>
    <row r="745" spans="1:57" s="21" customFormat="1" ht="24.95" customHeight="1" x14ac:dyDescent="0.25">
      <c r="A745" s="111" t="s">
        <v>588</v>
      </c>
      <c r="B745" s="111"/>
      <c r="C745" s="111">
        <v>1</v>
      </c>
      <c r="D745" s="76">
        <v>2</v>
      </c>
      <c r="E745" s="111">
        <v>3</v>
      </c>
      <c r="F745" s="76">
        <v>4</v>
      </c>
      <c r="G745" s="111">
        <v>5</v>
      </c>
      <c r="H745" s="76">
        <v>6</v>
      </c>
      <c r="I745" s="111">
        <v>7</v>
      </c>
      <c r="J745" s="76">
        <v>8</v>
      </c>
      <c r="K745" s="111">
        <v>9</v>
      </c>
      <c r="L745" s="76">
        <v>10</v>
      </c>
      <c r="M745" s="111">
        <v>11</v>
      </c>
      <c r="N745" s="76">
        <v>12</v>
      </c>
      <c r="O745" s="111">
        <v>13</v>
      </c>
      <c r="P745" s="76">
        <v>14</v>
      </c>
      <c r="Q745" s="111">
        <v>15</v>
      </c>
      <c r="R745" s="76">
        <v>16</v>
      </c>
      <c r="S745" s="111">
        <v>17</v>
      </c>
      <c r="T745" s="76">
        <v>18</v>
      </c>
      <c r="U745" s="111">
        <v>19</v>
      </c>
      <c r="V745" s="76">
        <v>20</v>
      </c>
      <c r="W745" s="111">
        <v>21</v>
      </c>
      <c r="X745" s="76">
        <v>22</v>
      </c>
      <c r="Y745" s="111">
        <v>23</v>
      </c>
      <c r="Z745" s="76">
        <v>24</v>
      </c>
      <c r="AA745" s="111">
        <v>25</v>
      </c>
      <c r="AB745" s="76">
        <v>26</v>
      </c>
      <c r="AC745" s="111">
        <v>27</v>
      </c>
      <c r="AD745" s="76">
        <v>28</v>
      </c>
      <c r="AE745" s="111">
        <v>29</v>
      </c>
      <c r="AF745" s="76">
        <v>30</v>
      </c>
      <c r="AG745" s="111">
        <v>31</v>
      </c>
      <c r="AH745" s="76">
        <v>32</v>
      </c>
    </row>
    <row r="746" spans="1:57" s="21" customFormat="1" ht="24.95" customHeight="1" x14ac:dyDescent="0.25">
      <c r="B746" s="64"/>
      <c r="C746" s="108">
        <f>C744</f>
        <v>0</v>
      </c>
      <c r="D746" s="108">
        <f t="shared" ref="D746:F746" si="2593">D744</f>
        <v>0</v>
      </c>
      <c r="E746" s="108">
        <f t="shared" si="2593"/>
        <v>0</v>
      </c>
      <c r="F746" s="108">
        <f t="shared" si="2593"/>
        <v>0</v>
      </c>
      <c r="G746" s="23">
        <f>I744</f>
        <v>1</v>
      </c>
      <c r="H746" s="23">
        <f t="shared" ref="H746" si="2594">J744</f>
        <v>0</v>
      </c>
      <c r="I746" s="23">
        <f t="shared" ref="I746" si="2595">K744</f>
        <v>0</v>
      </c>
      <c r="J746" s="23">
        <f t="shared" ref="J746" si="2596">L744</f>
        <v>0</v>
      </c>
      <c r="K746" s="23">
        <f>O744</f>
        <v>1</v>
      </c>
      <c r="L746" s="23">
        <f t="shared" ref="L746" si="2597">P744</f>
        <v>1</v>
      </c>
      <c r="M746" s="23">
        <f t="shared" ref="M746" si="2598">Q744</f>
        <v>0</v>
      </c>
      <c r="N746" s="23">
        <f t="shared" ref="N746" si="2599">R744</f>
        <v>1</v>
      </c>
      <c r="O746" s="23">
        <f>U744</f>
        <v>0</v>
      </c>
      <c r="P746" s="23">
        <f t="shared" ref="P746" si="2600">V744</f>
        <v>1</v>
      </c>
      <c r="Q746" s="23">
        <f t="shared" ref="Q746" si="2601">W744</f>
        <v>1</v>
      </c>
      <c r="R746" s="23">
        <f t="shared" ref="R746" si="2602">X744</f>
        <v>1</v>
      </c>
      <c r="S746" s="23">
        <f>AA744</f>
        <v>1</v>
      </c>
      <c r="T746" s="23">
        <f t="shared" ref="T746" si="2603">AB744</f>
        <v>0</v>
      </c>
      <c r="U746" s="23">
        <f t="shared" ref="U746" si="2604">AC744</f>
        <v>1</v>
      </c>
      <c r="V746" s="23">
        <f t="shared" ref="V746" si="2605">AD744</f>
        <v>0</v>
      </c>
      <c r="W746" s="23">
        <f>AG744</f>
        <v>1</v>
      </c>
      <c r="X746" s="23">
        <f t="shared" ref="X746" si="2606">AH744</f>
        <v>0</v>
      </c>
      <c r="Y746" s="23">
        <f t="shared" ref="Y746" si="2607">AI744</f>
        <v>0</v>
      </c>
      <c r="Z746" s="23">
        <f t="shared" ref="Z746" si="2608">AJ744</f>
        <v>0</v>
      </c>
      <c r="AA746" s="23">
        <f>AM744</f>
        <v>0</v>
      </c>
      <c r="AB746" s="23">
        <f t="shared" ref="AB746" si="2609">AN744</f>
        <v>0</v>
      </c>
      <c r="AC746" s="23">
        <f t="shared" ref="AC746" si="2610">AO744</f>
        <v>1</v>
      </c>
      <c r="AD746" s="23">
        <f t="shared" ref="AD746" si="2611">AP744</f>
        <v>1</v>
      </c>
      <c r="AE746" s="23">
        <f>AS744</f>
        <v>1</v>
      </c>
      <c r="AF746" s="23">
        <f t="shared" ref="AF746" si="2612">AT744</f>
        <v>0</v>
      </c>
      <c r="AG746" s="23">
        <f t="shared" ref="AG746" si="2613">AU744</f>
        <v>1</v>
      </c>
      <c r="AH746" s="23">
        <f t="shared" ref="AH746" si="2614">AV744</f>
        <v>1</v>
      </c>
    </row>
    <row r="747" spans="1:57" x14ac:dyDescent="0.25">
      <c r="A747" s="21"/>
      <c r="B747" s="64"/>
      <c r="C747" s="62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21"/>
      <c r="BC747" s="21"/>
      <c r="BD747" s="21"/>
      <c r="BE747" s="21"/>
    </row>
    <row r="748" spans="1:57" x14ac:dyDescent="0.25">
      <c r="A748" s="110" t="s">
        <v>548</v>
      </c>
      <c r="B748" s="110"/>
      <c r="C748" s="109">
        <v>16</v>
      </c>
      <c r="D748" s="110">
        <v>7</v>
      </c>
      <c r="E748" s="110">
        <v>20</v>
      </c>
      <c r="F748" s="110">
        <v>21</v>
      </c>
      <c r="G748" s="110">
        <v>29</v>
      </c>
      <c r="H748" s="110">
        <v>12</v>
      </c>
      <c r="I748" s="110">
        <v>28</v>
      </c>
      <c r="J748" s="110">
        <v>17</v>
      </c>
      <c r="K748" s="110">
        <v>1</v>
      </c>
      <c r="L748" s="110">
        <v>15</v>
      </c>
      <c r="M748" s="110">
        <v>23</v>
      </c>
      <c r="N748" s="110">
        <v>26</v>
      </c>
      <c r="O748" s="110">
        <v>5</v>
      </c>
      <c r="P748" s="110">
        <v>18</v>
      </c>
      <c r="Q748" s="110">
        <v>31</v>
      </c>
      <c r="R748" s="110">
        <v>10</v>
      </c>
      <c r="S748" s="110">
        <v>2</v>
      </c>
      <c r="T748" s="110">
        <v>8</v>
      </c>
      <c r="U748" s="110">
        <v>24</v>
      </c>
      <c r="V748" s="110">
        <v>14</v>
      </c>
      <c r="W748" s="110">
        <v>32</v>
      </c>
      <c r="X748" s="110">
        <v>27</v>
      </c>
      <c r="Y748" s="110">
        <v>3</v>
      </c>
      <c r="Z748" s="110">
        <v>9</v>
      </c>
      <c r="AA748" s="110">
        <v>19</v>
      </c>
      <c r="AB748" s="110">
        <v>13</v>
      </c>
      <c r="AC748" s="110">
        <v>30</v>
      </c>
      <c r="AD748" s="110">
        <v>6</v>
      </c>
      <c r="AE748" s="110">
        <v>22</v>
      </c>
      <c r="AF748" s="110">
        <v>11</v>
      </c>
      <c r="AG748" s="110">
        <v>4</v>
      </c>
      <c r="AH748" s="110">
        <v>25</v>
      </c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21"/>
      <c r="BC748" s="21"/>
      <c r="BD748" s="21"/>
      <c r="BE748" s="21"/>
    </row>
    <row r="749" spans="1:57" x14ac:dyDescent="0.25">
      <c r="A749" s="21"/>
      <c r="B749" s="64"/>
      <c r="C749" s="103">
        <f>K746</f>
        <v>1</v>
      </c>
      <c r="D749" s="103">
        <f>S746</f>
        <v>1</v>
      </c>
      <c r="E749" s="103">
        <f>Y746</f>
        <v>0</v>
      </c>
      <c r="F749" s="112">
        <f>AG746</f>
        <v>1</v>
      </c>
      <c r="G749" s="103">
        <f>O746</f>
        <v>0</v>
      </c>
      <c r="H749" s="103">
        <f>AD746</f>
        <v>1</v>
      </c>
      <c r="I749" s="103">
        <f>D746</f>
        <v>0</v>
      </c>
      <c r="J749" s="103">
        <f>T746</f>
        <v>0</v>
      </c>
      <c r="K749" s="103">
        <f>Z746</f>
        <v>0</v>
      </c>
      <c r="L749" s="103">
        <f>R746</f>
        <v>1</v>
      </c>
      <c r="M749" s="103">
        <f>AF746</f>
        <v>0</v>
      </c>
      <c r="N749" s="103">
        <f>H746</f>
        <v>0</v>
      </c>
      <c r="O749" s="103">
        <f>AB746</f>
        <v>0</v>
      </c>
      <c r="P749" s="103">
        <f>V746</f>
        <v>0</v>
      </c>
      <c r="Q749" s="103">
        <f>L746</f>
        <v>1</v>
      </c>
      <c r="R749" s="103">
        <f>C746</f>
        <v>0</v>
      </c>
      <c r="S749" s="103">
        <f>J746</f>
        <v>0</v>
      </c>
      <c r="T749" s="103">
        <f>P746</f>
        <v>1</v>
      </c>
      <c r="U749" s="103">
        <f>AA746</f>
        <v>0</v>
      </c>
      <c r="V749" s="103">
        <f>E746</f>
        <v>0</v>
      </c>
      <c r="W749" s="103">
        <f>F746</f>
        <v>0</v>
      </c>
      <c r="X749" s="103">
        <f>AE746</f>
        <v>1</v>
      </c>
      <c r="Y749" s="103">
        <f>M746</f>
        <v>0</v>
      </c>
      <c r="Z749" s="103">
        <f>U746</f>
        <v>1</v>
      </c>
      <c r="AA749" s="103">
        <f>AH746</f>
        <v>1</v>
      </c>
      <c r="AB749" s="103">
        <f>N746</f>
        <v>1</v>
      </c>
      <c r="AC749" s="103">
        <f>X746</f>
        <v>0</v>
      </c>
      <c r="AD749" s="103">
        <f>I746</f>
        <v>0</v>
      </c>
      <c r="AE749" s="103">
        <f>G746</f>
        <v>1</v>
      </c>
      <c r="AF749" s="103">
        <f>AC746</f>
        <v>1</v>
      </c>
      <c r="AG749" s="103">
        <f>Q746</f>
        <v>1</v>
      </c>
      <c r="AH749" s="103">
        <f>W746</f>
        <v>1</v>
      </c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21"/>
      <c r="BC749" s="21"/>
      <c r="BD749" s="21"/>
      <c r="BE749" s="21"/>
    </row>
    <row r="750" spans="1:57" x14ac:dyDescent="0.25">
      <c r="A750" s="21"/>
      <c r="B750" s="64"/>
      <c r="C750" s="130">
        <v>1</v>
      </c>
      <c r="D750" s="131">
        <v>2</v>
      </c>
      <c r="E750" s="130">
        <v>3</v>
      </c>
      <c r="F750" s="131">
        <v>4</v>
      </c>
      <c r="G750" s="130">
        <v>5</v>
      </c>
      <c r="H750" s="131">
        <v>6</v>
      </c>
      <c r="I750" s="130">
        <v>7</v>
      </c>
      <c r="J750" s="131">
        <v>8</v>
      </c>
      <c r="K750" s="130">
        <v>9</v>
      </c>
      <c r="L750" s="131">
        <v>10</v>
      </c>
      <c r="M750" s="130">
        <v>11</v>
      </c>
      <c r="N750" s="131">
        <v>12</v>
      </c>
      <c r="O750" s="130">
        <v>13</v>
      </c>
      <c r="P750" s="131">
        <v>14</v>
      </c>
      <c r="Q750" s="130">
        <v>15</v>
      </c>
      <c r="R750" s="131">
        <v>16</v>
      </c>
      <c r="S750" s="130">
        <v>17</v>
      </c>
      <c r="T750" s="131">
        <v>18</v>
      </c>
      <c r="U750" s="130">
        <v>19</v>
      </c>
      <c r="V750" s="131">
        <v>20</v>
      </c>
      <c r="W750" s="130">
        <v>21</v>
      </c>
      <c r="X750" s="131">
        <v>22</v>
      </c>
      <c r="Y750" s="130">
        <v>23</v>
      </c>
      <c r="Z750" s="131">
        <v>24</v>
      </c>
      <c r="AA750" s="130">
        <v>25</v>
      </c>
      <c r="AB750" s="131">
        <v>26</v>
      </c>
      <c r="AC750" s="130">
        <v>27</v>
      </c>
      <c r="AD750" s="131">
        <v>28</v>
      </c>
      <c r="AE750" s="130">
        <v>29</v>
      </c>
      <c r="AF750" s="131">
        <v>30</v>
      </c>
      <c r="AG750" s="130">
        <v>31</v>
      </c>
      <c r="AH750" s="131">
        <v>32</v>
      </c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21"/>
      <c r="BC750" s="21"/>
      <c r="BD750" s="21"/>
      <c r="BE750" s="21"/>
    </row>
    <row r="751" spans="1:57" x14ac:dyDescent="0.25">
      <c r="A751" s="21"/>
      <c r="B751" s="64"/>
      <c r="C751" s="62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21"/>
      <c r="BC751" s="21"/>
      <c r="BD751" s="21"/>
      <c r="BE751" s="21"/>
    </row>
    <row r="752" spans="1:57" x14ac:dyDescent="0.25">
      <c r="A752" s="21"/>
      <c r="B752" s="64"/>
      <c r="C752" s="62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21"/>
      <c r="BC752" s="21"/>
      <c r="BD752" s="21"/>
      <c r="BE752" s="21"/>
    </row>
    <row r="753" spans="1:57" x14ac:dyDescent="0.25">
      <c r="A753" s="21"/>
      <c r="B753" s="64"/>
      <c r="C753" s="62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21"/>
      <c r="BC753" s="21"/>
      <c r="BD753" s="21"/>
      <c r="BE753" s="21"/>
    </row>
    <row r="754" spans="1:57" x14ac:dyDescent="0.25">
      <c r="A754" s="114" t="s">
        <v>582</v>
      </c>
      <c r="B754" s="114"/>
      <c r="C754" s="114"/>
      <c r="D754" s="68">
        <v>1</v>
      </c>
      <c r="E754" s="68">
        <v>2</v>
      </c>
      <c r="F754" s="68">
        <v>3</v>
      </c>
      <c r="G754" s="68">
        <v>4</v>
      </c>
      <c r="H754" s="68">
        <v>5</v>
      </c>
      <c r="I754" s="68">
        <v>6</v>
      </c>
      <c r="J754" s="68">
        <v>7</v>
      </c>
      <c r="K754" s="68">
        <v>8</v>
      </c>
      <c r="L754" s="68">
        <v>9</v>
      </c>
      <c r="M754" s="68">
        <v>10</v>
      </c>
      <c r="N754" s="68">
        <v>11</v>
      </c>
      <c r="O754" s="68">
        <v>12</v>
      </c>
      <c r="P754" s="68">
        <v>13</v>
      </c>
      <c r="Q754" s="68">
        <v>14</v>
      </c>
      <c r="R754" s="68">
        <v>15</v>
      </c>
      <c r="S754" s="68">
        <v>16</v>
      </c>
      <c r="T754" s="68">
        <v>17</v>
      </c>
      <c r="U754" s="68">
        <v>18</v>
      </c>
      <c r="V754" s="68">
        <v>19</v>
      </c>
      <c r="W754" s="68">
        <v>20</v>
      </c>
      <c r="X754" s="68">
        <v>21</v>
      </c>
      <c r="Y754" s="68">
        <v>22</v>
      </c>
      <c r="Z754" s="68">
        <v>23</v>
      </c>
      <c r="AA754" s="68">
        <v>24</v>
      </c>
      <c r="AB754" s="68">
        <v>25</v>
      </c>
      <c r="AC754" s="68">
        <v>26</v>
      </c>
      <c r="AD754" s="68">
        <v>27</v>
      </c>
      <c r="AE754" s="68">
        <v>28</v>
      </c>
      <c r="AF754" s="68">
        <v>29</v>
      </c>
      <c r="AG754" s="68">
        <v>30</v>
      </c>
      <c r="AH754" s="68">
        <v>31</v>
      </c>
      <c r="AI754" s="68">
        <v>32</v>
      </c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21"/>
      <c r="BC754" s="21"/>
      <c r="BD754" s="21"/>
      <c r="BE754" s="21"/>
    </row>
    <row r="755" spans="1:57" x14ac:dyDescent="0.25">
      <c r="A755" s="64" t="s">
        <v>549</v>
      </c>
      <c r="B755" s="64"/>
      <c r="C755" s="62"/>
      <c r="D755" s="68">
        <f>C713</f>
        <v>0</v>
      </c>
      <c r="E755" s="68">
        <f t="shared" ref="E755" si="2615">D713</f>
        <v>1</v>
      </c>
      <c r="F755" s="68">
        <f t="shared" ref="F755" si="2616">E713</f>
        <v>0</v>
      </c>
      <c r="G755" s="68">
        <f t="shared" ref="G755" si="2617">F713</f>
        <v>0</v>
      </c>
      <c r="H755" s="68">
        <f t="shared" ref="H755" si="2618">G713</f>
        <v>0</v>
      </c>
      <c r="I755" s="68">
        <f t="shared" ref="I755" si="2619">H713</f>
        <v>0</v>
      </c>
      <c r="J755" s="68">
        <f t="shared" ref="J755" si="2620">I713</f>
        <v>0</v>
      </c>
      <c r="K755" s="68">
        <f t="shared" ref="K755" si="2621">J713</f>
        <v>1</v>
      </c>
      <c r="L755" s="68">
        <f t="shared" ref="L755" si="2622">K713</f>
        <v>0</v>
      </c>
      <c r="M755" s="68">
        <f t="shared" ref="M755" si="2623">L713</f>
        <v>0</v>
      </c>
      <c r="N755" s="68">
        <f t="shared" ref="N755" si="2624">M713</f>
        <v>0</v>
      </c>
      <c r="O755" s="68">
        <f t="shared" ref="O755" si="2625">N713</f>
        <v>0</v>
      </c>
      <c r="P755" s="68">
        <f t="shared" ref="P755" si="2626">O713</f>
        <v>0</v>
      </c>
      <c r="Q755" s="68">
        <f t="shared" ref="Q755" si="2627">P713</f>
        <v>0</v>
      </c>
      <c r="R755" s="68">
        <f t="shared" ref="R755" si="2628">Q713</f>
        <v>1</v>
      </c>
      <c r="S755" s="68">
        <f t="shared" ref="S755" si="2629">R713</f>
        <v>0</v>
      </c>
      <c r="T755" s="68">
        <f t="shared" ref="T755" si="2630">S713</f>
        <v>0</v>
      </c>
      <c r="U755" s="68">
        <f t="shared" ref="U755" si="2631">T713</f>
        <v>0</v>
      </c>
      <c r="V755" s="68">
        <f t="shared" ref="V755" si="2632">U713</f>
        <v>0</v>
      </c>
      <c r="W755" s="68">
        <f t="shared" ref="W755" si="2633">V713</f>
        <v>0</v>
      </c>
      <c r="X755" s="68">
        <f t="shared" ref="X755" si="2634">W713</f>
        <v>1</v>
      </c>
      <c r="Y755" s="68">
        <f t="shared" ref="Y755" si="2635">X713</f>
        <v>0</v>
      </c>
      <c r="Z755" s="68">
        <f t="shared" ref="Z755" si="2636">Y713</f>
        <v>0</v>
      </c>
      <c r="AA755" s="68">
        <f t="shared" ref="AA755" si="2637">Z713</f>
        <v>1</v>
      </c>
      <c r="AB755" s="68">
        <f t="shared" ref="AB755" si="2638">AA713</f>
        <v>1</v>
      </c>
      <c r="AC755" s="68">
        <f t="shared" ref="AC755" si="2639">AB713</f>
        <v>0</v>
      </c>
      <c r="AD755" s="68">
        <f t="shared" ref="AD755" si="2640">AC713</f>
        <v>0</v>
      </c>
      <c r="AE755" s="68">
        <f t="shared" ref="AE755" si="2641">AD713</f>
        <v>1</v>
      </c>
      <c r="AF755" s="68">
        <f t="shared" ref="AF755" si="2642">AE713</f>
        <v>1</v>
      </c>
      <c r="AG755" s="68">
        <f t="shared" ref="AG755" si="2643">AF713</f>
        <v>1</v>
      </c>
      <c r="AH755" s="68">
        <f t="shared" ref="AH755" si="2644">AG713</f>
        <v>0</v>
      </c>
      <c r="AI755" s="68">
        <f t="shared" ref="AI755" si="2645">AH713</f>
        <v>1</v>
      </c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21"/>
      <c r="BC755" s="21"/>
      <c r="BD755" s="21"/>
      <c r="BE755" s="21"/>
    </row>
    <row r="756" spans="1:57" x14ac:dyDescent="0.25">
      <c r="A756" s="21"/>
      <c r="B756" s="64"/>
      <c r="C756" s="62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21"/>
      <c r="BC756" s="21"/>
      <c r="BD756" s="21"/>
      <c r="BE756" s="21"/>
    </row>
    <row r="757" spans="1:57" x14ac:dyDescent="0.25">
      <c r="A757" s="114" t="s">
        <v>583</v>
      </c>
      <c r="B757" s="114"/>
      <c r="C757" s="114"/>
      <c r="D757" s="70">
        <v>1</v>
      </c>
      <c r="E757" s="70">
        <v>2</v>
      </c>
      <c r="F757" s="70">
        <v>3</v>
      </c>
      <c r="G757" s="70">
        <v>4</v>
      </c>
      <c r="H757" s="70">
        <v>5</v>
      </c>
      <c r="I757" s="70">
        <v>6</v>
      </c>
      <c r="J757" s="70">
        <v>7</v>
      </c>
      <c r="K757" s="70">
        <v>8</v>
      </c>
      <c r="L757" s="70">
        <v>9</v>
      </c>
      <c r="M757" s="70">
        <v>10</v>
      </c>
      <c r="N757" s="70">
        <v>11</v>
      </c>
      <c r="O757" s="70">
        <v>12</v>
      </c>
      <c r="P757" s="70">
        <v>13</v>
      </c>
      <c r="Q757" s="70">
        <v>14</v>
      </c>
      <c r="R757" s="70">
        <v>15</v>
      </c>
      <c r="S757" s="70">
        <v>16</v>
      </c>
      <c r="T757" s="70">
        <v>17</v>
      </c>
      <c r="U757" s="70">
        <v>18</v>
      </c>
      <c r="V757" s="70">
        <v>19</v>
      </c>
      <c r="W757" s="70">
        <v>20</v>
      </c>
      <c r="X757" s="70">
        <v>21</v>
      </c>
      <c r="Y757" s="70">
        <v>22</v>
      </c>
      <c r="Z757" s="70">
        <v>23</v>
      </c>
      <c r="AA757" s="70">
        <v>24</v>
      </c>
      <c r="AB757" s="70">
        <v>25</v>
      </c>
      <c r="AC757" s="70">
        <v>26</v>
      </c>
      <c r="AD757" s="70">
        <v>27</v>
      </c>
      <c r="AE757" s="70">
        <v>28</v>
      </c>
      <c r="AF757" s="70">
        <v>29</v>
      </c>
      <c r="AG757" s="70">
        <v>30</v>
      </c>
      <c r="AH757" s="70">
        <v>31</v>
      </c>
      <c r="AI757" s="70">
        <v>32</v>
      </c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21"/>
      <c r="BC757" s="21"/>
      <c r="BD757" s="21"/>
      <c r="BE757" s="21"/>
    </row>
    <row r="758" spans="1:57" x14ac:dyDescent="0.25">
      <c r="A758" s="64" t="s">
        <v>551</v>
      </c>
      <c r="B758" s="64"/>
      <c r="C758" s="62"/>
      <c r="D758" s="70">
        <f>--_xlfn.XOR(C749,D706)</f>
        <v>0</v>
      </c>
      <c r="E758" s="70">
        <f t="shared" ref="E758:AI758" si="2646">--_xlfn.XOR(D749,E706)</f>
        <v>0</v>
      </c>
      <c r="F758" s="70">
        <f t="shared" si="2646"/>
        <v>0</v>
      </c>
      <c r="G758" s="70">
        <f t="shared" si="2646"/>
        <v>0</v>
      </c>
      <c r="H758" s="70">
        <f t="shared" si="2646"/>
        <v>0</v>
      </c>
      <c r="I758" s="70">
        <f t="shared" si="2646"/>
        <v>0</v>
      </c>
      <c r="J758" s="70">
        <f t="shared" si="2646"/>
        <v>0</v>
      </c>
      <c r="K758" s="70">
        <f t="shared" si="2646"/>
        <v>0</v>
      </c>
      <c r="L758" s="70">
        <f t="shared" si="2646"/>
        <v>1</v>
      </c>
      <c r="M758" s="70">
        <f t="shared" si="2646"/>
        <v>0</v>
      </c>
      <c r="N758" s="70">
        <f t="shared" si="2646"/>
        <v>0</v>
      </c>
      <c r="O758" s="70">
        <f t="shared" si="2646"/>
        <v>1</v>
      </c>
      <c r="P758" s="70">
        <f t="shared" si="2646"/>
        <v>0</v>
      </c>
      <c r="Q758" s="70">
        <f t="shared" si="2646"/>
        <v>1</v>
      </c>
      <c r="R758" s="70">
        <f t="shared" si="2646"/>
        <v>0</v>
      </c>
      <c r="S758" s="70">
        <f t="shared" si="2646"/>
        <v>0</v>
      </c>
      <c r="T758" s="70">
        <f t="shared" si="2646"/>
        <v>0</v>
      </c>
      <c r="U758" s="70">
        <f t="shared" si="2646"/>
        <v>1</v>
      </c>
      <c r="V758" s="70">
        <f t="shared" si="2646"/>
        <v>1</v>
      </c>
      <c r="W758" s="70">
        <f t="shared" si="2646"/>
        <v>1</v>
      </c>
      <c r="X758" s="70">
        <f t="shared" si="2646"/>
        <v>1</v>
      </c>
      <c r="Y758" s="70">
        <f t="shared" si="2646"/>
        <v>0</v>
      </c>
      <c r="Z758" s="70">
        <f t="shared" si="2646"/>
        <v>1</v>
      </c>
      <c r="AA758" s="70">
        <f t="shared" si="2646"/>
        <v>0</v>
      </c>
      <c r="AB758" s="70">
        <f t="shared" si="2646"/>
        <v>1</v>
      </c>
      <c r="AC758" s="70">
        <f t="shared" si="2646"/>
        <v>1</v>
      </c>
      <c r="AD758" s="70">
        <f t="shared" si="2646"/>
        <v>0</v>
      </c>
      <c r="AE758" s="70">
        <f t="shared" si="2646"/>
        <v>0</v>
      </c>
      <c r="AF758" s="70">
        <f t="shared" si="2646"/>
        <v>1</v>
      </c>
      <c r="AG758" s="70">
        <f t="shared" si="2646"/>
        <v>0</v>
      </c>
      <c r="AH758" s="70">
        <f t="shared" si="2646"/>
        <v>1</v>
      </c>
      <c r="AI758" s="70">
        <f t="shared" si="2646"/>
        <v>1</v>
      </c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21"/>
      <c r="BC758" s="21"/>
      <c r="BD758" s="21"/>
      <c r="BE758" s="21"/>
    </row>
    <row r="759" spans="1:57" x14ac:dyDescent="0.25">
      <c r="A759" s="132" t="s">
        <v>645</v>
      </c>
      <c r="B759" s="64"/>
      <c r="C759" s="62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21"/>
      <c r="BC759" s="21"/>
      <c r="BD759" s="21"/>
      <c r="BE759" s="21"/>
    </row>
    <row r="760" spans="1:57" x14ac:dyDescent="0.25">
      <c r="A760" s="132"/>
      <c r="B760" s="133"/>
      <c r="C760" s="134"/>
      <c r="D760" s="132"/>
      <c r="E760" s="132"/>
      <c r="F760" s="132"/>
      <c r="G760" s="132"/>
      <c r="H760" s="132"/>
      <c r="I760" s="132"/>
      <c r="J760" s="132"/>
      <c r="K760" s="132"/>
      <c r="L760" s="132"/>
      <c r="M760" s="132"/>
      <c r="N760" s="132"/>
      <c r="O760" s="132"/>
      <c r="P760" s="132"/>
      <c r="Q760" s="132"/>
      <c r="R760" s="132"/>
      <c r="S760" s="132"/>
      <c r="T760" s="132"/>
      <c r="U760" s="132"/>
      <c r="V760" s="132"/>
      <c r="W760" s="132"/>
      <c r="X760" s="132"/>
      <c r="Y760" s="132"/>
      <c r="Z760" s="132"/>
      <c r="AA760" s="132"/>
      <c r="AB760" s="132"/>
      <c r="AC760" s="132"/>
      <c r="AD760" s="132"/>
      <c r="AE760" s="132"/>
      <c r="AF760" s="132"/>
      <c r="AG760" s="132"/>
      <c r="AH760" s="132"/>
      <c r="AI760" s="132"/>
      <c r="AJ760" s="132"/>
      <c r="AK760" s="132"/>
      <c r="AL760" s="132"/>
      <c r="AM760" s="132"/>
      <c r="AN760" s="132"/>
      <c r="AO760" s="132"/>
      <c r="AP760" s="132"/>
      <c r="AQ760" s="132"/>
      <c r="AR760" s="132"/>
      <c r="AS760" s="132"/>
      <c r="AT760" s="132"/>
      <c r="AU760" s="132"/>
      <c r="AV760" s="132"/>
      <c r="AW760" s="132"/>
      <c r="AX760" s="132"/>
      <c r="AY760" s="132"/>
      <c r="AZ760" s="132"/>
      <c r="BA760" s="132"/>
      <c r="BB760" s="132"/>
      <c r="BC760" s="132"/>
      <c r="BD760" s="132"/>
      <c r="BE760" s="132"/>
    </row>
    <row r="761" spans="1:57" x14ac:dyDescent="0.25">
      <c r="A761" s="21"/>
      <c r="B761" s="21"/>
      <c r="C761" s="70">
        <v>1</v>
      </c>
      <c r="D761" s="70">
        <v>2</v>
      </c>
      <c r="E761" s="70">
        <v>3</v>
      </c>
      <c r="F761" s="70">
        <v>4</v>
      </c>
      <c r="G761" s="70">
        <v>5</v>
      </c>
      <c r="H761" s="70">
        <v>6</v>
      </c>
      <c r="I761" s="70">
        <v>7</v>
      </c>
      <c r="J761" s="70">
        <v>8</v>
      </c>
      <c r="K761" s="70">
        <v>9</v>
      </c>
      <c r="L761" s="70">
        <v>10</v>
      </c>
      <c r="M761" s="70">
        <v>11</v>
      </c>
      <c r="N761" s="70">
        <v>12</v>
      </c>
      <c r="O761" s="70">
        <v>13</v>
      </c>
      <c r="P761" s="70">
        <v>14</v>
      </c>
      <c r="Q761" s="70">
        <v>15</v>
      </c>
      <c r="R761" s="70">
        <v>16</v>
      </c>
      <c r="S761" s="70">
        <v>17</v>
      </c>
      <c r="T761" s="70">
        <v>18</v>
      </c>
      <c r="U761" s="70">
        <v>19</v>
      </c>
      <c r="V761" s="70">
        <v>20</v>
      </c>
      <c r="W761" s="70">
        <v>21</v>
      </c>
      <c r="X761" s="70">
        <v>22</v>
      </c>
      <c r="Y761" s="70">
        <v>23</v>
      </c>
      <c r="Z761" s="70">
        <v>24</v>
      </c>
      <c r="AA761" s="70">
        <v>25</v>
      </c>
      <c r="AB761" s="70">
        <v>26</v>
      </c>
      <c r="AC761" s="70">
        <v>27</v>
      </c>
      <c r="AD761" s="70">
        <v>28</v>
      </c>
      <c r="AE761" s="70">
        <v>29</v>
      </c>
      <c r="AF761" s="70">
        <v>30</v>
      </c>
      <c r="AG761" s="70">
        <v>31</v>
      </c>
      <c r="AH761" s="70">
        <v>32</v>
      </c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21"/>
      <c r="BC761" s="21"/>
      <c r="BD761" s="21"/>
      <c r="BE761" s="21"/>
    </row>
    <row r="762" spans="1:57" x14ac:dyDescent="0.25">
      <c r="A762" s="114" t="s">
        <v>583</v>
      </c>
      <c r="B762" s="114"/>
      <c r="C762" s="70">
        <f>D758</f>
        <v>0</v>
      </c>
      <c r="D762" s="70">
        <f t="shared" ref="D762" si="2647">E758</f>
        <v>0</v>
      </c>
      <c r="E762" s="70">
        <f t="shared" ref="E762" si="2648">F758</f>
        <v>0</v>
      </c>
      <c r="F762" s="70">
        <f t="shared" ref="F762" si="2649">G758</f>
        <v>0</v>
      </c>
      <c r="G762" s="70">
        <f t="shared" ref="G762" si="2650">H758</f>
        <v>0</v>
      </c>
      <c r="H762" s="70">
        <f t="shared" ref="H762" si="2651">I758</f>
        <v>0</v>
      </c>
      <c r="I762" s="70">
        <f t="shared" ref="I762" si="2652">J758</f>
        <v>0</v>
      </c>
      <c r="J762" s="70">
        <f t="shared" ref="J762" si="2653">K758</f>
        <v>0</v>
      </c>
      <c r="K762" s="70">
        <f t="shared" ref="K762" si="2654">L758</f>
        <v>1</v>
      </c>
      <c r="L762" s="70">
        <f t="shared" ref="L762" si="2655">M758</f>
        <v>0</v>
      </c>
      <c r="M762" s="70">
        <f t="shared" ref="M762" si="2656">N758</f>
        <v>0</v>
      </c>
      <c r="N762" s="70">
        <f t="shared" ref="N762" si="2657">O758</f>
        <v>1</v>
      </c>
      <c r="O762" s="70">
        <f t="shared" ref="O762" si="2658">P758</f>
        <v>0</v>
      </c>
      <c r="P762" s="70">
        <f t="shared" ref="P762" si="2659">Q758</f>
        <v>1</v>
      </c>
      <c r="Q762" s="70">
        <f t="shared" ref="Q762" si="2660">R758</f>
        <v>0</v>
      </c>
      <c r="R762" s="70">
        <f t="shared" ref="R762" si="2661">S758</f>
        <v>0</v>
      </c>
      <c r="S762" s="70">
        <f t="shared" ref="S762" si="2662">T758</f>
        <v>0</v>
      </c>
      <c r="T762" s="70">
        <f t="shared" ref="T762" si="2663">U758</f>
        <v>1</v>
      </c>
      <c r="U762" s="70">
        <f t="shared" ref="U762" si="2664">V758</f>
        <v>1</v>
      </c>
      <c r="V762" s="70">
        <f t="shared" ref="V762" si="2665">W758</f>
        <v>1</v>
      </c>
      <c r="W762" s="70">
        <f t="shared" ref="W762" si="2666">X758</f>
        <v>1</v>
      </c>
      <c r="X762" s="70">
        <f t="shared" ref="X762" si="2667">Y758</f>
        <v>0</v>
      </c>
      <c r="Y762" s="70">
        <f t="shared" ref="Y762" si="2668">Z758</f>
        <v>1</v>
      </c>
      <c r="Z762" s="70">
        <f t="shared" ref="Z762" si="2669">AA758</f>
        <v>0</v>
      </c>
      <c r="AA762" s="70">
        <f t="shared" ref="AA762" si="2670">AB758</f>
        <v>1</v>
      </c>
      <c r="AB762" s="70">
        <f t="shared" ref="AB762" si="2671">AC758</f>
        <v>1</v>
      </c>
      <c r="AC762" s="70">
        <f t="shared" ref="AC762" si="2672">AD758</f>
        <v>0</v>
      </c>
      <c r="AD762" s="70">
        <f t="shared" ref="AD762" si="2673">AE758</f>
        <v>0</v>
      </c>
      <c r="AE762" s="70">
        <f t="shared" ref="AE762" si="2674">AF758</f>
        <v>1</v>
      </c>
      <c r="AF762" s="70">
        <f t="shared" ref="AF762" si="2675">AG758</f>
        <v>0</v>
      </c>
      <c r="AG762" s="70">
        <f t="shared" ref="AG762" si="2676">AH758</f>
        <v>1</v>
      </c>
      <c r="AH762" s="70">
        <f t="shared" ref="AH762" si="2677">AI758</f>
        <v>1</v>
      </c>
      <c r="AI762" s="135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21"/>
      <c r="BC762" s="21"/>
      <c r="BD762" s="21"/>
      <c r="BE762" s="21"/>
    </row>
    <row r="763" spans="1:57" x14ac:dyDescent="0.25">
      <c r="A763" s="21"/>
      <c r="B763" s="64"/>
      <c r="C763" s="62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21"/>
      <c r="BC763" s="21"/>
      <c r="BD763" s="21"/>
      <c r="BE763" s="21"/>
    </row>
    <row r="764" spans="1:57" x14ac:dyDescent="0.25">
      <c r="A764" s="132"/>
      <c r="B764" s="133"/>
      <c r="C764" s="134"/>
      <c r="D764" s="132"/>
      <c r="E764" s="132"/>
      <c r="F764" s="132"/>
      <c r="G764" s="132"/>
      <c r="H764" s="132"/>
      <c r="I764" s="132"/>
      <c r="J764" s="132"/>
      <c r="K764" s="132"/>
      <c r="L764" s="132"/>
      <c r="M764" s="132"/>
      <c r="N764" s="132"/>
      <c r="O764" s="132"/>
      <c r="P764" s="132"/>
      <c r="Q764" s="132"/>
      <c r="R764" s="132"/>
      <c r="S764" s="132"/>
      <c r="T764" s="132"/>
      <c r="U764" s="132"/>
      <c r="V764" s="132"/>
      <c r="W764" s="132"/>
      <c r="X764" s="132"/>
      <c r="Y764" s="132"/>
      <c r="Z764" s="132"/>
      <c r="AA764" s="132"/>
      <c r="AB764" s="132"/>
      <c r="AC764" s="132"/>
      <c r="AD764" s="132"/>
      <c r="AE764" s="132"/>
      <c r="AF764" s="132"/>
      <c r="AG764" s="132"/>
      <c r="AH764" s="132"/>
      <c r="AI764" s="132"/>
      <c r="AJ764" s="132"/>
      <c r="AK764" s="132"/>
      <c r="AL764" s="132"/>
      <c r="AM764" s="132"/>
      <c r="AN764" s="132"/>
      <c r="AO764" s="132"/>
      <c r="AP764" s="132"/>
      <c r="AQ764" s="132"/>
      <c r="AR764" s="132"/>
      <c r="AS764" s="132"/>
      <c r="AT764" s="132"/>
      <c r="AU764" s="132"/>
      <c r="AV764" s="132"/>
      <c r="AW764" s="132"/>
      <c r="AX764" s="132"/>
      <c r="AY764" s="132"/>
      <c r="AZ764" s="21"/>
      <c r="BA764" s="21"/>
      <c r="BB764" s="21"/>
      <c r="BC764" s="21"/>
      <c r="BD764" s="21"/>
      <c r="BE764" s="21"/>
    </row>
    <row r="765" spans="1:57" x14ac:dyDescent="0.25">
      <c r="A765" s="21"/>
      <c r="B765" s="64"/>
      <c r="C765" s="62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21"/>
      <c r="BC765" s="21"/>
      <c r="BD765" s="21"/>
      <c r="BE765" s="21"/>
    </row>
    <row r="766" spans="1:57" x14ac:dyDescent="0.25">
      <c r="A766" s="118" t="s">
        <v>532</v>
      </c>
      <c r="B766" s="118"/>
      <c r="C766" s="75">
        <v>32</v>
      </c>
      <c r="D766" s="74">
        <v>1</v>
      </c>
      <c r="E766" s="74">
        <v>2</v>
      </c>
      <c r="F766" s="74">
        <v>3</v>
      </c>
      <c r="G766" s="74">
        <v>4</v>
      </c>
      <c r="H766" s="73">
        <v>5</v>
      </c>
      <c r="I766" s="122"/>
      <c r="J766" s="118">
        <f>AH762</f>
        <v>1</v>
      </c>
      <c r="K766" s="118">
        <f>C762</f>
        <v>0</v>
      </c>
      <c r="L766" s="118">
        <f>D762</f>
        <v>0</v>
      </c>
      <c r="M766" s="118">
        <f>E762</f>
        <v>0</v>
      </c>
      <c r="N766" s="69">
        <f>F762</f>
        <v>0</v>
      </c>
      <c r="O766" s="119">
        <f>G762</f>
        <v>0</v>
      </c>
      <c r="P766" s="122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21"/>
      <c r="BC766" s="21"/>
      <c r="BD766" s="21"/>
      <c r="BE766" s="21"/>
    </row>
    <row r="767" spans="1:57" x14ac:dyDescent="0.25">
      <c r="A767" s="21"/>
      <c r="B767" s="64"/>
      <c r="C767" s="75">
        <v>4</v>
      </c>
      <c r="D767" s="74">
        <v>5</v>
      </c>
      <c r="E767" s="74">
        <v>6</v>
      </c>
      <c r="F767" s="74">
        <v>7</v>
      </c>
      <c r="G767" s="74">
        <v>8</v>
      </c>
      <c r="H767" s="73">
        <v>9</v>
      </c>
      <c r="I767" s="122"/>
      <c r="J767" s="118">
        <f t="shared" ref="J767" si="2678">F762</f>
        <v>0</v>
      </c>
      <c r="K767" s="69">
        <f t="shared" ref="K767" si="2679">G762</f>
        <v>0</v>
      </c>
      <c r="L767" s="69">
        <f t="shared" ref="L767" si="2680">H762</f>
        <v>0</v>
      </c>
      <c r="M767" s="69">
        <f t="shared" ref="M767" si="2681">I762</f>
        <v>0</v>
      </c>
      <c r="N767" s="69">
        <f t="shared" ref="N767" si="2682">J762</f>
        <v>0</v>
      </c>
      <c r="O767" s="119">
        <f t="shared" ref="O767" si="2683">K762</f>
        <v>1</v>
      </c>
      <c r="P767" s="122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21"/>
      <c r="BC767" s="21"/>
      <c r="BD767" s="21"/>
      <c r="BE767" s="21"/>
    </row>
    <row r="768" spans="1:57" x14ac:dyDescent="0.25">
      <c r="A768" s="21"/>
      <c r="B768" s="64"/>
      <c r="C768" s="75">
        <v>8</v>
      </c>
      <c r="D768" s="74">
        <v>9</v>
      </c>
      <c r="E768" s="74">
        <v>10</v>
      </c>
      <c r="F768" s="74">
        <v>11</v>
      </c>
      <c r="G768" s="74">
        <v>12</v>
      </c>
      <c r="H768" s="73">
        <v>13</v>
      </c>
      <c r="I768" s="123"/>
      <c r="J768" s="120">
        <f t="shared" ref="J768:O768" si="2684">J762</f>
        <v>0</v>
      </c>
      <c r="K768" s="69">
        <f t="shared" si="2684"/>
        <v>1</v>
      </c>
      <c r="L768" s="69">
        <f t="shared" si="2684"/>
        <v>0</v>
      </c>
      <c r="M768" s="69">
        <f t="shared" si="2684"/>
        <v>0</v>
      </c>
      <c r="N768" s="69">
        <f t="shared" si="2684"/>
        <v>1</v>
      </c>
      <c r="O768" s="119">
        <f t="shared" si="2684"/>
        <v>0</v>
      </c>
      <c r="P768" s="123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21"/>
      <c r="BC768" s="21"/>
      <c r="BD768" s="21"/>
      <c r="BE768" s="21"/>
    </row>
    <row r="769" spans="1:57" x14ac:dyDescent="0.25">
      <c r="A769" s="21"/>
      <c r="B769" s="64"/>
      <c r="C769" s="75">
        <v>12</v>
      </c>
      <c r="D769" s="74">
        <v>13</v>
      </c>
      <c r="E769" s="74">
        <v>14</v>
      </c>
      <c r="F769" s="74">
        <v>15</v>
      </c>
      <c r="G769" s="74">
        <v>16</v>
      </c>
      <c r="H769" s="73">
        <v>17</v>
      </c>
      <c r="I769" s="122"/>
      <c r="J769" s="118">
        <f t="shared" ref="J769" si="2685">N762</f>
        <v>1</v>
      </c>
      <c r="K769" s="69">
        <f t="shared" ref="K769" si="2686">O762</f>
        <v>0</v>
      </c>
      <c r="L769" s="69">
        <f t="shared" ref="L769" si="2687">P762</f>
        <v>1</v>
      </c>
      <c r="M769" s="69">
        <f t="shared" ref="M769" si="2688">Q762</f>
        <v>0</v>
      </c>
      <c r="N769" s="69">
        <f t="shared" ref="N769" si="2689">R762</f>
        <v>0</v>
      </c>
      <c r="O769" s="119">
        <f t="shared" ref="O769" si="2690">S762</f>
        <v>0</v>
      </c>
      <c r="P769" s="122"/>
      <c r="Q769" s="21"/>
      <c r="R769" s="21"/>
      <c r="S769" s="21"/>
      <c r="T769" s="21"/>
      <c r="U769" s="21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21"/>
      <c r="BC769" s="21"/>
      <c r="BD769" s="21"/>
      <c r="BE769" s="21"/>
    </row>
    <row r="770" spans="1:57" x14ac:dyDescent="0.25">
      <c r="A770" s="21"/>
      <c r="B770" s="64"/>
      <c r="C770" s="75">
        <v>16</v>
      </c>
      <c r="D770" s="74">
        <v>17</v>
      </c>
      <c r="E770" s="74">
        <v>18</v>
      </c>
      <c r="F770" s="74">
        <v>19</v>
      </c>
      <c r="G770" s="74">
        <v>20</v>
      </c>
      <c r="H770" s="73">
        <v>21</v>
      </c>
      <c r="I770" s="122"/>
      <c r="J770" s="118">
        <f t="shared" ref="J770" si="2691">R762</f>
        <v>0</v>
      </c>
      <c r="K770" s="69">
        <f t="shared" ref="K770" si="2692">S762</f>
        <v>0</v>
      </c>
      <c r="L770" s="69">
        <f t="shared" ref="L770" si="2693">T762</f>
        <v>1</v>
      </c>
      <c r="M770" s="69">
        <f t="shared" ref="M770" si="2694">U762</f>
        <v>1</v>
      </c>
      <c r="N770" s="69">
        <f t="shared" ref="N770" si="2695">V762</f>
        <v>1</v>
      </c>
      <c r="O770" s="119">
        <f t="shared" ref="O770" si="2696">W762</f>
        <v>1</v>
      </c>
      <c r="P770" s="122"/>
      <c r="Q770" s="21"/>
      <c r="R770" s="21"/>
      <c r="S770" s="21"/>
      <c r="T770" s="21"/>
      <c r="U770" s="21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21"/>
      <c r="BC770" s="21"/>
      <c r="BD770" s="21"/>
      <c r="BE770" s="21"/>
    </row>
    <row r="771" spans="1:57" x14ac:dyDescent="0.25">
      <c r="A771" s="21"/>
      <c r="B771" s="64"/>
      <c r="C771" s="75">
        <v>20</v>
      </c>
      <c r="D771" s="74">
        <v>21</v>
      </c>
      <c r="E771" s="74">
        <v>22</v>
      </c>
      <c r="F771" s="74">
        <v>23</v>
      </c>
      <c r="G771" s="74">
        <v>24</v>
      </c>
      <c r="H771" s="73">
        <v>25</v>
      </c>
      <c r="I771" s="122"/>
      <c r="J771" s="118">
        <f t="shared" ref="J771" si="2697">V762</f>
        <v>1</v>
      </c>
      <c r="K771" s="69">
        <f t="shared" ref="K771" si="2698">W762</f>
        <v>1</v>
      </c>
      <c r="L771" s="69">
        <f t="shared" ref="L771" si="2699">X762</f>
        <v>0</v>
      </c>
      <c r="M771" s="69">
        <f t="shared" ref="M771" si="2700">Y762</f>
        <v>1</v>
      </c>
      <c r="N771" s="69">
        <f t="shared" ref="N771" si="2701">Z762</f>
        <v>0</v>
      </c>
      <c r="O771" s="119">
        <f t="shared" ref="O771" si="2702">AA762</f>
        <v>1</v>
      </c>
      <c r="P771" s="122"/>
      <c r="Q771" s="21"/>
      <c r="R771" s="21"/>
      <c r="S771" s="21"/>
      <c r="T771" s="21"/>
      <c r="U771" s="21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21"/>
      <c r="BC771" s="21"/>
      <c r="BD771" s="21"/>
      <c r="BE771" s="21"/>
    </row>
    <row r="772" spans="1:57" x14ac:dyDescent="0.25">
      <c r="A772" s="21"/>
      <c r="B772" s="64"/>
      <c r="C772" s="75">
        <v>24</v>
      </c>
      <c r="D772" s="74">
        <v>25</v>
      </c>
      <c r="E772" s="74">
        <v>26</v>
      </c>
      <c r="F772" s="74">
        <v>27</v>
      </c>
      <c r="G772" s="74">
        <v>28</v>
      </c>
      <c r="H772" s="73">
        <v>29</v>
      </c>
      <c r="I772" s="122"/>
      <c r="J772" s="118">
        <f t="shared" ref="J772" si="2703">Z762</f>
        <v>0</v>
      </c>
      <c r="K772" s="69">
        <f t="shared" ref="K772" si="2704">AA762</f>
        <v>1</v>
      </c>
      <c r="L772" s="69">
        <f t="shared" ref="L772" si="2705">AB762</f>
        <v>1</v>
      </c>
      <c r="M772" s="69">
        <f t="shared" ref="M772" si="2706">AC762</f>
        <v>0</v>
      </c>
      <c r="N772" s="69">
        <f t="shared" ref="N772" si="2707">AD762</f>
        <v>0</v>
      </c>
      <c r="O772" s="119">
        <f t="shared" ref="O772" si="2708">AE762</f>
        <v>1</v>
      </c>
      <c r="P772" s="122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21"/>
      <c r="BC772" s="21"/>
      <c r="BD772" s="21"/>
      <c r="BE772" s="21"/>
    </row>
    <row r="773" spans="1:57" x14ac:dyDescent="0.25">
      <c r="A773" s="21"/>
      <c r="B773" s="64"/>
      <c r="C773" s="75">
        <v>28</v>
      </c>
      <c r="D773" s="74">
        <v>29</v>
      </c>
      <c r="E773" s="74">
        <v>30</v>
      </c>
      <c r="F773" s="74">
        <v>31</v>
      </c>
      <c r="G773" s="74">
        <v>32</v>
      </c>
      <c r="H773" s="73">
        <v>1</v>
      </c>
      <c r="I773" s="122"/>
      <c r="J773" s="70">
        <f>AD762</f>
        <v>0</v>
      </c>
      <c r="K773" s="71">
        <f>AE762</f>
        <v>1</v>
      </c>
      <c r="L773" s="71">
        <f>AF762</f>
        <v>0</v>
      </c>
      <c r="M773" s="71">
        <f>AG762</f>
        <v>1</v>
      </c>
      <c r="N773" s="71">
        <f>AH762</f>
        <v>1</v>
      </c>
      <c r="O773" s="121">
        <f>C762</f>
        <v>0</v>
      </c>
      <c r="P773" s="122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21"/>
      <c r="BC773" s="21"/>
      <c r="BD773" s="21"/>
      <c r="BE773" s="21"/>
    </row>
    <row r="774" spans="1:57" x14ac:dyDescent="0.25">
      <c r="A774" s="21"/>
      <c r="B774" s="64"/>
      <c r="C774" s="62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21"/>
      <c r="BC774" s="21"/>
      <c r="BD774" s="21"/>
      <c r="BE774" s="21"/>
    </row>
    <row r="775" spans="1:57" x14ac:dyDescent="0.25">
      <c r="A775" s="21"/>
      <c r="B775" s="64"/>
      <c r="C775" s="62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21"/>
      <c r="BC775" s="21"/>
      <c r="BD775" s="21"/>
      <c r="BE775" s="21"/>
    </row>
    <row r="776" spans="1:57" x14ac:dyDescent="0.25">
      <c r="A776" s="124" t="s">
        <v>533</v>
      </c>
      <c r="B776" s="124"/>
      <c r="C776" s="125">
        <v>1</v>
      </c>
      <c r="D776" s="126">
        <v>2</v>
      </c>
      <c r="E776" s="125">
        <v>3</v>
      </c>
      <c r="F776" s="126">
        <v>4</v>
      </c>
      <c r="G776" s="125">
        <v>5</v>
      </c>
      <c r="H776" s="126">
        <v>6</v>
      </c>
      <c r="I776" s="125">
        <v>7</v>
      </c>
      <c r="J776" s="126">
        <v>8</v>
      </c>
      <c r="K776" s="125">
        <v>9</v>
      </c>
      <c r="L776" s="126">
        <v>10</v>
      </c>
      <c r="M776" s="125">
        <v>11</v>
      </c>
      <c r="N776" s="126">
        <v>12</v>
      </c>
      <c r="O776" s="125">
        <v>13</v>
      </c>
      <c r="P776" s="126">
        <v>14</v>
      </c>
      <c r="Q776" s="125">
        <v>15</v>
      </c>
      <c r="R776" s="126">
        <v>16</v>
      </c>
      <c r="S776" s="125">
        <v>17</v>
      </c>
      <c r="T776" s="126">
        <v>18</v>
      </c>
      <c r="U776" s="125">
        <v>19</v>
      </c>
      <c r="V776" s="126">
        <v>20</v>
      </c>
      <c r="W776" s="125">
        <v>21</v>
      </c>
      <c r="X776" s="126">
        <v>22</v>
      </c>
      <c r="Y776" s="125">
        <v>23</v>
      </c>
      <c r="Z776" s="126">
        <v>24</v>
      </c>
      <c r="AA776" s="125">
        <v>25</v>
      </c>
      <c r="AB776" s="126">
        <v>26</v>
      </c>
      <c r="AC776" s="125">
        <v>27</v>
      </c>
      <c r="AD776" s="126">
        <v>28</v>
      </c>
      <c r="AE776" s="125">
        <v>29</v>
      </c>
      <c r="AF776" s="126">
        <v>30</v>
      </c>
      <c r="AG776" s="125">
        <v>31</v>
      </c>
      <c r="AH776" s="126">
        <v>32</v>
      </c>
      <c r="AI776" s="125">
        <v>33</v>
      </c>
      <c r="AJ776" s="126">
        <v>34</v>
      </c>
      <c r="AK776" s="125">
        <v>35</v>
      </c>
      <c r="AL776" s="126">
        <v>36</v>
      </c>
      <c r="AM776" s="125">
        <v>37</v>
      </c>
      <c r="AN776" s="126">
        <v>38</v>
      </c>
      <c r="AO776" s="125">
        <v>39</v>
      </c>
      <c r="AP776" s="126">
        <v>40</v>
      </c>
      <c r="AQ776" s="125">
        <v>41</v>
      </c>
      <c r="AR776" s="126">
        <v>42</v>
      </c>
      <c r="AS776" s="125">
        <v>43</v>
      </c>
      <c r="AT776" s="126">
        <v>44</v>
      </c>
      <c r="AU776" s="125">
        <v>45</v>
      </c>
      <c r="AV776" s="126">
        <v>46</v>
      </c>
      <c r="AW776" s="125">
        <v>47</v>
      </c>
      <c r="AX776" s="126">
        <v>48</v>
      </c>
      <c r="AY776" s="21"/>
      <c r="AZ776" s="21"/>
      <c r="BA776" s="21"/>
      <c r="BB776" s="21"/>
      <c r="BC776" s="21"/>
      <c r="BD776" s="21"/>
      <c r="BE776" s="21"/>
    </row>
    <row r="777" spans="1:57" x14ac:dyDescent="0.25">
      <c r="A777" s="21"/>
      <c r="B777" s="64"/>
      <c r="C777" s="125">
        <f t="shared" ref="C777" si="2709">J766</f>
        <v>1</v>
      </c>
      <c r="D777" s="125">
        <f t="shared" ref="D777" si="2710">K766</f>
        <v>0</v>
      </c>
      <c r="E777" s="125">
        <f t="shared" ref="E777" si="2711">L766</f>
        <v>0</v>
      </c>
      <c r="F777" s="125">
        <f t="shared" ref="F777" si="2712">M766</f>
        <v>0</v>
      </c>
      <c r="G777" s="126">
        <f t="shared" ref="G777" si="2713">N766</f>
        <v>0</v>
      </c>
      <c r="H777" s="126">
        <f t="shared" ref="H777" si="2714">O766</f>
        <v>0</v>
      </c>
      <c r="I777" s="125">
        <f t="shared" ref="I777" si="2715">J767</f>
        <v>0</v>
      </c>
      <c r="J777" s="125">
        <f t="shared" ref="J777" si="2716">K767</f>
        <v>0</v>
      </c>
      <c r="K777" s="125">
        <f t="shared" ref="K777" si="2717">L767</f>
        <v>0</v>
      </c>
      <c r="L777" s="125">
        <f t="shared" ref="L777" si="2718">M767</f>
        <v>0</v>
      </c>
      <c r="M777" s="125">
        <f t="shared" ref="M777" si="2719">N767</f>
        <v>0</v>
      </c>
      <c r="N777" s="125">
        <f t="shared" ref="N777" si="2720">O767</f>
        <v>1</v>
      </c>
      <c r="O777" s="126">
        <f t="shared" ref="O777" si="2721">J768</f>
        <v>0</v>
      </c>
      <c r="P777" s="126">
        <f t="shared" ref="P777" si="2722">K768</f>
        <v>1</v>
      </c>
      <c r="Q777" s="126">
        <f t="shared" ref="Q777" si="2723">L768</f>
        <v>0</v>
      </c>
      <c r="R777" s="126">
        <f t="shared" ref="R777" si="2724">M768</f>
        <v>0</v>
      </c>
      <c r="S777" s="126">
        <f t="shared" ref="S777" si="2725">N768</f>
        <v>1</v>
      </c>
      <c r="T777" s="126">
        <f t="shared" ref="T777" si="2726">O768</f>
        <v>0</v>
      </c>
      <c r="U777" s="125">
        <f t="shared" ref="U777" si="2727">J769</f>
        <v>1</v>
      </c>
      <c r="V777" s="126">
        <f t="shared" ref="V777" si="2728">K769</f>
        <v>0</v>
      </c>
      <c r="W777" s="125">
        <f t="shared" ref="W777" si="2729">L769</f>
        <v>1</v>
      </c>
      <c r="X777" s="126">
        <f t="shared" ref="X777" si="2730">M769</f>
        <v>0</v>
      </c>
      <c r="Y777" s="125">
        <f t="shared" ref="Y777" si="2731">N769</f>
        <v>0</v>
      </c>
      <c r="Z777" s="126">
        <f t="shared" ref="Z777" si="2732">O769</f>
        <v>0</v>
      </c>
      <c r="AA777" s="125">
        <f t="shared" ref="AA777" si="2733">J770</f>
        <v>0</v>
      </c>
      <c r="AB777" s="126">
        <f t="shared" ref="AB777" si="2734">K770</f>
        <v>0</v>
      </c>
      <c r="AC777" s="125">
        <f>L770</f>
        <v>1</v>
      </c>
      <c r="AD777" s="126">
        <f t="shared" ref="AD777" si="2735">M770</f>
        <v>1</v>
      </c>
      <c r="AE777" s="125">
        <f t="shared" ref="AE777" si="2736">N770</f>
        <v>1</v>
      </c>
      <c r="AF777" s="126">
        <f t="shared" ref="AF777" si="2737">O770</f>
        <v>1</v>
      </c>
      <c r="AG777" s="125">
        <f t="shared" ref="AG777" si="2738">J771</f>
        <v>1</v>
      </c>
      <c r="AH777" s="126">
        <f t="shared" ref="AH777" si="2739">K771</f>
        <v>1</v>
      </c>
      <c r="AI777" s="125">
        <f t="shared" ref="AI777" si="2740">L771</f>
        <v>0</v>
      </c>
      <c r="AJ777" s="126">
        <f t="shared" ref="AJ777" si="2741">M771</f>
        <v>1</v>
      </c>
      <c r="AK777" s="125">
        <f t="shared" ref="AK777" si="2742">N771</f>
        <v>0</v>
      </c>
      <c r="AL777" s="126">
        <f t="shared" ref="AL777" si="2743">O771</f>
        <v>1</v>
      </c>
      <c r="AM777" s="125">
        <f t="shared" ref="AM777" si="2744">J772</f>
        <v>0</v>
      </c>
      <c r="AN777" s="126">
        <f t="shared" ref="AN777" si="2745">K772</f>
        <v>1</v>
      </c>
      <c r="AO777" s="125">
        <f t="shared" ref="AO777" si="2746">L772</f>
        <v>1</v>
      </c>
      <c r="AP777" s="126">
        <f t="shared" ref="AP777" si="2747">M772</f>
        <v>0</v>
      </c>
      <c r="AQ777" s="125">
        <f t="shared" ref="AQ777" si="2748">N772</f>
        <v>0</v>
      </c>
      <c r="AR777" s="126">
        <f t="shared" ref="AR777" si="2749">O772</f>
        <v>1</v>
      </c>
      <c r="AS777" s="125">
        <f t="shared" ref="AS777" si="2750">J773</f>
        <v>0</v>
      </c>
      <c r="AT777" s="126">
        <f t="shared" ref="AT777" si="2751">K773</f>
        <v>1</v>
      </c>
      <c r="AU777" s="125">
        <f t="shared" ref="AU777" si="2752">L773</f>
        <v>0</v>
      </c>
      <c r="AV777" s="126">
        <f t="shared" ref="AV777" si="2753">M773</f>
        <v>1</v>
      </c>
      <c r="AW777" s="125">
        <f t="shared" ref="AW777" si="2754">N773</f>
        <v>1</v>
      </c>
      <c r="AX777" s="126">
        <f t="shared" ref="AX777" si="2755">O773</f>
        <v>0</v>
      </c>
      <c r="AY777" s="21"/>
      <c r="AZ777" s="21"/>
      <c r="BA777" s="21"/>
      <c r="BB777" s="21"/>
      <c r="BC777" s="21"/>
      <c r="BD777" s="21"/>
      <c r="BE777" s="21"/>
    </row>
    <row r="778" spans="1:57" x14ac:dyDescent="0.25">
      <c r="A778" s="21"/>
      <c r="B778" s="64"/>
      <c r="C778" s="62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21"/>
      <c r="BC778" s="21"/>
      <c r="BD778" s="21"/>
      <c r="BE778" s="21"/>
    </row>
    <row r="779" spans="1:57" x14ac:dyDescent="0.25">
      <c r="A779" s="21"/>
      <c r="B779" s="64"/>
      <c r="C779" s="62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21"/>
      <c r="BC779" s="21"/>
      <c r="BD779" s="21"/>
      <c r="BE779" s="21"/>
    </row>
    <row r="780" spans="1:57" x14ac:dyDescent="0.25">
      <c r="A780" s="127" t="s">
        <v>534</v>
      </c>
      <c r="B780" s="127"/>
      <c r="C780" s="77">
        <f>'Key Generator'!D66</f>
        <v>1</v>
      </c>
      <c r="D780" s="77">
        <f>'Key Generator'!E66</f>
        <v>2</v>
      </c>
      <c r="E780" s="77">
        <f>'Key Generator'!F66</f>
        <v>3</v>
      </c>
      <c r="F780" s="77">
        <f>'Key Generator'!G66</f>
        <v>4</v>
      </c>
      <c r="G780" s="77">
        <f>'Key Generator'!H66</f>
        <v>5</v>
      </c>
      <c r="H780" s="77">
        <f>'Key Generator'!I66</f>
        <v>6</v>
      </c>
      <c r="I780" s="77">
        <f>'Key Generator'!J66</f>
        <v>7</v>
      </c>
      <c r="J780" s="77">
        <f>'Key Generator'!K66</f>
        <v>8</v>
      </c>
      <c r="K780" s="77">
        <f>'Key Generator'!L66</f>
        <v>9</v>
      </c>
      <c r="L780" s="77">
        <f>'Key Generator'!M66</f>
        <v>10</v>
      </c>
      <c r="M780" s="77">
        <f>'Key Generator'!N66</f>
        <v>11</v>
      </c>
      <c r="N780" s="77">
        <f>'Key Generator'!O66</f>
        <v>12</v>
      </c>
      <c r="O780" s="77">
        <f>'Key Generator'!P66</f>
        <v>13</v>
      </c>
      <c r="P780" s="77">
        <f>'Key Generator'!Q66</f>
        <v>14</v>
      </c>
      <c r="Q780" s="77">
        <f>'Key Generator'!R66</f>
        <v>15</v>
      </c>
      <c r="R780" s="77">
        <f>'Key Generator'!S66</f>
        <v>16</v>
      </c>
      <c r="S780" s="77">
        <f>'Key Generator'!T66</f>
        <v>17</v>
      </c>
      <c r="T780" s="77">
        <f>'Key Generator'!U66</f>
        <v>18</v>
      </c>
      <c r="U780" s="77">
        <f>'Key Generator'!V66</f>
        <v>19</v>
      </c>
      <c r="V780" s="77">
        <f>'Key Generator'!W66</f>
        <v>20</v>
      </c>
      <c r="W780" s="77">
        <f>'Key Generator'!X66</f>
        <v>21</v>
      </c>
      <c r="X780" s="77">
        <f>'Key Generator'!Y66</f>
        <v>22</v>
      </c>
      <c r="Y780" s="77">
        <f>'Key Generator'!Z66</f>
        <v>23</v>
      </c>
      <c r="Z780" s="77">
        <f>'Key Generator'!AA66</f>
        <v>24</v>
      </c>
      <c r="AA780" s="77">
        <f>'Key Generator'!AB66</f>
        <v>25</v>
      </c>
      <c r="AB780" s="77">
        <f>'Key Generator'!AC66</f>
        <v>26</v>
      </c>
      <c r="AC780" s="77">
        <f>'Key Generator'!AD66</f>
        <v>27</v>
      </c>
      <c r="AD780" s="77">
        <f>'Key Generator'!AE66</f>
        <v>28</v>
      </c>
      <c r="AE780" s="77">
        <f>'Key Generator'!AF66</f>
        <v>29</v>
      </c>
      <c r="AF780" s="77">
        <f>'Key Generator'!AG66</f>
        <v>30</v>
      </c>
      <c r="AG780" s="77">
        <f>'Key Generator'!AH66</f>
        <v>31</v>
      </c>
      <c r="AH780" s="77">
        <f>'Key Generator'!AI66</f>
        <v>32</v>
      </c>
      <c r="AI780" s="77">
        <f>'Key Generator'!AJ66</f>
        <v>33</v>
      </c>
      <c r="AJ780" s="77">
        <f>'Key Generator'!AK66</f>
        <v>34</v>
      </c>
      <c r="AK780" s="77">
        <f>'Key Generator'!AL66</f>
        <v>35</v>
      </c>
      <c r="AL780" s="77">
        <f>'Key Generator'!AM66</f>
        <v>36</v>
      </c>
      <c r="AM780" s="77">
        <f>'Key Generator'!AN66</f>
        <v>37</v>
      </c>
      <c r="AN780" s="77">
        <f>'Key Generator'!AO66</f>
        <v>38</v>
      </c>
      <c r="AO780" s="77">
        <f>'Key Generator'!AP66</f>
        <v>39</v>
      </c>
      <c r="AP780" s="77">
        <f>'Key Generator'!AQ66</f>
        <v>40</v>
      </c>
      <c r="AQ780" s="77">
        <f>'Key Generator'!AR66</f>
        <v>41</v>
      </c>
      <c r="AR780" s="77">
        <f>'Key Generator'!AS66</f>
        <v>42</v>
      </c>
      <c r="AS780" s="77">
        <f>'Key Generator'!AT66</f>
        <v>43</v>
      </c>
      <c r="AT780" s="77">
        <f>'Key Generator'!AU66</f>
        <v>44</v>
      </c>
      <c r="AU780" s="77">
        <f>'Key Generator'!AV66</f>
        <v>45</v>
      </c>
      <c r="AV780" s="77">
        <f>'Key Generator'!AW66</f>
        <v>46</v>
      </c>
      <c r="AW780" s="77">
        <f>'Key Generator'!AX66</f>
        <v>47</v>
      </c>
      <c r="AX780" s="77">
        <f>'Key Generator'!AY66</f>
        <v>48</v>
      </c>
      <c r="AY780" s="21"/>
      <c r="AZ780" s="21"/>
      <c r="BA780" s="21"/>
      <c r="BB780" s="21"/>
      <c r="BC780" s="21"/>
      <c r="BD780" s="21"/>
      <c r="BE780" s="21"/>
    </row>
    <row r="781" spans="1:57" x14ac:dyDescent="0.25">
      <c r="A781" s="21"/>
      <c r="B781" s="64"/>
      <c r="C781" s="77">
        <f>'Key Generator'!D67</f>
        <v>0</v>
      </c>
      <c r="D781" s="77">
        <f>'Key Generator'!E67</f>
        <v>1</v>
      </c>
      <c r="E781" s="77">
        <f>'Key Generator'!F67</f>
        <v>0</v>
      </c>
      <c r="F781" s="77">
        <f>'Key Generator'!G67</f>
        <v>1</v>
      </c>
      <c r="G781" s="77">
        <f>'Key Generator'!H67</f>
        <v>0</v>
      </c>
      <c r="H781" s="77">
        <f>'Key Generator'!I67</f>
        <v>0</v>
      </c>
      <c r="I781" s="77">
        <f>'Key Generator'!J67</f>
        <v>0</v>
      </c>
      <c r="J781" s="77">
        <f>'Key Generator'!K67</f>
        <v>0</v>
      </c>
      <c r="K781" s="77">
        <f>'Key Generator'!L67</f>
        <v>1</v>
      </c>
      <c r="L781" s="77">
        <f>'Key Generator'!M67</f>
        <v>0</v>
      </c>
      <c r="M781" s="77">
        <f>'Key Generator'!N67</f>
        <v>1</v>
      </c>
      <c r="N781" s="77">
        <f>'Key Generator'!O67</f>
        <v>0</v>
      </c>
      <c r="O781" s="77">
        <f>'Key Generator'!P67</f>
        <v>1</v>
      </c>
      <c r="P781" s="77">
        <f>'Key Generator'!Q67</f>
        <v>0</v>
      </c>
      <c r="Q781" s="77">
        <f>'Key Generator'!R67</f>
        <v>0</v>
      </c>
      <c r="R781" s="77">
        <f>'Key Generator'!S67</f>
        <v>0</v>
      </c>
      <c r="S781" s="77">
        <f>'Key Generator'!T67</f>
        <v>0</v>
      </c>
      <c r="T781" s="77">
        <f>'Key Generator'!U67</f>
        <v>0</v>
      </c>
      <c r="U781" s="77">
        <f>'Key Generator'!V67</f>
        <v>0</v>
      </c>
      <c r="V781" s="77">
        <f>'Key Generator'!W67</f>
        <v>1</v>
      </c>
      <c r="W781" s="77">
        <f>'Key Generator'!X67</f>
        <v>1</v>
      </c>
      <c r="X781" s="77">
        <f>'Key Generator'!Y67</f>
        <v>1</v>
      </c>
      <c r="Y781" s="77">
        <f>'Key Generator'!Z67</f>
        <v>0</v>
      </c>
      <c r="Z781" s="77">
        <f>'Key Generator'!AA67</f>
        <v>0</v>
      </c>
      <c r="AA781" s="77">
        <f>'Key Generator'!AB67</f>
        <v>1</v>
      </c>
      <c r="AB781" s="77">
        <f>'Key Generator'!AC67</f>
        <v>1</v>
      </c>
      <c r="AC781" s="77">
        <f>'Key Generator'!AD67</f>
        <v>1</v>
      </c>
      <c r="AD781" s="77">
        <f>'Key Generator'!AE67</f>
        <v>1</v>
      </c>
      <c r="AE781" s="77">
        <f>'Key Generator'!AF67</f>
        <v>1</v>
      </c>
      <c r="AF781" s="77">
        <f>'Key Generator'!AG67</f>
        <v>1</v>
      </c>
      <c r="AG781" s="77">
        <f>'Key Generator'!AH67</f>
        <v>1</v>
      </c>
      <c r="AH781" s="77">
        <f>'Key Generator'!AI67</f>
        <v>0</v>
      </c>
      <c r="AI781" s="77">
        <f>'Key Generator'!AJ67</f>
        <v>0</v>
      </c>
      <c r="AJ781" s="77">
        <f>'Key Generator'!AK67</f>
        <v>1</v>
      </c>
      <c r="AK781" s="77">
        <f>'Key Generator'!AL67</f>
        <v>1</v>
      </c>
      <c r="AL781" s="77">
        <f>'Key Generator'!AM67</f>
        <v>0</v>
      </c>
      <c r="AM781" s="77">
        <f>'Key Generator'!AN67</f>
        <v>1</v>
      </c>
      <c r="AN781" s="77">
        <f>'Key Generator'!AO67</f>
        <v>1</v>
      </c>
      <c r="AO781" s="77">
        <f>'Key Generator'!AP67</f>
        <v>1</v>
      </c>
      <c r="AP781" s="77">
        <f>'Key Generator'!AQ67</f>
        <v>0</v>
      </c>
      <c r="AQ781" s="77">
        <f>'Key Generator'!AR67</f>
        <v>0</v>
      </c>
      <c r="AR781" s="77">
        <f>'Key Generator'!AS67</f>
        <v>0</v>
      </c>
      <c r="AS781" s="77">
        <f>'Key Generator'!AT67</f>
        <v>0</v>
      </c>
      <c r="AT781" s="77">
        <f>'Key Generator'!AU67</f>
        <v>1</v>
      </c>
      <c r="AU781" s="77">
        <f>'Key Generator'!AV67</f>
        <v>0</v>
      </c>
      <c r="AV781" s="77">
        <f>'Key Generator'!AW67</f>
        <v>0</v>
      </c>
      <c r="AW781" s="77">
        <f>'Key Generator'!AX67</f>
        <v>0</v>
      </c>
      <c r="AX781" s="77">
        <f>'Key Generator'!AY67</f>
        <v>1</v>
      </c>
      <c r="AY781" s="21"/>
      <c r="AZ781" s="21"/>
      <c r="BA781" s="21"/>
      <c r="BB781" s="21"/>
      <c r="BC781" s="21"/>
      <c r="BD781" s="21"/>
      <c r="BE781" s="21"/>
    </row>
    <row r="782" spans="1:57" x14ac:dyDescent="0.25">
      <c r="A782" s="21"/>
      <c r="B782" s="64"/>
      <c r="C782" s="62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21"/>
      <c r="BC782" s="21"/>
      <c r="BD782" s="21"/>
      <c r="BE782" s="21"/>
    </row>
    <row r="783" spans="1:57" x14ac:dyDescent="0.25">
      <c r="A783" s="21"/>
      <c r="B783" s="64"/>
      <c r="C783" s="62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21"/>
      <c r="BC783" s="21"/>
      <c r="BD783" s="21"/>
      <c r="BE783" s="21"/>
    </row>
    <row r="784" spans="1:57" x14ac:dyDescent="0.25">
      <c r="A784" s="128" t="s">
        <v>535</v>
      </c>
      <c r="B784" s="129"/>
      <c r="C784" s="79">
        <v>1</v>
      </c>
      <c r="D784" s="80">
        <v>2</v>
      </c>
      <c r="E784" s="79">
        <v>3</v>
      </c>
      <c r="F784" s="80">
        <v>4</v>
      </c>
      <c r="G784" s="79">
        <v>5</v>
      </c>
      <c r="H784" s="80">
        <v>6</v>
      </c>
      <c r="I784" s="79">
        <v>7</v>
      </c>
      <c r="J784" s="80">
        <v>8</v>
      </c>
      <c r="K784" s="79">
        <v>9</v>
      </c>
      <c r="L784" s="80">
        <v>10</v>
      </c>
      <c r="M784" s="79">
        <v>11</v>
      </c>
      <c r="N784" s="80">
        <v>12</v>
      </c>
      <c r="O784" s="79">
        <v>13</v>
      </c>
      <c r="P784" s="80">
        <v>14</v>
      </c>
      <c r="Q784" s="79">
        <v>15</v>
      </c>
      <c r="R784" s="80">
        <v>16</v>
      </c>
      <c r="S784" s="79">
        <v>17</v>
      </c>
      <c r="T784" s="80">
        <v>18</v>
      </c>
      <c r="U784" s="79">
        <v>19</v>
      </c>
      <c r="V784" s="80">
        <v>20</v>
      </c>
      <c r="W784" s="79">
        <v>21</v>
      </c>
      <c r="X784" s="80">
        <v>22</v>
      </c>
      <c r="Y784" s="79">
        <v>23</v>
      </c>
      <c r="Z784" s="80">
        <v>24</v>
      </c>
      <c r="AA784" s="79">
        <v>25</v>
      </c>
      <c r="AB784" s="80">
        <v>26</v>
      </c>
      <c r="AC784" s="79">
        <v>27</v>
      </c>
      <c r="AD784" s="80">
        <v>28</v>
      </c>
      <c r="AE784" s="79">
        <v>29</v>
      </c>
      <c r="AF784" s="80">
        <v>30</v>
      </c>
      <c r="AG784" s="79">
        <v>31</v>
      </c>
      <c r="AH784" s="80">
        <v>32</v>
      </c>
      <c r="AI784" s="79">
        <v>33</v>
      </c>
      <c r="AJ784" s="80">
        <v>34</v>
      </c>
      <c r="AK784" s="79">
        <v>35</v>
      </c>
      <c r="AL784" s="80">
        <v>36</v>
      </c>
      <c r="AM784" s="79">
        <v>37</v>
      </c>
      <c r="AN784" s="80">
        <v>38</v>
      </c>
      <c r="AO784" s="79">
        <v>39</v>
      </c>
      <c r="AP784" s="80">
        <v>40</v>
      </c>
      <c r="AQ784" s="79">
        <v>41</v>
      </c>
      <c r="AR784" s="80">
        <v>42</v>
      </c>
      <c r="AS784" s="79">
        <v>43</v>
      </c>
      <c r="AT784" s="80">
        <v>44</v>
      </c>
      <c r="AU784" s="79">
        <v>45</v>
      </c>
      <c r="AV784" s="80">
        <v>46</v>
      </c>
      <c r="AW784" s="79">
        <v>47</v>
      </c>
      <c r="AX784" s="80">
        <v>48</v>
      </c>
      <c r="AY784" s="21"/>
      <c r="AZ784" s="21"/>
      <c r="BA784" s="21"/>
      <c r="BB784" s="21"/>
      <c r="BC784" s="21"/>
      <c r="BD784" s="21"/>
      <c r="BE784" s="21"/>
    </row>
    <row r="785" spans="1:57" x14ac:dyDescent="0.25">
      <c r="A785" s="21"/>
      <c r="B785" s="64"/>
      <c r="C785" s="88">
        <f>--_xlfn.XOR(C777,'Key Generator'!D67)</f>
        <v>1</v>
      </c>
      <c r="D785" s="88">
        <f>--_xlfn.XOR(D777,'Key Generator'!E67)</f>
        <v>1</v>
      </c>
      <c r="E785" s="88">
        <f>--_xlfn.XOR(E777,'Key Generator'!F67)</f>
        <v>0</v>
      </c>
      <c r="F785" s="88">
        <f>--_xlfn.XOR(F777,'Key Generator'!G67)</f>
        <v>1</v>
      </c>
      <c r="G785" s="88">
        <f>--_xlfn.XOR(G777,'Key Generator'!H67)</f>
        <v>0</v>
      </c>
      <c r="H785" s="88">
        <f>--_xlfn.XOR(H777,'Key Generator'!I67)</f>
        <v>0</v>
      </c>
      <c r="I785" s="87">
        <f>--_xlfn.XOR(I777,'Key Generator'!J67)</f>
        <v>0</v>
      </c>
      <c r="J785" s="87">
        <f>--_xlfn.XOR(J777,'Key Generator'!K67)</f>
        <v>0</v>
      </c>
      <c r="K785" s="87">
        <f>--_xlfn.XOR(K777,'Key Generator'!L67)</f>
        <v>1</v>
      </c>
      <c r="L785" s="87">
        <f>--_xlfn.XOR(L777,'Key Generator'!M67)</f>
        <v>0</v>
      </c>
      <c r="M785" s="87">
        <f>--_xlfn.XOR(M777,'Key Generator'!N67)</f>
        <v>1</v>
      </c>
      <c r="N785" s="87">
        <f>--_xlfn.XOR(N777,'Key Generator'!O67)</f>
        <v>1</v>
      </c>
      <c r="O785" s="89">
        <f>--_xlfn.XOR(O777,'Key Generator'!P67)</f>
        <v>1</v>
      </c>
      <c r="P785" s="89">
        <f>--_xlfn.XOR(P777,'Key Generator'!Q67)</f>
        <v>1</v>
      </c>
      <c r="Q785" s="89">
        <f>--_xlfn.XOR(Q777,'Key Generator'!R67)</f>
        <v>0</v>
      </c>
      <c r="R785" s="89">
        <f>--_xlfn.XOR(R777,'Key Generator'!S67)</f>
        <v>0</v>
      </c>
      <c r="S785" s="89">
        <f>--_xlfn.XOR(S777,'Key Generator'!T67)</f>
        <v>1</v>
      </c>
      <c r="T785" s="89">
        <f>--_xlfn.XOR(T777,'Key Generator'!U67)</f>
        <v>0</v>
      </c>
      <c r="U785" s="149">
        <f>--_xlfn.XOR(U777,'Key Generator'!V67)</f>
        <v>1</v>
      </c>
      <c r="V785" s="149">
        <f>--_xlfn.XOR(V777,'Key Generator'!W67)</f>
        <v>1</v>
      </c>
      <c r="W785" s="149">
        <f>--_xlfn.XOR(W777,'Key Generator'!X67)</f>
        <v>0</v>
      </c>
      <c r="X785" s="149">
        <f>--_xlfn.XOR(X777,'Key Generator'!Y67)</f>
        <v>1</v>
      </c>
      <c r="Y785" s="149">
        <f>--_xlfn.XOR(Y777,'Key Generator'!Z67)</f>
        <v>0</v>
      </c>
      <c r="Z785" s="149">
        <f>--_xlfn.XOR(Z777,'Key Generator'!AA67)</f>
        <v>0</v>
      </c>
      <c r="AA785" s="91">
        <f>--_xlfn.XOR(AA777,'Key Generator'!AB67)</f>
        <v>1</v>
      </c>
      <c r="AB785" s="91">
        <f>--_xlfn.XOR(AB777,'Key Generator'!AC67)</f>
        <v>1</v>
      </c>
      <c r="AC785" s="91">
        <f>--_xlfn.XOR(AC777,'Key Generator'!AD67)</f>
        <v>0</v>
      </c>
      <c r="AD785" s="91">
        <f>--_xlfn.XOR(AD777,'Key Generator'!AE67)</f>
        <v>0</v>
      </c>
      <c r="AE785" s="91">
        <f>--_xlfn.XOR(AE777,'Key Generator'!AF67)</f>
        <v>0</v>
      </c>
      <c r="AF785" s="91">
        <f>--_xlfn.XOR(AF777,'Key Generator'!AG67)</f>
        <v>0</v>
      </c>
      <c r="AG785" s="92">
        <f>--_xlfn.XOR(AG777,'Key Generator'!AH67)</f>
        <v>0</v>
      </c>
      <c r="AH785" s="92">
        <f>--_xlfn.XOR(AH777,'Key Generator'!AI67)</f>
        <v>1</v>
      </c>
      <c r="AI785" s="92">
        <f>--_xlfn.XOR(AI777,'Key Generator'!AJ67)</f>
        <v>0</v>
      </c>
      <c r="AJ785" s="92">
        <f>--_xlfn.XOR(AJ777,'Key Generator'!AK67)</f>
        <v>0</v>
      </c>
      <c r="AK785" s="92">
        <f>--_xlfn.XOR(AK777,'Key Generator'!AL67)</f>
        <v>1</v>
      </c>
      <c r="AL785" s="92">
        <f>--_xlfn.XOR(AL777,'Key Generator'!AM67)</f>
        <v>1</v>
      </c>
      <c r="AM785" s="86">
        <f>--_xlfn.XOR(AM777,'Key Generator'!AN67)</f>
        <v>1</v>
      </c>
      <c r="AN785" s="86">
        <f>--_xlfn.XOR(AN777,'Key Generator'!AO67)</f>
        <v>0</v>
      </c>
      <c r="AO785" s="86">
        <f>--_xlfn.XOR(AO777,'Key Generator'!AP67)</f>
        <v>0</v>
      </c>
      <c r="AP785" s="86">
        <f>--_xlfn.XOR(AP777,'Key Generator'!AQ67)</f>
        <v>0</v>
      </c>
      <c r="AQ785" s="86">
        <f>--_xlfn.XOR(AQ777,'Key Generator'!AR67)</f>
        <v>0</v>
      </c>
      <c r="AR785" s="86">
        <f>--_xlfn.XOR(AR777,'Key Generator'!AS67)</f>
        <v>1</v>
      </c>
      <c r="AS785" s="81">
        <f>--_xlfn.XOR(AS777,'Key Generator'!AT67)</f>
        <v>0</v>
      </c>
      <c r="AT785" s="81">
        <f>--_xlfn.XOR(AT777,'Key Generator'!AU67)</f>
        <v>0</v>
      </c>
      <c r="AU785" s="81">
        <f>--_xlfn.XOR(AU777,'Key Generator'!AV67)</f>
        <v>0</v>
      </c>
      <c r="AV785" s="81">
        <f>--_xlfn.XOR(AV777,'Key Generator'!AW67)</f>
        <v>1</v>
      </c>
      <c r="AW785" s="81">
        <f>--_xlfn.XOR(AW777,'Key Generator'!AX67)</f>
        <v>1</v>
      </c>
      <c r="AX785" s="81">
        <f>--_xlfn.XOR(AX777,'Key Generator'!AY67)</f>
        <v>1</v>
      </c>
      <c r="AY785" s="21"/>
      <c r="AZ785" s="21"/>
      <c r="BA785" s="21"/>
      <c r="BB785" s="21"/>
      <c r="BC785" s="21"/>
      <c r="BD785" s="21"/>
      <c r="BE785" s="21"/>
    </row>
    <row r="786" spans="1:57" x14ac:dyDescent="0.25">
      <c r="A786" s="21"/>
      <c r="B786" s="64"/>
      <c r="C786" s="93"/>
      <c r="D786" s="94"/>
      <c r="E786" s="94"/>
      <c r="F786" s="94"/>
      <c r="G786" s="94"/>
      <c r="H786" s="94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21"/>
      <c r="BC786" s="21"/>
      <c r="BD786" s="21"/>
      <c r="BE786" s="21"/>
    </row>
    <row r="787" spans="1:57" x14ac:dyDescent="0.25">
      <c r="A787" s="96" t="s">
        <v>545</v>
      </c>
      <c r="B787" s="97"/>
      <c r="C787" s="161">
        <f>D785*8+E785*4+F785*2+G785</f>
        <v>10</v>
      </c>
      <c r="D787" s="97" t="s">
        <v>536</v>
      </c>
      <c r="E787" s="97"/>
      <c r="F787" s="97"/>
      <c r="G787" s="97"/>
      <c r="H787" s="97"/>
      <c r="I787" s="161">
        <f>J785*8+K785*4+L785*2+M785</f>
        <v>5</v>
      </c>
      <c r="J787" s="97" t="s">
        <v>537</v>
      </c>
      <c r="K787" s="97"/>
      <c r="L787" s="97"/>
      <c r="M787" s="97"/>
      <c r="N787" s="97"/>
      <c r="O787" s="161">
        <f>P785*8+Q785*4+R785*2+S785</f>
        <v>9</v>
      </c>
      <c r="P787" s="97" t="s">
        <v>538</v>
      </c>
      <c r="Q787" s="97"/>
      <c r="R787" s="97"/>
      <c r="S787" s="97"/>
      <c r="T787" s="97"/>
      <c r="U787" s="161">
        <f>V785*8+W785*4+X785*2+Y785</f>
        <v>10</v>
      </c>
      <c r="V787" s="97" t="s">
        <v>539</v>
      </c>
      <c r="W787" s="97"/>
      <c r="X787" s="97"/>
      <c r="Y787" s="97"/>
      <c r="Z787" s="97"/>
      <c r="AA787" s="161">
        <f>AB785*8+AC785*4+AD785*2+AE785</f>
        <v>8</v>
      </c>
      <c r="AB787" s="97" t="s">
        <v>540</v>
      </c>
      <c r="AC787" s="97"/>
      <c r="AD787" s="97"/>
      <c r="AE787" s="97"/>
      <c r="AF787" s="97"/>
      <c r="AG787" s="161">
        <f>AH785*8+AI785*4+AJ785*2+AK785</f>
        <v>9</v>
      </c>
      <c r="AH787" s="97" t="s">
        <v>541</v>
      </c>
      <c r="AI787" s="97"/>
      <c r="AJ787" s="97"/>
      <c r="AK787" s="97"/>
      <c r="AL787" s="97"/>
      <c r="AM787" s="161">
        <f>AN785*8+AO785*4+AP785*2+AQ785</f>
        <v>0</v>
      </c>
      <c r="AN787" s="97" t="s">
        <v>542</v>
      </c>
      <c r="AO787" s="97"/>
      <c r="AP787" s="97"/>
      <c r="AQ787" s="97"/>
      <c r="AR787" s="97"/>
      <c r="AS787" s="161">
        <f>AT785*8+AU785*4+AV785*2+AW785</f>
        <v>3</v>
      </c>
      <c r="AT787" s="97" t="s">
        <v>543</v>
      </c>
      <c r="AU787" s="97"/>
      <c r="AV787" s="97"/>
      <c r="AW787" s="97"/>
      <c r="AX787" s="97"/>
      <c r="AY787" s="97"/>
      <c r="AZ787" s="97"/>
      <c r="BA787" s="97"/>
      <c r="BB787" s="97"/>
      <c r="BC787" s="97"/>
      <c r="BD787" s="97"/>
      <c r="BE787" s="97"/>
    </row>
    <row r="788" spans="1:57" x14ac:dyDescent="0.25">
      <c r="A788" s="100" t="s">
        <v>546</v>
      </c>
      <c r="B788" s="99"/>
      <c r="C788" s="87">
        <f>C785*2+H785</f>
        <v>2</v>
      </c>
      <c r="D788" s="98"/>
      <c r="E788" s="98"/>
      <c r="F788" s="99"/>
      <c r="G788" s="99"/>
      <c r="H788" s="99"/>
      <c r="I788" s="87">
        <f>I785*2+N785</f>
        <v>1</v>
      </c>
      <c r="J788" s="99"/>
      <c r="K788" s="99"/>
      <c r="L788" s="99"/>
      <c r="M788" s="99"/>
      <c r="N788" s="99"/>
      <c r="O788" s="87">
        <f>O785*2+T785</f>
        <v>2</v>
      </c>
      <c r="P788" s="99"/>
      <c r="Q788" s="99"/>
      <c r="R788" s="99"/>
      <c r="S788" s="99"/>
      <c r="T788" s="99"/>
      <c r="U788" s="87">
        <f>U785*2+Z785</f>
        <v>2</v>
      </c>
      <c r="V788" s="99"/>
      <c r="W788" s="99"/>
      <c r="X788" s="99"/>
      <c r="Y788" s="99"/>
      <c r="Z788" s="99"/>
      <c r="AA788" s="87">
        <f>AA785*2+AF785</f>
        <v>2</v>
      </c>
      <c r="AB788" s="99"/>
      <c r="AC788" s="99"/>
      <c r="AD788" s="99"/>
      <c r="AE788" s="99"/>
      <c r="AF788" s="99"/>
      <c r="AG788" s="87">
        <f>AG785*2+AL785</f>
        <v>1</v>
      </c>
      <c r="AH788" s="99"/>
      <c r="AI788" s="99"/>
      <c r="AJ788" s="99"/>
      <c r="AK788" s="99"/>
      <c r="AL788" s="99"/>
      <c r="AM788" s="87">
        <f>AM785*2+AR785</f>
        <v>3</v>
      </c>
      <c r="AN788" s="99"/>
      <c r="AO788" s="99"/>
      <c r="AP788" s="99"/>
      <c r="AQ788" s="99"/>
      <c r="AR788" s="99"/>
      <c r="AS788" s="87">
        <f>AS785*2+AX785</f>
        <v>1</v>
      </c>
      <c r="AT788" s="99"/>
      <c r="AU788" s="99"/>
      <c r="AV788" s="99"/>
      <c r="AW788" s="99"/>
      <c r="AX788" s="99"/>
      <c r="AY788" s="99"/>
      <c r="AZ788" s="99"/>
      <c r="BA788" s="99"/>
      <c r="BB788" s="99"/>
      <c r="BC788" s="99"/>
      <c r="BD788" s="99"/>
      <c r="BE788" s="99"/>
    </row>
    <row r="789" spans="1:57" x14ac:dyDescent="0.25">
      <c r="A789" s="21"/>
      <c r="B789" s="64"/>
      <c r="C789" s="62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21"/>
      <c r="BC789" s="21"/>
      <c r="BD789" s="21"/>
      <c r="BE789" s="21"/>
    </row>
    <row r="790" spans="1:57" x14ac:dyDescent="0.25">
      <c r="A790" s="117" t="s">
        <v>547</v>
      </c>
      <c r="B790" s="64"/>
      <c r="C790" s="72">
        <f>INDEX('S-Box'!D3:S6,'DES-Dec'!C788+1,'DES-Dec'!C787+1)</f>
        <v>9</v>
      </c>
      <c r="D790" s="21"/>
      <c r="E790" s="21"/>
      <c r="F790" s="21"/>
      <c r="G790" s="21"/>
      <c r="H790" s="21"/>
      <c r="I790" s="168">
        <f>INDEX('S-Box'!D9:S12,'DES-Dec'!I788+1,'DES-Dec'!I787+1)</f>
        <v>2</v>
      </c>
      <c r="J790" s="21"/>
      <c r="K790" s="21"/>
      <c r="L790" s="21"/>
      <c r="M790" s="21"/>
      <c r="N790" s="21"/>
      <c r="O790" s="168">
        <f>INDEX('S-Box'!D15:S18,'DES-Dec'!O788+1,'DES-Dec'!O787+1)</f>
        <v>1</v>
      </c>
      <c r="P790" s="21"/>
      <c r="Q790" s="21"/>
      <c r="R790" s="21"/>
      <c r="S790" s="21"/>
      <c r="T790" s="21"/>
      <c r="U790" s="168">
        <f>INDEX('S-Box'!D21:S24,'DES-Dec'!U788+1,'DES-Dec'!U787+1)</f>
        <v>3</v>
      </c>
      <c r="V790" s="21"/>
      <c r="W790" s="21"/>
      <c r="X790" s="21"/>
      <c r="Y790" s="21"/>
      <c r="Z790" s="21"/>
      <c r="AA790" s="168">
        <f>INDEX('S-Box'!D27:S30,'DES-Dec'!AA788+1,'DES-Dec'!AA787+1)</f>
        <v>15</v>
      </c>
      <c r="AB790" s="21"/>
      <c r="AC790" s="21"/>
      <c r="AD790" s="21"/>
      <c r="AE790" s="21"/>
      <c r="AF790" s="21"/>
      <c r="AG790" s="168">
        <f>INDEX('S-Box'!D33:S36,'DES-Dec'!AG788+1,'DES-Dec'!AG787+1)</f>
        <v>1</v>
      </c>
      <c r="AH790" s="21"/>
      <c r="AI790" s="21"/>
      <c r="AJ790" s="21"/>
      <c r="AK790" s="21"/>
      <c r="AL790" s="21"/>
      <c r="AM790" s="168">
        <f>INDEX('S-Box'!D39:S42,'DES-Dec'!AM788+1,'DES-Dec'!AM787+1)</f>
        <v>6</v>
      </c>
      <c r="AN790" s="21"/>
      <c r="AO790" s="21"/>
      <c r="AP790" s="21"/>
      <c r="AQ790" s="21"/>
      <c r="AR790" s="21"/>
      <c r="AS790" s="168">
        <f>INDEX('S-Box'!D45:S48,'DES-Dec'!AS788+1,'DES-Dec'!AS787+1)</f>
        <v>8</v>
      </c>
      <c r="AT790" s="21"/>
      <c r="AU790" s="21"/>
      <c r="AV790" s="21"/>
      <c r="AW790" s="21"/>
      <c r="AX790" s="21"/>
      <c r="AY790" s="21"/>
      <c r="AZ790" s="21"/>
      <c r="BA790" s="21"/>
      <c r="BB790" s="21"/>
      <c r="BC790" s="21"/>
      <c r="BD790" s="21"/>
      <c r="BE790" s="21"/>
    </row>
    <row r="791" spans="1:57" x14ac:dyDescent="0.25">
      <c r="A791" s="21"/>
      <c r="B791" s="64"/>
      <c r="C791" s="104"/>
      <c r="D791" s="21"/>
      <c r="E791" s="21"/>
      <c r="F791" s="21"/>
      <c r="G791" s="21"/>
      <c r="H791" s="21"/>
      <c r="I791" s="95"/>
      <c r="J791" s="21"/>
      <c r="K791" s="21"/>
      <c r="L791" s="21"/>
      <c r="M791" s="21"/>
      <c r="N791" s="21"/>
      <c r="O791" s="95"/>
      <c r="P791" s="21"/>
      <c r="Q791" s="21"/>
      <c r="R791" s="21"/>
      <c r="S791" s="21"/>
      <c r="T791" s="21"/>
      <c r="U791" s="95"/>
      <c r="V791" s="21"/>
      <c r="W791" s="21"/>
      <c r="X791" s="21"/>
      <c r="Y791" s="21"/>
      <c r="Z791" s="21"/>
      <c r="AA791" s="95"/>
      <c r="AB791" s="21"/>
      <c r="AC791" s="21"/>
      <c r="AD791" s="21"/>
      <c r="AE791" s="21"/>
      <c r="AF791" s="21"/>
      <c r="AG791" s="95"/>
      <c r="AH791" s="21"/>
      <c r="AI791" s="21"/>
      <c r="AJ791" s="21"/>
      <c r="AK791" s="21"/>
      <c r="AL791" s="21"/>
      <c r="AM791" s="95"/>
      <c r="AN791" s="21"/>
      <c r="AO791" s="21"/>
      <c r="AP791" s="21"/>
      <c r="AQ791" s="21"/>
      <c r="AR791" s="21"/>
      <c r="AS791" s="95"/>
      <c r="AT791" s="21"/>
      <c r="AU791" s="21"/>
      <c r="AV791" s="21"/>
      <c r="AW791" s="21"/>
      <c r="AX791" s="21"/>
      <c r="AY791" s="21"/>
      <c r="AZ791" s="21"/>
      <c r="BA791" s="21"/>
      <c r="BB791" s="21"/>
      <c r="BC791" s="21"/>
      <c r="BD791" s="21"/>
      <c r="BE791" s="21"/>
    </row>
    <row r="792" spans="1:57" x14ac:dyDescent="0.25">
      <c r="A792" s="21"/>
      <c r="B792" s="64"/>
      <c r="C792" s="105" t="str">
        <f>MID(DEC2BIN(C790,4),1,1)</f>
        <v>1</v>
      </c>
      <c r="D792" s="106" t="str">
        <f>MID(DEC2BIN(C790,4),2,1)</f>
        <v>0</v>
      </c>
      <c r="E792" s="106" t="str">
        <f>MID(DEC2BIN(C790,4),3,1)</f>
        <v>0</v>
      </c>
      <c r="F792" s="107" t="str">
        <f>MID(DEC2BIN(C790,4),4,1)</f>
        <v>1</v>
      </c>
      <c r="G792" s="21"/>
      <c r="H792" s="21"/>
      <c r="I792" s="105" t="str">
        <f>MID(DEC2BIN(I790,4),1,1)</f>
        <v>0</v>
      </c>
      <c r="J792" s="106" t="str">
        <f>MID(DEC2BIN(I790,4),2,1)</f>
        <v>0</v>
      </c>
      <c r="K792" s="106" t="str">
        <f>MID(DEC2BIN(I790,4),3,1)</f>
        <v>1</v>
      </c>
      <c r="L792" s="107" t="str">
        <f>MID(DEC2BIN(I790,4),4,1)</f>
        <v>0</v>
      </c>
      <c r="M792" s="21"/>
      <c r="N792" s="21"/>
      <c r="O792" s="105" t="str">
        <f>MID(DEC2BIN(O790,4),1,1)</f>
        <v>0</v>
      </c>
      <c r="P792" s="106" t="str">
        <f>MID(DEC2BIN(O790,4),2,1)</f>
        <v>0</v>
      </c>
      <c r="Q792" s="106" t="str">
        <f>MID(DEC2BIN(O790,4),3,1)</f>
        <v>0</v>
      </c>
      <c r="R792" s="107" t="str">
        <f>MID(DEC2BIN(O790,4),4,1)</f>
        <v>1</v>
      </c>
      <c r="S792" s="21"/>
      <c r="T792" s="21"/>
      <c r="U792" s="105" t="str">
        <f>MID(DEC2BIN(U790,4),1,1)</f>
        <v>0</v>
      </c>
      <c r="V792" s="106" t="str">
        <f>MID(DEC2BIN(U790,4),2,1)</f>
        <v>0</v>
      </c>
      <c r="W792" s="106" t="str">
        <f>MID(DEC2BIN(U790,4),3,1)</f>
        <v>1</v>
      </c>
      <c r="X792" s="107" t="str">
        <f>MID(DEC2BIN(U790,4),4,1)</f>
        <v>1</v>
      </c>
      <c r="Y792" s="21"/>
      <c r="Z792" s="21"/>
      <c r="AA792" s="105" t="str">
        <f>MID(DEC2BIN(AA790,4),1,1)</f>
        <v>1</v>
      </c>
      <c r="AB792" s="106" t="str">
        <f>MID(DEC2BIN(AA790,4),2,1)</f>
        <v>1</v>
      </c>
      <c r="AC792" s="106" t="str">
        <f>MID(DEC2BIN(AA790,4),3,1)</f>
        <v>1</v>
      </c>
      <c r="AD792" s="107" t="str">
        <f>MID(DEC2BIN(AA790,4),4,1)</f>
        <v>1</v>
      </c>
      <c r="AE792" s="21"/>
      <c r="AF792" s="21"/>
      <c r="AG792" s="105" t="str">
        <f>MID(DEC2BIN(AG790,4),1,1)</f>
        <v>0</v>
      </c>
      <c r="AH792" s="106" t="str">
        <f>MID(DEC2BIN(AG790,4),2,1)</f>
        <v>0</v>
      </c>
      <c r="AI792" s="106" t="str">
        <f>MID(DEC2BIN(AG790,4),3,1)</f>
        <v>0</v>
      </c>
      <c r="AJ792" s="107" t="str">
        <f>MID(DEC2BIN(AG790,4),4,1)</f>
        <v>1</v>
      </c>
      <c r="AK792" s="21"/>
      <c r="AL792" s="21"/>
      <c r="AM792" s="105" t="str">
        <f>MID(DEC2BIN(AM790,4),1,1)</f>
        <v>0</v>
      </c>
      <c r="AN792" s="106" t="str">
        <f>MID(DEC2BIN(AM790,4),2,1)</f>
        <v>1</v>
      </c>
      <c r="AO792" s="106" t="str">
        <f>MID(DEC2BIN(AM790,4),3,1)</f>
        <v>1</v>
      </c>
      <c r="AP792" s="107" t="str">
        <f>MID(DEC2BIN(AM790,4),4,1)</f>
        <v>0</v>
      </c>
      <c r="AQ792" s="21"/>
      <c r="AR792" s="21"/>
      <c r="AS792" s="105" t="str">
        <f>MID(DEC2BIN(AS790,4),1,1)</f>
        <v>1</v>
      </c>
      <c r="AT792" s="106" t="str">
        <f>MID(DEC2BIN(AS790,4),2,1)</f>
        <v>0</v>
      </c>
      <c r="AU792" s="106" t="str">
        <f>MID(DEC2BIN(AS790,4),3,1)</f>
        <v>0</v>
      </c>
      <c r="AV792" s="107" t="str">
        <f>MID(DEC2BIN(AS790,4),4,1)</f>
        <v>0</v>
      </c>
      <c r="AW792" s="21"/>
      <c r="AX792" s="21"/>
      <c r="AY792" s="21"/>
      <c r="AZ792" s="21"/>
      <c r="BA792" s="21"/>
      <c r="BB792" s="21"/>
      <c r="BC792" s="21"/>
      <c r="BD792" s="21"/>
      <c r="BE792" s="21"/>
    </row>
    <row r="793" spans="1:57" s="21" customFormat="1" ht="24.95" customHeight="1" x14ac:dyDescent="0.25">
      <c r="B793" s="64"/>
      <c r="C793" s="21">
        <f>VALUE(C792)</f>
        <v>1</v>
      </c>
      <c r="D793" s="21">
        <f t="shared" ref="D793" si="2756">VALUE(D792)</f>
        <v>0</v>
      </c>
      <c r="E793" s="21">
        <f t="shared" ref="E793" si="2757">VALUE(E792)</f>
        <v>0</v>
      </c>
      <c r="F793" s="21">
        <f t="shared" ref="F793" si="2758">VALUE(F792)</f>
        <v>1</v>
      </c>
      <c r="I793" s="21">
        <f t="shared" ref="I793" si="2759">VALUE(I792)</f>
        <v>0</v>
      </c>
      <c r="J793" s="21">
        <f t="shared" ref="J793" si="2760">VALUE(J792)</f>
        <v>0</v>
      </c>
      <c r="K793" s="21">
        <f t="shared" ref="K793" si="2761">VALUE(K792)</f>
        <v>1</v>
      </c>
      <c r="L793" s="21">
        <f t="shared" ref="L793" si="2762">VALUE(L792)</f>
        <v>0</v>
      </c>
      <c r="O793" s="21">
        <f>VALUE(O792)</f>
        <v>0</v>
      </c>
      <c r="P793" s="21">
        <f t="shared" ref="P793" si="2763">VALUE(P792)</f>
        <v>0</v>
      </c>
      <c r="Q793" s="21">
        <f t="shared" ref="Q793" si="2764">VALUE(Q792)</f>
        <v>0</v>
      </c>
      <c r="R793" s="21">
        <f t="shared" ref="R793" si="2765">VALUE(R792)</f>
        <v>1</v>
      </c>
      <c r="U793" s="21">
        <f>VALUE(U792)</f>
        <v>0</v>
      </c>
      <c r="V793" s="21">
        <f t="shared" ref="V793" si="2766">VALUE(V792)</f>
        <v>0</v>
      </c>
      <c r="W793" s="21">
        <f t="shared" ref="W793" si="2767">VALUE(W792)</f>
        <v>1</v>
      </c>
      <c r="X793" s="21">
        <f t="shared" ref="X793" si="2768">VALUE(X792)</f>
        <v>1</v>
      </c>
      <c r="AA793" s="21">
        <f>VALUE(AA792)</f>
        <v>1</v>
      </c>
      <c r="AB793" s="21">
        <f t="shared" ref="AB793" si="2769">VALUE(AB792)</f>
        <v>1</v>
      </c>
      <c r="AC793" s="21">
        <f t="shared" ref="AC793" si="2770">VALUE(AC792)</f>
        <v>1</v>
      </c>
      <c r="AD793" s="21">
        <f t="shared" ref="AD793" si="2771">VALUE(AD792)</f>
        <v>1</v>
      </c>
      <c r="AG793" s="21">
        <f>VALUE(AG792)</f>
        <v>0</v>
      </c>
      <c r="AH793" s="21">
        <f t="shared" ref="AH793" si="2772">VALUE(AH792)</f>
        <v>0</v>
      </c>
      <c r="AI793" s="21">
        <f t="shared" ref="AI793" si="2773">VALUE(AI792)</f>
        <v>0</v>
      </c>
      <c r="AJ793" s="21">
        <f t="shared" ref="AJ793" si="2774">VALUE(AJ792)</f>
        <v>1</v>
      </c>
      <c r="AM793" s="21">
        <f>VALUE(AM792)</f>
        <v>0</v>
      </c>
      <c r="AN793" s="21">
        <f t="shared" ref="AN793" si="2775">VALUE(AN792)</f>
        <v>1</v>
      </c>
      <c r="AO793" s="21">
        <f t="shared" ref="AO793" si="2776">VALUE(AO792)</f>
        <v>1</v>
      </c>
      <c r="AP793" s="21">
        <f t="shared" ref="AP793" si="2777">VALUE(AP792)</f>
        <v>0</v>
      </c>
      <c r="AS793" s="21">
        <f>VALUE(AS792)</f>
        <v>1</v>
      </c>
      <c r="AT793" s="21">
        <f t="shared" ref="AT793" si="2778">VALUE(AT792)</f>
        <v>0</v>
      </c>
      <c r="AU793" s="21">
        <f t="shared" ref="AU793" si="2779">VALUE(AU792)</f>
        <v>0</v>
      </c>
      <c r="AV793" s="21">
        <f t="shared" ref="AV793" si="2780">VALUE(AV792)</f>
        <v>0</v>
      </c>
    </row>
    <row r="794" spans="1:57" s="21" customFormat="1" ht="24.95" customHeight="1" x14ac:dyDescent="0.25">
      <c r="A794" s="111" t="s">
        <v>588</v>
      </c>
      <c r="B794" s="111"/>
      <c r="C794" s="111">
        <v>1</v>
      </c>
      <c r="D794" s="76">
        <v>2</v>
      </c>
      <c r="E794" s="111">
        <v>3</v>
      </c>
      <c r="F794" s="76">
        <v>4</v>
      </c>
      <c r="G794" s="111">
        <v>5</v>
      </c>
      <c r="H794" s="76">
        <v>6</v>
      </c>
      <c r="I794" s="111">
        <v>7</v>
      </c>
      <c r="J794" s="76">
        <v>8</v>
      </c>
      <c r="K794" s="111">
        <v>9</v>
      </c>
      <c r="L794" s="76">
        <v>10</v>
      </c>
      <c r="M794" s="111">
        <v>11</v>
      </c>
      <c r="N794" s="76">
        <v>12</v>
      </c>
      <c r="O794" s="111">
        <v>13</v>
      </c>
      <c r="P794" s="76">
        <v>14</v>
      </c>
      <c r="Q794" s="111">
        <v>15</v>
      </c>
      <c r="R794" s="76">
        <v>16</v>
      </c>
      <c r="S794" s="111">
        <v>17</v>
      </c>
      <c r="T794" s="76">
        <v>18</v>
      </c>
      <c r="U794" s="111">
        <v>19</v>
      </c>
      <c r="V794" s="76">
        <v>20</v>
      </c>
      <c r="W794" s="111">
        <v>21</v>
      </c>
      <c r="X794" s="76">
        <v>22</v>
      </c>
      <c r="Y794" s="111">
        <v>23</v>
      </c>
      <c r="Z794" s="76">
        <v>24</v>
      </c>
      <c r="AA794" s="111">
        <v>25</v>
      </c>
      <c r="AB794" s="76">
        <v>26</v>
      </c>
      <c r="AC794" s="111">
        <v>27</v>
      </c>
      <c r="AD794" s="76">
        <v>28</v>
      </c>
      <c r="AE794" s="111">
        <v>29</v>
      </c>
      <c r="AF794" s="76">
        <v>30</v>
      </c>
      <c r="AG794" s="111">
        <v>31</v>
      </c>
      <c r="AH794" s="76">
        <v>32</v>
      </c>
    </row>
    <row r="795" spans="1:57" s="21" customFormat="1" ht="24.95" customHeight="1" x14ac:dyDescent="0.25">
      <c r="B795" s="64"/>
      <c r="C795" s="108">
        <f>C793</f>
        <v>1</v>
      </c>
      <c r="D795" s="108">
        <f t="shared" ref="D795:F795" si="2781">D793</f>
        <v>0</v>
      </c>
      <c r="E795" s="108">
        <f t="shared" si="2781"/>
        <v>0</v>
      </c>
      <c r="F795" s="108">
        <f t="shared" si="2781"/>
        <v>1</v>
      </c>
      <c r="G795" s="23">
        <f>I793</f>
        <v>0</v>
      </c>
      <c r="H795" s="23">
        <f t="shared" ref="H795" si="2782">J793</f>
        <v>0</v>
      </c>
      <c r="I795" s="23">
        <f t="shared" ref="I795" si="2783">K793</f>
        <v>1</v>
      </c>
      <c r="J795" s="23">
        <f t="shared" ref="J795" si="2784">L793</f>
        <v>0</v>
      </c>
      <c r="K795" s="23">
        <f>O793</f>
        <v>0</v>
      </c>
      <c r="L795" s="23">
        <f t="shared" ref="L795" si="2785">P793</f>
        <v>0</v>
      </c>
      <c r="M795" s="23">
        <f t="shared" ref="M795" si="2786">Q793</f>
        <v>0</v>
      </c>
      <c r="N795" s="23">
        <f t="shared" ref="N795" si="2787">R793</f>
        <v>1</v>
      </c>
      <c r="O795" s="23">
        <f>U793</f>
        <v>0</v>
      </c>
      <c r="P795" s="23">
        <f t="shared" ref="P795" si="2788">V793</f>
        <v>0</v>
      </c>
      <c r="Q795" s="23">
        <f t="shared" ref="Q795" si="2789">W793</f>
        <v>1</v>
      </c>
      <c r="R795" s="23">
        <f t="shared" ref="R795" si="2790">X793</f>
        <v>1</v>
      </c>
      <c r="S795" s="23">
        <f>AA793</f>
        <v>1</v>
      </c>
      <c r="T795" s="23">
        <f t="shared" ref="T795" si="2791">AB793</f>
        <v>1</v>
      </c>
      <c r="U795" s="23">
        <f t="shared" ref="U795" si="2792">AC793</f>
        <v>1</v>
      </c>
      <c r="V795" s="23">
        <f t="shared" ref="V795" si="2793">AD793</f>
        <v>1</v>
      </c>
      <c r="W795" s="23">
        <f>AG793</f>
        <v>0</v>
      </c>
      <c r="X795" s="23">
        <f t="shared" ref="X795" si="2794">AH793</f>
        <v>0</v>
      </c>
      <c r="Y795" s="23">
        <f t="shared" ref="Y795" si="2795">AI793</f>
        <v>0</v>
      </c>
      <c r="Z795" s="23">
        <f t="shared" ref="Z795" si="2796">AJ793</f>
        <v>1</v>
      </c>
      <c r="AA795" s="23">
        <f>AM793</f>
        <v>0</v>
      </c>
      <c r="AB795" s="23">
        <f t="shared" ref="AB795" si="2797">AN793</f>
        <v>1</v>
      </c>
      <c r="AC795" s="23">
        <f t="shared" ref="AC795" si="2798">AO793</f>
        <v>1</v>
      </c>
      <c r="AD795" s="23">
        <f t="shared" ref="AD795" si="2799">AP793</f>
        <v>0</v>
      </c>
      <c r="AE795" s="23">
        <f>AS793</f>
        <v>1</v>
      </c>
      <c r="AF795" s="23">
        <f t="shared" ref="AF795" si="2800">AT793</f>
        <v>0</v>
      </c>
      <c r="AG795" s="23">
        <f t="shared" ref="AG795" si="2801">AU793</f>
        <v>0</v>
      </c>
      <c r="AH795" s="23">
        <f t="shared" ref="AH795" si="2802">AV793</f>
        <v>0</v>
      </c>
    </row>
    <row r="796" spans="1:57" x14ac:dyDescent="0.25">
      <c r="A796" s="21"/>
      <c r="B796" s="64"/>
      <c r="C796" s="62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21"/>
      <c r="BC796" s="21"/>
      <c r="BD796" s="21"/>
      <c r="BE796" s="21"/>
    </row>
    <row r="797" spans="1:57" x14ac:dyDescent="0.25">
      <c r="A797" s="110" t="s">
        <v>548</v>
      </c>
      <c r="B797" s="110"/>
      <c r="C797" s="109">
        <v>16</v>
      </c>
      <c r="D797" s="110">
        <v>7</v>
      </c>
      <c r="E797" s="110">
        <v>20</v>
      </c>
      <c r="F797" s="110">
        <v>21</v>
      </c>
      <c r="G797" s="110">
        <v>29</v>
      </c>
      <c r="H797" s="110">
        <v>12</v>
      </c>
      <c r="I797" s="110">
        <v>28</v>
      </c>
      <c r="J797" s="110">
        <v>17</v>
      </c>
      <c r="K797" s="110">
        <v>1</v>
      </c>
      <c r="L797" s="110">
        <v>15</v>
      </c>
      <c r="M797" s="110">
        <v>23</v>
      </c>
      <c r="N797" s="110">
        <v>26</v>
      </c>
      <c r="O797" s="110">
        <v>5</v>
      </c>
      <c r="P797" s="110">
        <v>18</v>
      </c>
      <c r="Q797" s="110">
        <v>31</v>
      </c>
      <c r="R797" s="110">
        <v>10</v>
      </c>
      <c r="S797" s="110">
        <v>2</v>
      </c>
      <c r="T797" s="110">
        <v>8</v>
      </c>
      <c r="U797" s="110">
        <v>24</v>
      </c>
      <c r="V797" s="110">
        <v>14</v>
      </c>
      <c r="W797" s="110">
        <v>32</v>
      </c>
      <c r="X797" s="110">
        <v>27</v>
      </c>
      <c r="Y797" s="110">
        <v>3</v>
      </c>
      <c r="Z797" s="110">
        <v>9</v>
      </c>
      <c r="AA797" s="110">
        <v>19</v>
      </c>
      <c r="AB797" s="110">
        <v>13</v>
      </c>
      <c r="AC797" s="110">
        <v>30</v>
      </c>
      <c r="AD797" s="110">
        <v>6</v>
      </c>
      <c r="AE797" s="110">
        <v>22</v>
      </c>
      <c r="AF797" s="110">
        <v>11</v>
      </c>
      <c r="AG797" s="110">
        <v>4</v>
      </c>
      <c r="AH797" s="110">
        <v>25</v>
      </c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21"/>
      <c r="BC797" s="21"/>
      <c r="BD797" s="21"/>
      <c r="BE797" s="21"/>
    </row>
    <row r="798" spans="1:57" x14ac:dyDescent="0.25">
      <c r="A798" s="21"/>
      <c r="B798" s="64"/>
      <c r="C798" s="103">
        <f>K795</f>
        <v>0</v>
      </c>
      <c r="D798" s="103">
        <f>S795</f>
        <v>1</v>
      </c>
      <c r="E798" s="103">
        <f>Y795</f>
        <v>0</v>
      </c>
      <c r="F798" s="112">
        <f>AG795</f>
        <v>0</v>
      </c>
      <c r="G798" s="103">
        <f>O795</f>
        <v>0</v>
      </c>
      <c r="H798" s="103">
        <f>AD795</f>
        <v>0</v>
      </c>
      <c r="I798" s="103">
        <f>D795</f>
        <v>0</v>
      </c>
      <c r="J798" s="103">
        <f>T795</f>
        <v>1</v>
      </c>
      <c r="K798" s="103">
        <f>Z795</f>
        <v>1</v>
      </c>
      <c r="L798" s="103">
        <f>R795</f>
        <v>1</v>
      </c>
      <c r="M798" s="103">
        <f>AF795</f>
        <v>0</v>
      </c>
      <c r="N798" s="103">
        <f>H795</f>
        <v>0</v>
      </c>
      <c r="O798" s="103">
        <f>AB795</f>
        <v>1</v>
      </c>
      <c r="P798" s="103">
        <f>V795</f>
        <v>1</v>
      </c>
      <c r="Q798" s="103">
        <f>L795</f>
        <v>0</v>
      </c>
      <c r="R798" s="103">
        <f>C795</f>
        <v>1</v>
      </c>
      <c r="S798" s="103">
        <f>J795</f>
        <v>0</v>
      </c>
      <c r="T798" s="103">
        <f>P795</f>
        <v>0</v>
      </c>
      <c r="U798" s="103">
        <f>AA795</f>
        <v>0</v>
      </c>
      <c r="V798" s="103">
        <f>E795</f>
        <v>0</v>
      </c>
      <c r="W798" s="103">
        <f>F795</f>
        <v>1</v>
      </c>
      <c r="X798" s="103">
        <f>AE795</f>
        <v>1</v>
      </c>
      <c r="Y798" s="103">
        <f>M795</f>
        <v>0</v>
      </c>
      <c r="Z798" s="103">
        <f>U795</f>
        <v>1</v>
      </c>
      <c r="AA798" s="103">
        <f>AH795</f>
        <v>0</v>
      </c>
      <c r="AB798" s="103">
        <f>N795</f>
        <v>1</v>
      </c>
      <c r="AC798" s="103">
        <f>X795</f>
        <v>0</v>
      </c>
      <c r="AD798" s="103">
        <f>I795</f>
        <v>1</v>
      </c>
      <c r="AE798" s="103">
        <f>G795</f>
        <v>0</v>
      </c>
      <c r="AF798" s="103">
        <f>AC795</f>
        <v>1</v>
      </c>
      <c r="AG798" s="103">
        <f>Q795</f>
        <v>1</v>
      </c>
      <c r="AH798" s="103">
        <f>W795</f>
        <v>0</v>
      </c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21"/>
      <c r="BC798" s="21"/>
      <c r="BD798" s="21"/>
      <c r="BE798" s="21"/>
    </row>
    <row r="799" spans="1:57" x14ac:dyDescent="0.25">
      <c r="A799" s="21"/>
      <c r="B799" s="64"/>
      <c r="C799" s="130">
        <v>1</v>
      </c>
      <c r="D799" s="131">
        <v>2</v>
      </c>
      <c r="E799" s="130">
        <v>3</v>
      </c>
      <c r="F799" s="131">
        <v>4</v>
      </c>
      <c r="G799" s="130">
        <v>5</v>
      </c>
      <c r="H799" s="131">
        <v>6</v>
      </c>
      <c r="I799" s="130">
        <v>7</v>
      </c>
      <c r="J799" s="131">
        <v>8</v>
      </c>
      <c r="K799" s="130">
        <v>9</v>
      </c>
      <c r="L799" s="131">
        <v>10</v>
      </c>
      <c r="M799" s="130">
        <v>11</v>
      </c>
      <c r="N799" s="131">
        <v>12</v>
      </c>
      <c r="O799" s="130">
        <v>13</v>
      </c>
      <c r="P799" s="131">
        <v>14</v>
      </c>
      <c r="Q799" s="130">
        <v>15</v>
      </c>
      <c r="R799" s="131">
        <v>16</v>
      </c>
      <c r="S799" s="130">
        <v>17</v>
      </c>
      <c r="T799" s="131">
        <v>18</v>
      </c>
      <c r="U799" s="130">
        <v>19</v>
      </c>
      <c r="V799" s="131">
        <v>20</v>
      </c>
      <c r="W799" s="130">
        <v>21</v>
      </c>
      <c r="X799" s="131">
        <v>22</v>
      </c>
      <c r="Y799" s="130">
        <v>23</v>
      </c>
      <c r="Z799" s="131">
        <v>24</v>
      </c>
      <c r="AA799" s="130">
        <v>25</v>
      </c>
      <c r="AB799" s="131">
        <v>26</v>
      </c>
      <c r="AC799" s="130">
        <v>27</v>
      </c>
      <c r="AD799" s="131">
        <v>28</v>
      </c>
      <c r="AE799" s="130">
        <v>29</v>
      </c>
      <c r="AF799" s="131">
        <v>30</v>
      </c>
      <c r="AG799" s="130">
        <v>31</v>
      </c>
      <c r="AH799" s="131">
        <v>32</v>
      </c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21"/>
      <c r="BC799" s="21"/>
      <c r="BD799" s="21"/>
      <c r="BE799" s="21"/>
    </row>
    <row r="800" spans="1:57" x14ac:dyDescent="0.25">
      <c r="A800" s="21"/>
      <c r="B800" s="64"/>
      <c r="C800" s="62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21"/>
      <c r="BC800" s="21"/>
      <c r="BD800" s="21"/>
      <c r="BE800" s="21"/>
    </row>
    <row r="801" spans="1:66" x14ac:dyDescent="0.25">
      <c r="A801" s="21"/>
      <c r="B801" s="64"/>
      <c r="C801" s="62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21"/>
      <c r="BC801" s="21"/>
      <c r="BD801" s="21"/>
      <c r="BE801" s="21"/>
    </row>
    <row r="802" spans="1:66" x14ac:dyDescent="0.25">
      <c r="A802" s="21"/>
      <c r="B802" s="64"/>
      <c r="C802" s="62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21"/>
      <c r="BC802" s="21"/>
      <c r="BD802" s="21"/>
      <c r="BE802" s="21"/>
    </row>
    <row r="803" spans="1:66" x14ac:dyDescent="0.25">
      <c r="A803" s="114" t="s">
        <v>584</v>
      </c>
      <c r="B803" s="114"/>
      <c r="C803" s="114"/>
      <c r="D803" s="68">
        <v>1</v>
      </c>
      <c r="E803" s="68">
        <v>2</v>
      </c>
      <c r="F803" s="68">
        <v>3</v>
      </c>
      <c r="G803" s="68">
        <v>4</v>
      </c>
      <c r="H803" s="68">
        <v>5</v>
      </c>
      <c r="I803" s="68">
        <v>6</v>
      </c>
      <c r="J803" s="68">
        <v>7</v>
      </c>
      <c r="K803" s="68">
        <v>8</v>
      </c>
      <c r="L803" s="68">
        <v>9</v>
      </c>
      <c r="M803" s="68">
        <v>10</v>
      </c>
      <c r="N803" s="68">
        <v>11</v>
      </c>
      <c r="O803" s="68">
        <v>12</v>
      </c>
      <c r="P803" s="68">
        <v>13</v>
      </c>
      <c r="Q803" s="68">
        <v>14</v>
      </c>
      <c r="R803" s="68">
        <v>15</v>
      </c>
      <c r="S803" s="68">
        <v>16</v>
      </c>
      <c r="T803" s="68">
        <v>17</v>
      </c>
      <c r="U803" s="68">
        <v>18</v>
      </c>
      <c r="V803" s="68">
        <v>19</v>
      </c>
      <c r="W803" s="68">
        <v>20</v>
      </c>
      <c r="X803" s="68">
        <v>21</v>
      </c>
      <c r="Y803" s="68">
        <v>22</v>
      </c>
      <c r="Z803" s="68">
        <v>23</v>
      </c>
      <c r="AA803" s="68">
        <v>24</v>
      </c>
      <c r="AB803" s="68">
        <v>25</v>
      </c>
      <c r="AC803" s="68">
        <v>26</v>
      </c>
      <c r="AD803" s="68">
        <v>27</v>
      </c>
      <c r="AE803" s="68">
        <v>28</v>
      </c>
      <c r="AF803" s="68">
        <v>29</v>
      </c>
      <c r="AG803" s="68">
        <v>30</v>
      </c>
      <c r="AH803" s="68">
        <v>31</v>
      </c>
      <c r="AI803" s="68">
        <v>32</v>
      </c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21"/>
      <c r="BC803" s="21"/>
      <c r="BD803" s="21"/>
      <c r="BE803" s="21"/>
    </row>
    <row r="804" spans="1:66" x14ac:dyDescent="0.25">
      <c r="A804" s="64" t="s">
        <v>549</v>
      </c>
      <c r="B804" s="64"/>
      <c r="C804" s="62"/>
      <c r="D804" s="68">
        <f>C762</f>
        <v>0</v>
      </c>
      <c r="E804" s="68">
        <f t="shared" ref="E804" si="2803">D762</f>
        <v>0</v>
      </c>
      <c r="F804" s="68">
        <f t="shared" ref="F804" si="2804">E762</f>
        <v>0</v>
      </c>
      <c r="G804" s="68">
        <f t="shared" ref="G804" si="2805">F762</f>
        <v>0</v>
      </c>
      <c r="H804" s="68">
        <f t="shared" ref="H804" si="2806">G762</f>
        <v>0</v>
      </c>
      <c r="I804" s="68">
        <f t="shared" ref="I804" si="2807">H762</f>
        <v>0</v>
      </c>
      <c r="J804" s="68">
        <f t="shared" ref="J804" si="2808">I762</f>
        <v>0</v>
      </c>
      <c r="K804" s="68">
        <f t="shared" ref="K804" si="2809">J762</f>
        <v>0</v>
      </c>
      <c r="L804" s="68">
        <f t="shared" ref="L804" si="2810">K762</f>
        <v>1</v>
      </c>
      <c r="M804" s="68">
        <f t="shared" ref="M804" si="2811">L762</f>
        <v>0</v>
      </c>
      <c r="N804" s="68">
        <f t="shared" ref="N804" si="2812">M762</f>
        <v>0</v>
      </c>
      <c r="O804" s="68">
        <f t="shared" ref="O804" si="2813">N762</f>
        <v>1</v>
      </c>
      <c r="P804" s="68">
        <f t="shared" ref="P804" si="2814">O762</f>
        <v>0</v>
      </c>
      <c r="Q804" s="68">
        <f t="shared" ref="Q804" si="2815">P762</f>
        <v>1</v>
      </c>
      <c r="R804" s="68">
        <f t="shared" ref="R804" si="2816">Q762</f>
        <v>0</v>
      </c>
      <c r="S804" s="68">
        <f t="shared" ref="S804" si="2817">R762</f>
        <v>0</v>
      </c>
      <c r="T804" s="68">
        <f t="shared" ref="T804" si="2818">S762</f>
        <v>0</v>
      </c>
      <c r="U804" s="68">
        <f t="shared" ref="U804" si="2819">T762</f>
        <v>1</v>
      </c>
      <c r="V804" s="68">
        <f t="shared" ref="V804" si="2820">U762</f>
        <v>1</v>
      </c>
      <c r="W804" s="68">
        <f t="shared" ref="W804" si="2821">V762</f>
        <v>1</v>
      </c>
      <c r="X804" s="68">
        <f t="shared" ref="X804" si="2822">W762</f>
        <v>1</v>
      </c>
      <c r="Y804" s="68">
        <f t="shared" ref="Y804" si="2823">X762</f>
        <v>0</v>
      </c>
      <c r="Z804" s="68">
        <f t="shared" ref="Z804" si="2824">Y762</f>
        <v>1</v>
      </c>
      <c r="AA804" s="68">
        <f t="shared" ref="AA804" si="2825">Z762</f>
        <v>0</v>
      </c>
      <c r="AB804" s="68">
        <f t="shared" ref="AB804" si="2826">AA762</f>
        <v>1</v>
      </c>
      <c r="AC804" s="68">
        <f t="shared" ref="AC804" si="2827">AB762</f>
        <v>1</v>
      </c>
      <c r="AD804" s="68">
        <f t="shared" ref="AD804" si="2828">AC762</f>
        <v>0</v>
      </c>
      <c r="AE804" s="68">
        <f t="shared" ref="AE804" si="2829">AD762</f>
        <v>0</v>
      </c>
      <c r="AF804" s="68">
        <f t="shared" ref="AF804" si="2830">AE762</f>
        <v>1</v>
      </c>
      <c r="AG804" s="68">
        <f t="shared" ref="AG804" si="2831">AF762</f>
        <v>0</v>
      </c>
      <c r="AH804" s="68">
        <f t="shared" ref="AH804" si="2832">AG762</f>
        <v>1</v>
      </c>
      <c r="AI804" s="68">
        <f t="shared" ref="AI804" si="2833">AH762</f>
        <v>1</v>
      </c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21"/>
      <c r="BC804" s="21"/>
      <c r="BD804" s="21"/>
      <c r="BE804" s="21"/>
    </row>
    <row r="805" spans="1:66" x14ac:dyDescent="0.25">
      <c r="A805" s="21"/>
      <c r="B805" s="64"/>
      <c r="C805" s="62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21"/>
      <c r="BC805" s="21"/>
      <c r="BD805" s="21"/>
      <c r="BE805" s="21"/>
    </row>
    <row r="806" spans="1:66" x14ac:dyDescent="0.25">
      <c r="A806" s="114" t="s">
        <v>585</v>
      </c>
      <c r="B806" s="114"/>
      <c r="C806" s="114"/>
      <c r="D806" s="70">
        <v>1</v>
      </c>
      <c r="E806" s="70">
        <v>2</v>
      </c>
      <c r="F806" s="70">
        <v>3</v>
      </c>
      <c r="G806" s="70">
        <v>4</v>
      </c>
      <c r="H806" s="70">
        <v>5</v>
      </c>
      <c r="I806" s="70">
        <v>6</v>
      </c>
      <c r="J806" s="70">
        <v>7</v>
      </c>
      <c r="K806" s="70">
        <v>8</v>
      </c>
      <c r="L806" s="70">
        <v>9</v>
      </c>
      <c r="M806" s="70">
        <v>10</v>
      </c>
      <c r="N806" s="70">
        <v>11</v>
      </c>
      <c r="O806" s="70">
        <v>12</v>
      </c>
      <c r="P806" s="70">
        <v>13</v>
      </c>
      <c r="Q806" s="70">
        <v>14</v>
      </c>
      <c r="R806" s="70">
        <v>15</v>
      </c>
      <c r="S806" s="70">
        <v>16</v>
      </c>
      <c r="T806" s="70">
        <v>17</v>
      </c>
      <c r="U806" s="70">
        <v>18</v>
      </c>
      <c r="V806" s="70">
        <v>19</v>
      </c>
      <c r="W806" s="70">
        <v>20</v>
      </c>
      <c r="X806" s="70">
        <v>21</v>
      </c>
      <c r="Y806" s="70">
        <v>22</v>
      </c>
      <c r="Z806" s="70">
        <v>23</v>
      </c>
      <c r="AA806" s="70">
        <v>24</v>
      </c>
      <c r="AB806" s="70">
        <v>25</v>
      </c>
      <c r="AC806" s="70">
        <v>26</v>
      </c>
      <c r="AD806" s="70">
        <v>27</v>
      </c>
      <c r="AE806" s="70">
        <v>28</v>
      </c>
      <c r="AF806" s="70">
        <v>29</v>
      </c>
      <c r="AG806" s="70">
        <v>30</v>
      </c>
      <c r="AH806" s="70">
        <v>31</v>
      </c>
      <c r="AI806" s="70">
        <v>32</v>
      </c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21"/>
      <c r="BC806" s="21"/>
      <c r="BD806" s="21"/>
      <c r="BE806" s="21"/>
    </row>
    <row r="807" spans="1:66" x14ac:dyDescent="0.25">
      <c r="A807" s="64" t="s">
        <v>551</v>
      </c>
      <c r="B807" s="64"/>
      <c r="C807" s="62"/>
      <c r="D807" s="70">
        <f>--_xlfn.XOR(C798,D755)</f>
        <v>0</v>
      </c>
      <c r="E807" s="70">
        <f t="shared" ref="E807:AI807" si="2834">--_xlfn.XOR(D798,E755)</f>
        <v>0</v>
      </c>
      <c r="F807" s="70">
        <f t="shared" si="2834"/>
        <v>0</v>
      </c>
      <c r="G807" s="70">
        <f t="shared" si="2834"/>
        <v>0</v>
      </c>
      <c r="H807" s="70">
        <f t="shared" si="2834"/>
        <v>0</v>
      </c>
      <c r="I807" s="70">
        <f t="shared" si="2834"/>
        <v>0</v>
      </c>
      <c r="J807" s="70">
        <f t="shared" si="2834"/>
        <v>0</v>
      </c>
      <c r="K807" s="70">
        <f t="shared" si="2834"/>
        <v>0</v>
      </c>
      <c r="L807" s="70">
        <f t="shared" si="2834"/>
        <v>1</v>
      </c>
      <c r="M807" s="70">
        <f t="shared" si="2834"/>
        <v>1</v>
      </c>
      <c r="N807" s="70">
        <f t="shared" si="2834"/>
        <v>0</v>
      </c>
      <c r="O807" s="70">
        <f t="shared" si="2834"/>
        <v>0</v>
      </c>
      <c r="P807" s="70">
        <f t="shared" si="2834"/>
        <v>1</v>
      </c>
      <c r="Q807" s="70">
        <f t="shared" si="2834"/>
        <v>1</v>
      </c>
      <c r="R807" s="70">
        <f t="shared" si="2834"/>
        <v>1</v>
      </c>
      <c r="S807" s="70">
        <f t="shared" si="2834"/>
        <v>1</v>
      </c>
      <c r="T807" s="70">
        <f t="shared" si="2834"/>
        <v>0</v>
      </c>
      <c r="U807" s="70">
        <f t="shared" si="2834"/>
        <v>0</v>
      </c>
      <c r="V807" s="70">
        <f t="shared" si="2834"/>
        <v>0</v>
      </c>
      <c r="W807" s="70">
        <f t="shared" si="2834"/>
        <v>0</v>
      </c>
      <c r="X807" s="70">
        <f t="shared" si="2834"/>
        <v>0</v>
      </c>
      <c r="Y807" s="70">
        <f t="shared" si="2834"/>
        <v>1</v>
      </c>
      <c r="Z807" s="70">
        <f t="shared" si="2834"/>
        <v>0</v>
      </c>
      <c r="AA807" s="70">
        <f t="shared" si="2834"/>
        <v>0</v>
      </c>
      <c r="AB807" s="70">
        <f t="shared" si="2834"/>
        <v>1</v>
      </c>
      <c r="AC807" s="70">
        <f t="shared" si="2834"/>
        <v>1</v>
      </c>
      <c r="AD807" s="70">
        <f t="shared" si="2834"/>
        <v>0</v>
      </c>
      <c r="AE807" s="70">
        <f t="shared" si="2834"/>
        <v>0</v>
      </c>
      <c r="AF807" s="70">
        <f t="shared" si="2834"/>
        <v>1</v>
      </c>
      <c r="AG807" s="70">
        <f t="shared" si="2834"/>
        <v>0</v>
      </c>
      <c r="AH807" s="70">
        <f t="shared" si="2834"/>
        <v>1</v>
      </c>
      <c r="AI807" s="70">
        <f t="shared" si="2834"/>
        <v>1</v>
      </c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21"/>
      <c r="BC807" s="21"/>
      <c r="BD807" s="21"/>
      <c r="BE807" s="21"/>
    </row>
    <row r="808" spans="1:66" s="206" customFormat="1" x14ac:dyDescent="0.25">
      <c r="A808" s="132" t="s">
        <v>646</v>
      </c>
      <c r="B808" s="133"/>
      <c r="C808" s="134"/>
      <c r="D808" s="132"/>
      <c r="E808" s="132"/>
      <c r="F808" s="132"/>
      <c r="G808" s="132"/>
      <c r="H808" s="132"/>
      <c r="I808" s="132"/>
      <c r="J808" s="132"/>
      <c r="K808" s="132"/>
      <c r="L808" s="132"/>
      <c r="M808" s="132"/>
      <c r="N808" s="132"/>
      <c r="O808" s="132"/>
      <c r="P808" s="132"/>
      <c r="Q808" s="132"/>
      <c r="R808" s="132"/>
      <c r="S808" s="132"/>
      <c r="T808" s="132"/>
      <c r="U808" s="132"/>
      <c r="V808" s="132"/>
      <c r="W808" s="132"/>
      <c r="X808" s="132"/>
      <c r="Y808" s="132"/>
      <c r="Z808" s="132"/>
      <c r="AA808" s="132"/>
      <c r="AB808" s="132"/>
      <c r="AC808" s="132"/>
      <c r="AD808" s="132"/>
      <c r="AE808" s="132"/>
      <c r="AF808" s="132"/>
      <c r="AG808" s="132"/>
      <c r="AH808" s="132"/>
      <c r="AI808" s="132"/>
      <c r="AJ808" s="132"/>
      <c r="AK808" s="132"/>
      <c r="AL808" s="132"/>
      <c r="AM808" s="132"/>
      <c r="AN808" s="132"/>
      <c r="AO808" s="132"/>
      <c r="AP808" s="132"/>
      <c r="AQ808" s="132"/>
      <c r="AR808" s="132"/>
      <c r="AS808" s="132"/>
      <c r="AT808" s="132"/>
      <c r="AU808" s="132"/>
      <c r="AV808" s="132"/>
      <c r="AW808" s="132"/>
      <c r="AX808" s="132"/>
      <c r="AY808" s="132"/>
      <c r="AZ808" s="132"/>
      <c r="BA808" s="132"/>
      <c r="BB808" s="132"/>
      <c r="BC808" s="132"/>
      <c r="BD808" s="132"/>
      <c r="BE808" s="132"/>
    </row>
    <row r="809" spans="1:66" s="203" customFormat="1" x14ac:dyDescent="0.25">
      <c r="A809" s="122"/>
      <c r="B809" s="193"/>
      <c r="C809" s="194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  <c r="AH809" s="122"/>
      <c r="AI809" s="122"/>
      <c r="AJ809" s="122"/>
      <c r="AK809" s="122"/>
      <c r="AL809" s="122"/>
      <c r="AM809" s="122"/>
      <c r="AN809" s="122"/>
      <c r="AO809" s="122"/>
      <c r="AP809" s="122"/>
      <c r="AQ809" s="122"/>
      <c r="AR809" s="122"/>
      <c r="AS809" s="122"/>
      <c r="AT809" s="122"/>
      <c r="AU809" s="122"/>
      <c r="AV809" s="122"/>
      <c r="AW809" s="122"/>
      <c r="AX809" s="122"/>
      <c r="AY809" s="122"/>
      <c r="AZ809" s="122"/>
      <c r="BA809" s="122"/>
      <c r="BB809" s="122"/>
      <c r="BC809" s="122"/>
      <c r="BD809" s="122"/>
      <c r="BE809" s="122"/>
    </row>
    <row r="810" spans="1:66" s="203" customFormat="1" x14ac:dyDescent="0.25">
      <c r="A810" s="122"/>
      <c r="B810" s="193"/>
      <c r="C810" s="194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  <c r="AH810" s="122"/>
      <c r="AI810" s="122"/>
      <c r="AJ810" s="122"/>
      <c r="AK810" s="122"/>
      <c r="AL810" s="122"/>
      <c r="AM810" s="122"/>
      <c r="AN810" s="122"/>
      <c r="AO810" s="122"/>
      <c r="AP810" s="122"/>
      <c r="AQ810" s="122"/>
      <c r="AR810" s="122"/>
      <c r="AS810" s="122"/>
      <c r="AT810" s="122"/>
      <c r="AU810" s="122"/>
      <c r="AV810" s="122"/>
      <c r="AW810" s="122"/>
      <c r="AX810" s="122"/>
      <c r="AY810" s="122"/>
      <c r="AZ810" s="122"/>
      <c r="BA810" s="122"/>
      <c r="BB810" s="122"/>
      <c r="BC810" s="122"/>
      <c r="BD810" s="122"/>
      <c r="BE810" s="122"/>
    </row>
    <row r="811" spans="1:66" s="203" customFormat="1" x14ac:dyDescent="0.25">
      <c r="A811" s="122"/>
      <c r="B811" s="193"/>
      <c r="C811" s="207">
        <f>D803</f>
        <v>1</v>
      </c>
      <c r="D811" s="207">
        <f t="shared" ref="D811:AH811" si="2835">E803</f>
        <v>2</v>
      </c>
      <c r="E811" s="207">
        <f t="shared" si="2835"/>
        <v>3</v>
      </c>
      <c r="F811" s="207">
        <f t="shared" si="2835"/>
        <v>4</v>
      </c>
      <c r="G811" s="207">
        <f t="shared" si="2835"/>
        <v>5</v>
      </c>
      <c r="H811" s="207">
        <f t="shared" si="2835"/>
        <v>6</v>
      </c>
      <c r="I811" s="207">
        <f t="shared" si="2835"/>
        <v>7</v>
      </c>
      <c r="J811" s="207">
        <f t="shared" si="2835"/>
        <v>8</v>
      </c>
      <c r="K811" s="207">
        <f t="shared" si="2835"/>
        <v>9</v>
      </c>
      <c r="L811" s="207">
        <f t="shared" si="2835"/>
        <v>10</v>
      </c>
      <c r="M811" s="207">
        <f t="shared" si="2835"/>
        <v>11</v>
      </c>
      <c r="N811" s="207">
        <f t="shared" si="2835"/>
        <v>12</v>
      </c>
      <c r="O811" s="207">
        <f t="shared" si="2835"/>
        <v>13</v>
      </c>
      <c r="P811" s="207">
        <f t="shared" si="2835"/>
        <v>14</v>
      </c>
      <c r="Q811" s="207">
        <f t="shared" si="2835"/>
        <v>15</v>
      </c>
      <c r="R811" s="207">
        <f t="shared" si="2835"/>
        <v>16</v>
      </c>
      <c r="S811" s="207">
        <f t="shared" si="2835"/>
        <v>17</v>
      </c>
      <c r="T811" s="207">
        <f t="shared" si="2835"/>
        <v>18</v>
      </c>
      <c r="U811" s="207">
        <f t="shared" si="2835"/>
        <v>19</v>
      </c>
      <c r="V811" s="207">
        <f t="shared" si="2835"/>
        <v>20</v>
      </c>
      <c r="W811" s="207">
        <f t="shared" si="2835"/>
        <v>21</v>
      </c>
      <c r="X811" s="207">
        <f t="shared" si="2835"/>
        <v>22</v>
      </c>
      <c r="Y811" s="207">
        <f t="shared" si="2835"/>
        <v>23</v>
      </c>
      <c r="Z811" s="207">
        <f t="shared" si="2835"/>
        <v>24</v>
      </c>
      <c r="AA811" s="207">
        <f t="shared" si="2835"/>
        <v>25</v>
      </c>
      <c r="AB811" s="207">
        <f t="shared" si="2835"/>
        <v>26</v>
      </c>
      <c r="AC811" s="207">
        <f t="shared" si="2835"/>
        <v>27</v>
      </c>
      <c r="AD811" s="207">
        <f t="shared" si="2835"/>
        <v>28</v>
      </c>
      <c r="AE811" s="207">
        <f t="shared" si="2835"/>
        <v>29</v>
      </c>
      <c r="AF811" s="207">
        <f t="shared" si="2835"/>
        <v>30</v>
      </c>
      <c r="AG811" s="207">
        <f t="shared" si="2835"/>
        <v>31</v>
      </c>
      <c r="AH811" s="207">
        <f t="shared" si="2835"/>
        <v>32</v>
      </c>
      <c r="AI811" s="195">
        <f>AH811+1</f>
        <v>33</v>
      </c>
      <c r="AJ811" s="195">
        <f t="shared" ref="AJ811:BN811" si="2836">AI811+1</f>
        <v>34</v>
      </c>
      <c r="AK811" s="195">
        <f t="shared" si="2836"/>
        <v>35</v>
      </c>
      <c r="AL811" s="195">
        <f t="shared" si="2836"/>
        <v>36</v>
      </c>
      <c r="AM811" s="195">
        <f t="shared" si="2836"/>
        <v>37</v>
      </c>
      <c r="AN811" s="195">
        <f t="shared" si="2836"/>
        <v>38</v>
      </c>
      <c r="AO811" s="195">
        <f t="shared" si="2836"/>
        <v>39</v>
      </c>
      <c r="AP811" s="195">
        <f t="shared" si="2836"/>
        <v>40</v>
      </c>
      <c r="AQ811" s="195">
        <f t="shared" si="2836"/>
        <v>41</v>
      </c>
      <c r="AR811" s="195">
        <f t="shared" si="2836"/>
        <v>42</v>
      </c>
      <c r="AS811" s="195">
        <f t="shared" si="2836"/>
        <v>43</v>
      </c>
      <c r="AT811" s="195">
        <f t="shared" si="2836"/>
        <v>44</v>
      </c>
      <c r="AU811" s="195">
        <f t="shared" si="2836"/>
        <v>45</v>
      </c>
      <c r="AV811" s="195">
        <f t="shared" si="2836"/>
        <v>46</v>
      </c>
      <c r="AW811" s="195">
        <f t="shared" si="2836"/>
        <v>47</v>
      </c>
      <c r="AX811" s="195">
        <f t="shared" si="2836"/>
        <v>48</v>
      </c>
      <c r="AY811" s="195">
        <f t="shared" si="2836"/>
        <v>49</v>
      </c>
      <c r="AZ811" s="195">
        <f t="shared" si="2836"/>
        <v>50</v>
      </c>
      <c r="BA811" s="195">
        <f t="shared" si="2836"/>
        <v>51</v>
      </c>
      <c r="BB811" s="195">
        <f t="shared" si="2836"/>
        <v>52</v>
      </c>
      <c r="BC811" s="195">
        <f t="shared" si="2836"/>
        <v>53</v>
      </c>
      <c r="BD811" s="195">
        <f t="shared" si="2836"/>
        <v>54</v>
      </c>
      <c r="BE811" s="195">
        <f t="shared" si="2836"/>
        <v>55</v>
      </c>
      <c r="BF811" s="195">
        <f t="shared" si="2836"/>
        <v>56</v>
      </c>
      <c r="BG811" s="195">
        <f t="shared" si="2836"/>
        <v>57</v>
      </c>
      <c r="BH811" s="195">
        <f t="shared" si="2836"/>
        <v>58</v>
      </c>
      <c r="BI811" s="195">
        <f t="shared" si="2836"/>
        <v>59</v>
      </c>
      <c r="BJ811" s="195">
        <f t="shared" si="2836"/>
        <v>60</v>
      </c>
      <c r="BK811" s="195">
        <f t="shared" si="2836"/>
        <v>61</v>
      </c>
      <c r="BL811" s="195">
        <f t="shared" si="2836"/>
        <v>62</v>
      </c>
      <c r="BM811" s="195">
        <f t="shared" si="2836"/>
        <v>63</v>
      </c>
      <c r="BN811" s="195">
        <f t="shared" si="2836"/>
        <v>64</v>
      </c>
    </row>
    <row r="812" spans="1:66" s="203" customFormat="1" x14ac:dyDescent="0.25">
      <c r="A812" s="122"/>
      <c r="B812" s="193"/>
      <c r="C812" s="207">
        <f>D807</f>
        <v>0</v>
      </c>
      <c r="D812" s="207">
        <f t="shared" ref="D812:AH812" si="2837">E807</f>
        <v>0</v>
      </c>
      <c r="E812" s="207">
        <f t="shared" si="2837"/>
        <v>0</v>
      </c>
      <c r="F812" s="207">
        <f t="shared" si="2837"/>
        <v>0</v>
      </c>
      <c r="G812" s="207">
        <f t="shared" si="2837"/>
        <v>0</v>
      </c>
      <c r="H812" s="207">
        <f t="shared" si="2837"/>
        <v>0</v>
      </c>
      <c r="I812" s="207">
        <f t="shared" si="2837"/>
        <v>0</v>
      </c>
      <c r="J812" s="207">
        <f t="shared" si="2837"/>
        <v>0</v>
      </c>
      <c r="K812" s="207">
        <f t="shared" si="2837"/>
        <v>1</v>
      </c>
      <c r="L812" s="207">
        <f t="shared" si="2837"/>
        <v>1</v>
      </c>
      <c r="M812" s="207">
        <f t="shared" si="2837"/>
        <v>0</v>
      </c>
      <c r="N812" s="207">
        <f t="shared" si="2837"/>
        <v>0</v>
      </c>
      <c r="O812" s="207">
        <f t="shared" si="2837"/>
        <v>1</v>
      </c>
      <c r="P812" s="207">
        <f t="shared" si="2837"/>
        <v>1</v>
      </c>
      <c r="Q812" s="207">
        <f t="shared" si="2837"/>
        <v>1</v>
      </c>
      <c r="R812" s="207">
        <f t="shared" si="2837"/>
        <v>1</v>
      </c>
      <c r="S812" s="207">
        <f t="shared" si="2837"/>
        <v>0</v>
      </c>
      <c r="T812" s="207">
        <f t="shared" si="2837"/>
        <v>0</v>
      </c>
      <c r="U812" s="207">
        <f t="shared" si="2837"/>
        <v>0</v>
      </c>
      <c r="V812" s="207">
        <f t="shared" si="2837"/>
        <v>0</v>
      </c>
      <c r="W812" s="207">
        <f t="shared" si="2837"/>
        <v>0</v>
      </c>
      <c r="X812" s="207">
        <f t="shared" si="2837"/>
        <v>1</v>
      </c>
      <c r="Y812" s="207">
        <f t="shared" si="2837"/>
        <v>0</v>
      </c>
      <c r="Z812" s="207">
        <f t="shared" si="2837"/>
        <v>0</v>
      </c>
      <c r="AA812" s="207">
        <f t="shared" si="2837"/>
        <v>1</v>
      </c>
      <c r="AB812" s="207">
        <f t="shared" si="2837"/>
        <v>1</v>
      </c>
      <c r="AC812" s="207">
        <f t="shared" si="2837"/>
        <v>0</v>
      </c>
      <c r="AD812" s="207">
        <f t="shared" si="2837"/>
        <v>0</v>
      </c>
      <c r="AE812" s="207">
        <f t="shared" si="2837"/>
        <v>1</v>
      </c>
      <c r="AF812" s="207">
        <f t="shared" si="2837"/>
        <v>0</v>
      </c>
      <c r="AG812" s="207">
        <f t="shared" si="2837"/>
        <v>1</v>
      </c>
      <c r="AH812" s="207">
        <f t="shared" si="2837"/>
        <v>1</v>
      </c>
      <c r="AI812" s="195">
        <f>D804</f>
        <v>0</v>
      </c>
      <c r="AJ812" s="195">
        <f t="shared" ref="AJ812:BN812" si="2838">E804</f>
        <v>0</v>
      </c>
      <c r="AK812" s="195">
        <f t="shared" si="2838"/>
        <v>0</v>
      </c>
      <c r="AL812" s="195">
        <f t="shared" si="2838"/>
        <v>0</v>
      </c>
      <c r="AM812" s="195">
        <f t="shared" si="2838"/>
        <v>0</v>
      </c>
      <c r="AN812" s="195">
        <f t="shared" si="2838"/>
        <v>0</v>
      </c>
      <c r="AO812" s="195">
        <f t="shared" si="2838"/>
        <v>0</v>
      </c>
      <c r="AP812" s="195">
        <f t="shared" si="2838"/>
        <v>0</v>
      </c>
      <c r="AQ812" s="195">
        <f t="shared" si="2838"/>
        <v>1</v>
      </c>
      <c r="AR812" s="195">
        <f t="shared" si="2838"/>
        <v>0</v>
      </c>
      <c r="AS812" s="195">
        <f t="shared" si="2838"/>
        <v>0</v>
      </c>
      <c r="AT812" s="195">
        <f t="shared" si="2838"/>
        <v>1</v>
      </c>
      <c r="AU812" s="195">
        <f t="shared" si="2838"/>
        <v>0</v>
      </c>
      <c r="AV812" s="195">
        <f t="shared" si="2838"/>
        <v>1</v>
      </c>
      <c r="AW812" s="195">
        <f t="shared" si="2838"/>
        <v>0</v>
      </c>
      <c r="AX812" s="195">
        <f t="shared" si="2838"/>
        <v>0</v>
      </c>
      <c r="AY812" s="195">
        <f t="shared" si="2838"/>
        <v>0</v>
      </c>
      <c r="AZ812" s="195">
        <f t="shared" si="2838"/>
        <v>1</v>
      </c>
      <c r="BA812" s="195">
        <f t="shared" si="2838"/>
        <v>1</v>
      </c>
      <c r="BB812" s="195">
        <f t="shared" si="2838"/>
        <v>1</v>
      </c>
      <c r="BC812" s="195">
        <f t="shared" si="2838"/>
        <v>1</v>
      </c>
      <c r="BD812" s="195">
        <f t="shared" si="2838"/>
        <v>0</v>
      </c>
      <c r="BE812" s="195">
        <f t="shared" si="2838"/>
        <v>1</v>
      </c>
      <c r="BF812" s="195">
        <f t="shared" si="2838"/>
        <v>0</v>
      </c>
      <c r="BG812" s="195">
        <f t="shared" si="2838"/>
        <v>1</v>
      </c>
      <c r="BH812" s="195">
        <f t="shared" si="2838"/>
        <v>1</v>
      </c>
      <c r="BI812" s="195">
        <f t="shared" si="2838"/>
        <v>0</v>
      </c>
      <c r="BJ812" s="195">
        <f t="shared" si="2838"/>
        <v>0</v>
      </c>
      <c r="BK812" s="195">
        <f t="shared" si="2838"/>
        <v>1</v>
      </c>
      <c r="BL812" s="195">
        <f t="shared" si="2838"/>
        <v>0</v>
      </c>
      <c r="BM812" s="195">
        <f t="shared" si="2838"/>
        <v>1</v>
      </c>
      <c r="BN812" s="195">
        <f t="shared" si="2838"/>
        <v>1</v>
      </c>
    </row>
    <row r="813" spans="1:66" s="203" customFormat="1" x14ac:dyDescent="0.25">
      <c r="A813" s="122"/>
      <c r="B813" s="191"/>
      <c r="C813" s="192"/>
      <c r="D813" s="192"/>
      <c r="E813" s="192"/>
      <c r="F813" s="192"/>
      <c r="G813" s="192"/>
      <c r="H813" s="192"/>
      <c r="I813" s="192"/>
      <c r="J813" s="192"/>
      <c r="K813" s="192"/>
      <c r="L813" s="192"/>
      <c r="M813" s="192"/>
      <c r="N813" s="192"/>
      <c r="O813" s="192"/>
      <c r="P813" s="192"/>
      <c r="Q813" s="192"/>
      <c r="R813" s="192"/>
      <c r="S813" s="19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  <c r="AH813" s="122"/>
      <c r="AI813" s="122"/>
      <c r="AJ813" s="122"/>
      <c r="AK813" s="122"/>
      <c r="AL813" s="122"/>
      <c r="AM813" s="122"/>
      <c r="AN813" s="122"/>
      <c r="AO813" s="122"/>
      <c r="AP813" s="122"/>
      <c r="AQ813" s="122"/>
      <c r="AR813" s="122"/>
      <c r="AS813" s="122"/>
      <c r="AT813" s="122"/>
      <c r="AU813" s="122"/>
      <c r="AV813" s="122"/>
      <c r="AW813" s="122"/>
      <c r="AX813" s="122"/>
      <c r="AY813" s="122"/>
      <c r="AZ813" s="122"/>
      <c r="BA813" s="122"/>
      <c r="BB813" s="122"/>
      <c r="BC813" s="122"/>
      <c r="BD813" s="122"/>
      <c r="BE813" s="122"/>
    </row>
    <row r="814" spans="1:66" s="203" customFormat="1" x14ac:dyDescent="0.25">
      <c r="A814" s="122"/>
      <c r="B814" s="20"/>
      <c r="C814" s="20"/>
      <c r="D814" s="20"/>
      <c r="E814" s="25"/>
      <c r="F814" s="25"/>
      <c r="G814" s="25"/>
      <c r="H814" s="25"/>
      <c r="I814" s="25"/>
      <c r="J814" s="25"/>
      <c r="K814" s="25"/>
      <c r="L814" s="25"/>
      <c r="M814" s="21"/>
      <c r="N814" s="21"/>
      <c r="O814" s="21"/>
      <c r="P814" s="21"/>
      <c r="Q814" s="21"/>
      <c r="R814" s="21"/>
      <c r="S814" s="21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  <c r="AH814" s="122"/>
      <c r="AI814" s="122"/>
      <c r="AJ814" s="122"/>
      <c r="AK814" s="122"/>
      <c r="AL814" s="122"/>
      <c r="AM814" s="122"/>
      <c r="AN814" s="122"/>
      <c r="AO814" s="122"/>
      <c r="AP814" s="122"/>
      <c r="AQ814" s="122"/>
      <c r="AR814" s="122"/>
      <c r="AS814" s="122"/>
      <c r="AT814" s="122"/>
      <c r="AU814" s="122"/>
      <c r="AV814" s="122"/>
      <c r="AW814" s="122"/>
      <c r="AX814" s="122"/>
      <c r="AY814" s="122"/>
      <c r="AZ814" s="122"/>
      <c r="BA814" s="122"/>
      <c r="BB814" s="122"/>
      <c r="BC814" s="122"/>
      <c r="BD814" s="122"/>
      <c r="BE814" s="122"/>
    </row>
    <row r="815" spans="1:66" s="203" customFormat="1" x14ac:dyDescent="0.25">
      <c r="A815" s="122"/>
      <c r="B815" s="64"/>
      <c r="C815" s="62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  <c r="AH815" s="122"/>
      <c r="AI815" s="122"/>
      <c r="AJ815" s="122"/>
      <c r="AK815" s="122"/>
      <c r="AL815" s="122"/>
      <c r="AM815" s="122"/>
      <c r="AN815" s="122"/>
      <c r="AO815" s="122"/>
      <c r="AP815" s="122"/>
      <c r="AQ815" s="122"/>
      <c r="AR815" s="122"/>
      <c r="AS815" s="122"/>
      <c r="AT815" s="122"/>
      <c r="AU815" s="122"/>
      <c r="AV815" s="122"/>
      <c r="AW815" s="122"/>
      <c r="AX815" s="122"/>
      <c r="AY815" s="122"/>
      <c r="AZ815" s="122"/>
      <c r="BA815" s="122"/>
      <c r="BB815" s="122"/>
      <c r="BC815" s="122"/>
      <c r="BD815" s="122"/>
      <c r="BE815" s="122"/>
    </row>
    <row r="816" spans="1:66" s="203" customFormat="1" x14ac:dyDescent="0.25">
      <c r="A816" s="122"/>
      <c r="B816" s="64"/>
      <c r="C816" s="62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  <c r="AH816" s="122"/>
      <c r="AI816" s="122"/>
      <c r="AJ816" s="122"/>
      <c r="AK816" s="122"/>
      <c r="AL816" s="122"/>
      <c r="AM816" s="122"/>
      <c r="AN816" s="122"/>
      <c r="AO816" s="122"/>
      <c r="AP816" s="122"/>
      <c r="AQ816" s="122"/>
      <c r="AR816" s="122"/>
      <c r="AS816" s="122"/>
      <c r="AT816" s="122"/>
      <c r="AU816" s="122"/>
      <c r="AV816" s="122"/>
      <c r="AW816" s="122"/>
      <c r="AX816" s="122"/>
      <c r="AY816" s="122"/>
      <c r="AZ816" s="122"/>
      <c r="BA816" s="122"/>
      <c r="BB816" s="122"/>
      <c r="BC816" s="122"/>
      <c r="BD816" s="122"/>
      <c r="BE816" s="122"/>
    </row>
    <row r="817" spans="1:66" s="203" customFormat="1" x14ac:dyDescent="0.25">
      <c r="A817" s="122"/>
      <c r="B817" s="45" t="s">
        <v>650</v>
      </c>
      <c r="C817" s="62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  <c r="AH817" s="122"/>
      <c r="AI817" s="122"/>
      <c r="AJ817" s="122"/>
      <c r="AK817" s="122"/>
      <c r="AL817" s="122"/>
      <c r="AM817" s="122"/>
      <c r="AN817" s="122"/>
      <c r="AO817" s="122"/>
      <c r="AP817" s="122"/>
      <c r="AQ817" s="122"/>
      <c r="AR817" s="122"/>
      <c r="AS817" s="122"/>
      <c r="AT817" s="122"/>
      <c r="AU817" s="122"/>
      <c r="AV817" s="122"/>
      <c r="AW817" s="122"/>
      <c r="AX817" s="122"/>
      <c r="AY817" s="122"/>
      <c r="AZ817" s="122"/>
      <c r="BA817" s="122"/>
      <c r="BB817" s="122"/>
      <c r="BC817" s="122"/>
      <c r="BD817" s="122"/>
      <c r="BE817" s="122"/>
    </row>
    <row r="818" spans="1:66" s="203" customFormat="1" x14ac:dyDescent="0.25">
      <c r="A818" s="122"/>
      <c r="B818" s="63">
        <v>58</v>
      </c>
      <c r="C818" s="63">
        <v>50</v>
      </c>
      <c r="D818" s="63">
        <v>42</v>
      </c>
      <c r="E818" s="63">
        <v>34</v>
      </c>
      <c r="F818" s="63">
        <v>26</v>
      </c>
      <c r="G818" s="63">
        <v>18</v>
      </c>
      <c r="H818" s="63">
        <v>10</v>
      </c>
      <c r="I818" s="63">
        <v>2</v>
      </c>
      <c r="J818" s="21">
        <v>1</v>
      </c>
      <c r="K818" s="190">
        <f>AP812</f>
        <v>0</v>
      </c>
      <c r="L818" s="189">
        <f>J812</f>
        <v>0</v>
      </c>
      <c r="M818" s="190">
        <f>AX812</f>
        <v>0</v>
      </c>
      <c r="N818" s="190">
        <f>R812</f>
        <v>1</v>
      </c>
      <c r="O818" s="190">
        <f>BF812</f>
        <v>0</v>
      </c>
      <c r="P818" s="190">
        <f>Z812</f>
        <v>0</v>
      </c>
      <c r="Q818" s="190">
        <f>BN812</f>
        <v>1</v>
      </c>
      <c r="R818" s="190">
        <f>AH812</f>
        <v>1</v>
      </c>
      <c r="S818" s="21">
        <v>8</v>
      </c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  <c r="AH818" s="122"/>
      <c r="AI818" s="122"/>
      <c r="AJ818" s="122"/>
      <c r="AK818" s="122"/>
      <c r="AL818" s="122"/>
      <c r="AM818" s="122"/>
      <c r="AN818" s="122"/>
      <c r="AO818" s="122"/>
      <c r="AP818" s="122"/>
      <c r="AQ818" s="122"/>
      <c r="AR818" s="122"/>
      <c r="AS818" s="122"/>
      <c r="AT818" s="122"/>
      <c r="AU818" s="122"/>
      <c r="AV818" s="122"/>
      <c r="AW818" s="122"/>
      <c r="AX818" s="122"/>
      <c r="AY818" s="122"/>
      <c r="AZ818" s="122"/>
      <c r="BA818" s="122"/>
      <c r="BB818" s="122"/>
      <c r="BC818" s="122"/>
      <c r="BD818" s="122"/>
      <c r="BE818" s="122"/>
    </row>
    <row r="819" spans="1:66" s="203" customFormat="1" x14ac:dyDescent="0.25">
      <c r="A819" s="122"/>
      <c r="B819" s="65">
        <v>60</v>
      </c>
      <c r="C819" s="65">
        <v>52</v>
      </c>
      <c r="D819" s="65">
        <v>44</v>
      </c>
      <c r="E819" s="65">
        <v>36</v>
      </c>
      <c r="F819" s="65">
        <v>28</v>
      </c>
      <c r="G819" s="65">
        <v>20</v>
      </c>
      <c r="H819" s="65">
        <v>12</v>
      </c>
      <c r="I819" s="65">
        <v>4</v>
      </c>
      <c r="J819" s="21">
        <v>9</v>
      </c>
      <c r="K819" s="68">
        <f>AO812</f>
        <v>0</v>
      </c>
      <c r="L819" s="68">
        <f>I812</f>
        <v>0</v>
      </c>
      <c r="M819" s="68">
        <f>AW812</f>
        <v>0</v>
      </c>
      <c r="N819" s="68">
        <f>Q812</f>
        <v>1</v>
      </c>
      <c r="O819" s="68">
        <f>BE812</f>
        <v>1</v>
      </c>
      <c r="P819" s="68">
        <f>Y812</f>
        <v>0</v>
      </c>
      <c r="Q819" s="68">
        <f>BM812</f>
        <v>1</v>
      </c>
      <c r="R819" s="68">
        <f>AG812</f>
        <v>1</v>
      </c>
      <c r="S819" s="21">
        <v>16</v>
      </c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  <c r="AH819" s="122"/>
      <c r="AI819" s="122"/>
      <c r="AJ819" s="122"/>
      <c r="AK819" s="122"/>
      <c r="AL819" s="122"/>
      <c r="AM819" s="122"/>
      <c r="AN819" s="122"/>
      <c r="AO819" s="122"/>
      <c r="AP819" s="122"/>
      <c r="AQ819" s="122"/>
      <c r="AR819" s="122"/>
      <c r="AS819" s="122"/>
      <c r="AT819" s="122"/>
      <c r="AU819" s="122"/>
      <c r="AV819" s="122"/>
      <c r="AW819" s="122"/>
      <c r="AX819" s="122"/>
      <c r="AY819" s="122"/>
      <c r="AZ819" s="122"/>
      <c r="BA819" s="122"/>
      <c r="BB819" s="122"/>
      <c r="BC819" s="122"/>
      <c r="BD819" s="122"/>
      <c r="BE819" s="122"/>
    </row>
    <row r="820" spans="1:66" s="203" customFormat="1" x14ac:dyDescent="0.25">
      <c r="A820" s="122"/>
      <c r="B820" s="65">
        <v>62</v>
      </c>
      <c r="C820" s="65">
        <v>54</v>
      </c>
      <c r="D820" s="65">
        <v>46</v>
      </c>
      <c r="E820" s="65">
        <v>38</v>
      </c>
      <c r="F820" s="65">
        <v>30</v>
      </c>
      <c r="G820" s="65">
        <v>22</v>
      </c>
      <c r="H820" s="65">
        <v>14</v>
      </c>
      <c r="I820" s="65">
        <v>6</v>
      </c>
      <c r="J820" s="21">
        <v>17</v>
      </c>
      <c r="K820" s="68">
        <f>AN812</f>
        <v>0</v>
      </c>
      <c r="L820" s="68">
        <f>H812</f>
        <v>0</v>
      </c>
      <c r="M820" s="68">
        <f>AV812</f>
        <v>1</v>
      </c>
      <c r="N820" s="68">
        <f>P812</f>
        <v>1</v>
      </c>
      <c r="O820" s="68">
        <f>BD812</f>
        <v>0</v>
      </c>
      <c r="P820" s="68">
        <f>X812</f>
        <v>1</v>
      </c>
      <c r="Q820" s="68">
        <f>BL812</f>
        <v>0</v>
      </c>
      <c r="R820" s="68">
        <f>AF812</f>
        <v>0</v>
      </c>
      <c r="S820" s="21">
        <v>24</v>
      </c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  <c r="AH820" s="122"/>
      <c r="AI820" s="122"/>
      <c r="AJ820" s="122"/>
      <c r="AK820" s="122"/>
      <c r="AL820" s="122"/>
      <c r="AM820" s="122"/>
      <c r="AN820" s="122"/>
      <c r="AO820" s="122"/>
      <c r="AP820" s="122"/>
      <c r="AQ820" s="122"/>
      <c r="AR820" s="122"/>
      <c r="AS820" s="122"/>
      <c r="AT820" s="122"/>
      <c r="AU820" s="122"/>
      <c r="AV820" s="122"/>
      <c r="AW820" s="122"/>
      <c r="AX820" s="122"/>
      <c r="AY820" s="122"/>
      <c r="AZ820" s="122"/>
      <c r="BA820" s="122"/>
      <c r="BB820" s="122"/>
      <c r="BC820" s="122"/>
      <c r="BD820" s="122"/>
      <c r="BE820" s="122"/>
    </row>
    <row r="821" spans="1:66" s="203" customFormat="1" x14ac:dyDescent="0.25">
      <c r="A821" s="122"/>
      <c r="B821" s="65">
        <v>64</v>
      </c>
      <c r="C821" s="65">
        <v>56</v>
      </c>
      <c r="D821" s="65">
        <v>48</v>
      </c>
      <c r="E821" s="65">
        <v>40</v>
      </c>
      <c r="F821" s="65">
        <v>32</v>
      </c>
      <c r="G821" s="65">
        <v>24</v>
      </c>
      <c r="H821" s="65">
        <v>16</v>
      </c>
      <c r="I821" s="65">
        <v>8</v>
      </c>
      <c r="J821" s="66">
        <v>25</v>
      </c>
      <c r="K821" s="68">
        <f>AM812</f>
        <v>0</v>
      </c>
      <c r="L821" s="68">
        <f>G812</f>
        <v>0</v>
      </c>
      <c r="M821" s="68">
        <f>AU812</f>
        <v>0</v>
      </c>
      <c r="N821" s="68">
        <f>O812</f>
        <v>1</v>
      </c>
      <c r="O821" s="68">
        <f>BC812</f>
        <v>1</v>
      </c>
      <c r="P821" s="68">
        <f>W812</f>
        <v>0</v>
      </c>
      <c r="Q821" s="68">
        <f>BK812</f>
        <v>1</v>
      </c>
      <c r="R821" s="68">
        <f>AE812</f>
        <v>1</v>
      </c>
      <c r="S821" s="21">
        <v>32</v>
      </c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  <c r="AH821" s="122"/>
      <c r="AI821" s="122"/>
      <c r="AJ821" s="122"/>
      <c r="AK821" s="122"/>
      <c r="AL821" s="122"/>
      <c r="AM821" s="122"/>
      <c r="AN821" s="122"/>
      <c r="AO821" s="122"/>
      <c r="AP821" s="122"/>
      <c r="AQ821" s="122"/>
      <c r="AR821" s="122"/>
      <c r="AS821" s="122"/>
      <c r="AT821" s="122"/>
      <c r="AU821" s="122"/>
      <c r="AV821" s="122"/>
      <c r="AW821" s="122"/>
      <c r="AX821" s="122"/>
      <c r="AY821" s="122"/>
      <c r="AZ821" s="122"/>
      <c r="BA821" s="122"/>
      <c r="BB821" s="122"/>
      <c r="BC821" s="122"/>
      <c r="BD821" s="122"/>
      <c r="BE821" s="122"/>
    </row>
    <row r="822" spans="1:66" s="203" customFormat="1" x14ac:dyDescent="0.25">
      <c r="A822" s="122"/>
      <c r="B822" s="65">
        <v>57</v>
      </c>
      <c r="C822" s="65">
        <v>49</v>
      </c>
      <c r="D822" s="65">
        <v>41</v>
      </c>
      <c r="E822" s="65">
        <v>33</v>
      </c>
      <c r="F822" s="65">
        <v>25</v>
      </c>
      <c r="G822" s="65">
        <v>17</v>
      </c>
      <c r="H822" s="65">
        <v>9</v>
      </c>
      <c r="I822" s="65">
        <v>1</v>
      </c>
      <c r="J822" s="21">
        <v>33</v>
      </c>
      <c r="K822" s="69">
        <f>AL812</f>
        <v>0</v>
      </c>
      <c r="L822" s="69">
        <f>F812</f>
        <v>0</v>
      </c>
      <c r="M822" s="69">
        <f>AT812</f>
        <v>1</v>
      </c>
      <c r="N822" s="69">
        <f>N812</f>
        <v>0</v>
      </c>
      <c r="O822" s="69">
        <f>BB812</f>
        <v>1</v>
      </c>
      <c r="P822" s="69">
        <f>V812</f>
        <v>0</v>
      </c>
      <c r="Q822" s="69">
        <f>BJ812</f>
        <v>0</v>
      </c>
      <c r="R822" s="69">
        <f>AD812</f>
        <v>0</v>
      </c>
      <c r="S822" s="21">
        <v>40</v>
      </c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  <c r="AH822" s="122"/>
      <c r="AI822" s="122"/>
      <c r="AJ822" s="122"/>
      <c r="AK822" s="122"/>
      <c r="AL822" s="122"/>
      <c r="AM822" s="122"/>
      <c r="AN822" s="122"/>
      <c r="AO822" s="122"/>
      <c r="AP822" s="122"/>
      <c r="AQ822" s="122"/>
      <c r="AR822" s="122"/>
      <c r="AS822" s="122"/>
      <c r="AT822" s="122"/>
      <c r="AU822" s="122"/>
      <c r="AV822" s="122"/>
      <c r="AW822" s="122"/>
      <c r="AX822" s="122"/>
      <c r="AY822" s="122"/>
      <c r="AZ822" s="122"/>
      <c r="BA822" s="122"/>
      <c r="BB822" s="122"/>
      <c r="BC822" s="122"/>
      <c r="BD822" s="122"/>
      <c r="BE822" s="122"/>
    </row>
    <row r="823" spans="1:66" s="203" customFormat="1" x14ac:dyDescent="0.25">
      <c r="A823" s="122"/>
      <c r="B823" s="65">
        <v>59</v>
      </c>
      <c r="C823" s="65">
        <v>51</v>
      </c>
      <c r="D823" s="65">
        <v>43</v>
      </c>
      <c r="E823" s="65">
        <v>35</v>
      </c>
      <c r="F823" s="65">
        <v>27</v>
      </c>
      <c r="G823" s="65">
        <v>19</v>
      </c>
      <c r="H823" s="65">
        <v>11</v>
      </c>
      <c r="I823" s="65">
        <v>3</v>
      </c>
      <c r="J823" s="21">
        <v>41</v>
      </c>
      <c r="K823" s="69">
        <f>AK812</f>
        <v>0</v>
      </c>
      <c r="L823" s="69">
        <f>E812</f>
        <v>0</v>
      </c>
      <c r="M823" s="69">
        <f>AS812</f>
        <v>0</v>
      </c>
      <c r="N823" s="69">
        <f>M812</f>
        <v>0</v>
      </c>
      <c r="O823" s="69">
        <f>BA812</f>
        <v>1</v>
      </c>
      <c r="P823" s="69">
        <f>U812</f>
        <v>0</v>
      </c>
      <c r="Q823" s="69">
        <f>BI812</f>
        <v>0</v>
      </c>
      <c r="R823" s="69">
        <f>AC812</f>
        <v>0</v>
      </c>
      <c r="S823" s="21">
        <v>48</v>
      </c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  <c r="AH823" s="122"/>
      <c r="AI823" s="122"/>
      <c r="AJ823" s="122"/>
      <c r="AK823" s="122"/>
      <c r="AL823" s="122"/>
      <c r="AM823" s="122"/>
      <c r="AN823" s="122"/>
      <c r="AO823" s="122"/>
      <c r="AP823" s="122"/>
      <c r="AQ823" s="122"/>
      <c r="AR823" s="122"/>
      <c r="AS823" s="122"/>
      <c r="AT823" s="122"/>
      <c r="AU823" s="122"/>
      <c r="AV823" s="122"/>
      <c r="AW823" s="122"/>
      <c r="AX823" s="122"/>
      <c r="AY823" s="122"/>
      <c r="AZ823" s="122"/>
      <c r="BA823" s="122"/>
      <c r="BB823" s="122"/>
      <c r="BC823" s="122"/>
      <c r="BD823" s="122"/>
      <c r="BE823" s="122"/>
    </row>
    <row r="824" spans="1:66" s="203" customFormat="1" x14ac:dyDescent="0.25">
      <c r="A824" s="122"/>
      <c r="B824" s="65">
        <v>61</v>
      </c>
      <c r="C824" s="65">
        <v>53</v>
      </c>
      <c r="D824" s="65">
        <v>45</v>
      </c>
      <c r="E824" s="65">
        <v>37</v>
      </c>
      <c r="F824" s="65">
        <v>29</v>
      </c>
      <c r="G824" s="65">
        <v>21</v>
      </c>
      <c r="H824" s="65">
        <v>13</v>
      </c>
      <c r="I824" s="65">
        <v>5</v>
      </c>
      <c r="J824" s="21">
        <v>49</v>
      </c>
      <c r="K824" s="69">
        <f>AJ812</f>
        <v>0</v>
      </c>
      <c r="L824" s="69">
        <f>D812</f>
        <v>0</v>
      </c>
      <c r="M824" s="69">
        <f>AR812</f>
        <v>0</v>
      </c>
      <c r="N824" s="69">
        <f>L812</f>
        <v>1</v>
      </c>
      <c r="O824" s="69">
        <f>AZ812</f>
        <v>1</v>
      </c>
      <c r="P824" s="69">
        <f>T812</f>
        <v>0</v>
      </c>
      <c r="Q824" s="69">
        <f>BH812</f>
        <v>1</v>
      </c>
      <c r="R824" s="69">
        <f>AB812</f>
        <v>1</v>
      </c>
      <c r="S824" s="21">
        <v>56</v>
      </c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  <c r="AH824" s="122"/>
      <c r="AI824" s="122"/>
      <c r="AJ824" s="122"/>
      <c r="AK824" s="122"/>
      <c r="AL824" s="122"/>
      <c r="AM824" s="122"/>
      <c r="AN824" s="122"/>
      <c r="AO824" s="122"/>
      <c r="AP824" s="122"/>
      <c r="AQ824" s="122"/>
      <c r="AR824" s="122"/>
      <c r="AS824" s="122"/>
      <c r="AT824" s="122"/>
      <c r="AU824" s="122"/>
      <c r="AV824" s="122"/>
      <c r="AW824" s="122"/>
      <c r="AX824" s="122"/>
      <c r="AY824" s="122"/>
      <c r="AZ824" s="122"/>
      <c r="BA824" s="122"/>
      <c r="BB824" s="122"/>
      <c r="BC824" s="122"/>
      <c r="BD824" s="122"/>
      <c r="BE824" s="122"/>
    </row>
    <row r="825" spans="1:66" s="203" customFormat="1" x14ac:dyDescent="0.25">
      <c r="A825" s="122"/>
      <c r="B825" s="65">
        <v>63</v>
      </c>
      <c r="C825" s="65">
        <v>55</v>
      </c>
      <c r="D825" s="65">
        <v>47</v>
      </c>
      <c r="E825" s="65">
        <v>39</v>
      </c>
      <c r="F825" s="65">
        <v>31</v>
      </c>
      <c r="G825" s="65">
        <v>23</v>
      </c>
      <c r="H825" s="65">
        <v>15</v>
      </c>
      <c r="I825" s="65">
        <v>7</v>
      </c>
      <c r="J825" s="21">
        <v>57</v>
      </c>
      <c r="K825" s="69">
        <f>AI812</f>
        <v>0</v>
      </c>
      <c r="L825" s="69">
        <f>C812</f>
        <v>0</v>
      </c>
      <c r="M825" s="69">
        <f>AQ812</f>
        <v>1</v>
      </c>
      <c r="N825" s="69">
        <f>K812</f>
        <v>1</v>
      </c>
      <c r="O825" s="69">
        <f>AY812</f>
        <v>0</v>
      </c>
      <c r="P825" s="69">
        <f>S812</f>
        <v>0</v>
      </c>
      <c r="Q825" s="69">
        <f>BG812</f>
        <v>1</v>
      </c>
      <c r="R825" s="69">
        <f>AA812</f>
        <v>1</v>
      </c>
      <c r="S825" s="21">
        <v>64</v>
      </c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  <c r="AH825" s="122"/>
      <c r="AI825" s="122"/>
      <c r="AJ825" s="122"/>
      <c r="AK825" s="122"/>
      <c r="AL825" s="122"/>
      <c r="AM825" s="122"/>
      <c r="AN825" s="122"/>
      <c r="AO825" s="122"/>
      <c r="AP825" s="122"/>
      <c r="AQ825" s="122"/>
      <c r="AR825" s="122"/>
      <c r="AS825" s="122"/>
      <c r="AT825" s="122"/>
      <c r="AU825" s="122"/>
      <c r="AV825" s="122"/>
      <c r="AW825" s="122"/>
      <c r="AX825" s="122"/>
      <c r="AY825" s="122"/>
      <c r="AZ825" s="122"/>
      <c r="BA825" s="122"/>
      <c r="BB825" s="122"/>
      <c r="BC825" s="122"/>
      <c r="BD825" s="122"/>
      <c r="BE825" s="122"/>
    </row>
    <row r="826" spans="1:66" s="203" customFormat="1" x14ac:dyDescent="0.25">
      <c r="A826" s="204"/>
      <c r="B826" s="64"/>
      <c r="C826" s="62"/>
      <c r="D826" s="21"/>
      <c r="E826" s="21"/>
      <c r="F826" s="21"/>
      <c r="G826" s="21"/>
      <c r="H826" s="21"/>
      <c r="I826" s="21"/>
      <c r="J826" s="21"/>
      <c r="K826" s="21">
        <v>40</v>
      </c>
      <c r="L826" s="21">
        <v>8</v>
      </c>
      <c r="M826" s="21">
        <v>48</v>
      </c>
      <c r="N826" s="21">
        <v>16</v>
      </c>
      <c r="O826" s="21">
        <v>56</v>
      </c>
      <c r="P826" s="21">
        <v>24</v>
      </c>
      <c r="Q826" s="21">
        <v>64</v>
      </c>
      <c r="R826" s="21">
        <v>32</v>
      </c>
      <c r="S826" s="21"/>
      <c r="T826" s="205"/>
      <c r="U826" s="205"/>
      <c r="V826" s="205"/>
      <c r="W826" s="205"/>
      <c r="X826" s="205"/>
      <c r="Y826" s="205"/>
      <c r="Z826" s="205"/>
      <c r="AA826" s="205"/>
      <c r="AB826" s="205"/>
      <c r="AC826" s="205"/>
      <c r="AD826" s="205"/>
      <c r="AE826" s="205"/>
      <c r="AF826" s="205"/>
      <c r="AG826" s="205"/>
      <c r="AH826" s="205"/>
      <c r="AI826" s="205"/>
      <c r="AJ826" s="205"/>
      <c r="AK826" s="205"/>
      <c r="AL826" s="205"/>
      <c r="AM826" s="205"/>
      <c r="AN826" s="205"/>
      <c r="AO826" s="205"/>
      <c r="AP826" s="205"/>
      <c r="AQ826" s="205"/>
      <c r="AR826" s="205"/>
      <c r="AS826" s="205"/>
      <c r="AT826" s="205"/>
      <c r="AU826" s="205"/>
      <c r="AV826" s="205"/>
      <c r="AW826" s="205"/>
    </row>
    <row r="827" spans="1:66" s="21" customFormat="1" ht="24.95" customHeight="1" x14ac:dyDescent="0.25">
      <c r="A827" s="259" t="s">
        <v>647</v>
      </c>
      <c r="B827" s="64"/>
      <c r="C827" s="70">
        <v>1</v>
      </c>
      <c r="D827" s="71">
        <v>2</v>
      </c>
      <c r="E827" s="70">
        <v>3</v>
      </c>
      <c r="F827" s="71">
        <v>4</v>
      </c>
      <c r="G827" s="70">
        <v>5</v>
      </c>
      <c r="H827" s="71">
        <v>6</v>
      </c>
      <c r="I827" s="70">
        <v>7</v>
      </c>
      <c r="J827" s="71">
        <v>8</v>
      </c>
      <c r="K827" s="70">
        <v>9</v>
      </c>
      <c r="L827" s="71">
        <v>10</v>
      </c>
      <c r="M827" s="70">
        <v>11</v>
      </c>
      <c r="N827" s="71">
        <v>12</v>
      </c>
      <c r="O827" s="70">
        <v>13</v>
      </c>
      <c r="P827" s="71">
        <v>14</v>
      </c>
      <c r="Q827" s="70">
        <v>15</v>
      </c>
      <c r="R827" s="71">
        <v>16</v>
      </c>
      <c r="S827" s="70">
        <v>17</v>
      </c>
      <c r="T827" s="71">
        <v>18</v>
      </c>
      <c r="U827" s="70">
        <v>19</v>
      </c>
      <c r="V827" s="71">
        <v>20</v>
      </c>
      <c r="W827" s="70">
        <v>21</v>
      </c>
      <c r="X827" s="71">
        <v>22</v>
      </c>
      <c r="Y827" s="70">
        <v>23</v>
      </c>
      <c r="Z827" s="71">
        <v>24</v>
      </c>
      <c r="AA827" s="70">
        <v>25</v>
      </c>
      <c r="AB827" s="71">
        <v>26</v>
      </c>
      <c r="AC827" s="70">
        <v>27</v>
      </c>
      <c r="AD827" s="71">
        <v>28</v>
      </c>
      <c r="AE827" s="70">
        <v>29</v>
      </c>
      <c r="AF827" s="71">
        <v>30</v>
      </c>
      <c r="AG827" s="70">
        <v>31</v>
      </c>
      <c r="AH827" s="70">
        <v>32</v>
      </c>
      <c r="AI827" s="155">
        <v>33</v>
      </c>
      <c r="AJ827" s="154">
        <v>34</v>
      </c>
      <c r="AK827" s="154">
        <v>35</v>
      </c>
      <c r="AL827" s="155">
        <v>36</v>
      </c>
      <c r="AM827" s="154">
        <v>37</v>
      </c>
      <c r="AN827" s="154">
        <v>38</v>
      </c>
      <c r="AO827" s="155">
        <v>39</v>
      </c>
      <c r="AP827" s="154">
        <v>40</v>
      </c>
      <c r="AQ827" s="154">
        <v>41</v>
      </c>
      <c r="AR827" s="155">
        <v>42</v>
      </c>
      <c r="AS827" s="154">
        <v>43</v>
      </c>
      <c r="AT827" s="154">
        <v>44</v>
      </c>
      <c r="AU827" s="155">
        <v>45</v>
      </c>
      <c r="AV827" s="154">
        <v>46</v>
      </c>
      <c r="AW827" s="154">
        <v>47</v>
      </c>
      <c r="AX827" s="155">
        <v>48</v>
      </c>
      <c r="AY827" s="154">
        <v>49</v>
      </c>
      <c r="AZ827" s="154">
        <v>50</v>
      </c>
      <c r="BA827" s="155">
        <v>51</v>
      </c>
      <c r="BB827" s="154">
        <v>52</v>
      </c>
      <c r="BC827" s="154">
        <v>53</v>
      </c>
      <c r="BD827" s="155">
        <v>54</v>
      </c>
      <c r="BE827" s="154">
        <v>55</v>
      </c>
      <c r="BF827" s="154">
        <v>56</v>
      </c>
      <c r="BG827" s="155">
        <v>57</v>
      </c>
      <c r="BH827" s="154">
        <v>58</v>
      </c>
      <c r="BI827" s="154">
        <v>59</v>
      </c>
      <c r="BJ827" s="155">
        <v>60</v>
      </c>
      <c r="BK827" s="154">
        <v>61</v>
      </c>
      <c r="BL827" s="154">
        <v>62</v>
      </c>
      <c r="BM827" s="155">
        <v>63</v>
      </c>
      <c r="BN827" s="154">
        <v>64</v>
      </c>
    </row>
    <row r="828" spans="1:66" s="21" customFormat="1" ht="24.95" customHeight="1" x14ac:dyDescent="0.25">
      <c r="A828" s="259"/>
      <c r="B828" s="64" t="s">
        <v>630</v>
      </c>
      <c r="C828" s="156">
        <f>K818</f>
        <v>0</v>
      </c>
      <c r="D828" s="185">
        <f t="shared" ref="D828:J828" si="2839">L818</f>
        <v>0</v>
      </c>
      <c r="E828" s="185">
        <f t="shared" si="2839"/>
        <v>0</v>
      </c>
      <c r="F828" s="185">
        <f t="shared" si="2839"/>
        <v>1</v>
      </c>
      <c r="G828" s="185">
        <f t="shared" si="2839"/>
        <v>0</v>
      </c>
      <c r="H828" s="185">
        <f t="shared" si="2839"/>
        <v>0</v>
      </c>
      <c r="I828" s="185">
        <f t="shared" si="2839"/>
        <v>1</v>
      </c>
      <c r="J828" s="185">
        <f t="shared" si="2839"/>
        <v>1</v>
      </c>
      <c r="K828" s="160">
        <f>K819</f>
        <v>0</v>
      </c>
      <c r="L828" s="186">
        <f t="shared" ref="L828:R828" si="2840">L819</f>
        <v>0</v>
      </c>
      <c r="M828" s="186">
        <f t="shared" si="2840"/>
        <v>0</v>
      </c>
      <c r="N828" s="186">
        <f t="shared" si="2840"/>
        <v>1</v>
      </c>
      <c r="O828" s="186">
        <f t="shared" si="2840"/>
        <v>1</v>
      </c>
      <c r="P828" s="186">
        <f t="shared" si="2840"/>
        <v>0</v>
      </c>
      <c r="Q828" s="186">
        <f t="shared" si="2840"/>
        <v>1</v>
      </c>
      <c r="R828" s="186">
        <f t="shared" si="2840"/>
        <v>1</v>
      </c>
      <c r="S828" s="162">
        <f>K820</f>
        <v>0</v>
      </c>
      <c r="T828" s="187">
        <f t="shared" ref="T828:Z828" si="2841">L820</f>
        <v>0</v>
      </c>
      <c r="U828" s="187">
        <f t="shared" si="2841"/>
        <v>1</v>
      </c>
      <c r="V828" s="187">
        <f t="shared" si="2841"/>
        <v>1</v>
      </c>
      <c r="W828" s="187">
        <f t="shared" si="2841"/>
        <v>0</v>
      </c>
      <c r="X828" s="187">
        <f t="shared" si="2841"/>
        <v>1</v>
      </c>
      <c r="Y828" s="187">
        <f t="shared" si="2841"/>
        <v>0</v>
      </c>
      <c r="Z828" s="187">
        <f t="shared" si="2841"/>
        <v>0</v>
      </c>
      <c r="AA828" s="163">
        <f>K821</f>
        <v>0</v>
      </c>
      <c r="AB828" s="182">
        <f t="shared" ref="AB828:AH828" si="2842">L821</f>
        <v>0</v>
      </c>
      <c r="AC828" s="182">
        <f t="shared" si="2842"/>
        <v>0</v>
      </c>
      <c r="AD828" s="182">
        <f t="shared" si="2842"/>
        <v>1</v>
      </c>
      <c r="AE828" s="182">
        <f t="shared" si="2842"/>
        <v>1</v>
      </c>
      <c r="AF828" s="182">
        <f t="shared" si="2842"/>
        <v>0</v>
      </c>
      <c r="AG828" s="182">
        <f t="shared" si="2842"/>
        <v>1</v>
      </c>
      <c r="AH828" s="182">
        <f t="shared" si="2842"/>
        <v>1</v>
      </c>
      <c r="AI828" s="165">
        <f>K822</f>
        <v>0</v>
      </c>
      <c r="AJ828" s="183">
        <f t="shared" ref="AJ828:AP828" si="2843">L822</f>
        <v>0</v>
      </c>
      <c r="AK828" s="183">
        <f t="shared" si="2843"/>
        <v>1</v>
      </c>
      <c r="AL828" s="183">
        <f t="shared" si="2843"/>
        <v>0</v>
      </c>
      <c r="AM828" s="183">
        <f t="shared" si="2843"/>
        <v>1</v>
      </c>
      <c r="AN828" s="183">
        <f t="shared" si="2843"/>
        <v>0</v>
      </c>
      <c r="AO828" s="183">
        <f t="shared" si="2843"/>
        <v>0</v>
      </c>
      <c r="AP828" s="183">
        <f t="shared" si="2843"/>
        <v>0</v>
      </c>
      <c r="AQ828" s="167">
        <f>K823</f>
        <v>0</v>
      </c>
      <c r="AR828" s="184">
        <f t="shared" ref="AR828:AX828" si="2844">L823</f>
        <v>0</v>
      </c>
      <c r="AS828" s="184">
        <f t="shared" si="2844"/>
        <v>0</v>
      </c>
      <c r="AT828" s="184">
        <f t="shared" si="2844"/>
        <v>0</v>
      </c>
      <c r="AU828" s="184">
        <f t="shared" si="2844"/>
        <v>1</v>
      </c>
      <c r="AV828" s="184">
        <f t="shared" si="2844"/>
        <v>0</v>
      </c>
      <c r="AW828" s="184">
        <f t="shared" si="2844"/>
        <v>0</v>
      </c>
      <c r="AX828" s="184">
        <f t="shared" si="2844"/>
        <v>0</v>
      </c>
      <c r="AY828" s="149">
        <f>K824</f>
        <v>0</v>
      </c>
      <c r="AZ828" s="188">
        <f t="shared" ref="AZ828:BF828" si="2845">L824</f>
        <v>0</v>
      </c>
      <c r="BA828" s="188">
        <f t="shared" si="2845"/>
        <v>0</v>
      </c>
      <c r="BB828" s="188">
        <f t="shared" si="2845"/>
        <v>1</v>
      </c>
      <c r="BC828" s="188">
        <f t="shared" si="2845"/>
        <v>1</v>
      </c>
      <c r="BD828" s="188">
        <f t="shared" si="2845"/>
        <v>0</v>
      </c>
      <c r="BE828" s="188">
        <f t="shared" si="2845"/>
        <v>1</v>
      </c>
      <c r="BF828" s="188">
        <f t="shared" si="2845"/>
        <v>1</v>
      </c>
      <c r="BG828" s="92">
        <f>K825</f>
        <v>0</v>
      </c>
      <c r="BH828" s="92">
        <f t="shared" ref="BH828:BN828" si="2846">L825</f>
        <v>0</v>
      </c>
      <c r="BI828" s="92">
        <f t="shared" si="2846"/>
        <v>1</v>
      </c>
      <c r="BJ828" s="92">
        <f t="shared" si="2846"/>
        <v>1</v>
      </c>
      <c r="BK828" s="92">
        <f t="shared" si="2846"/>
        <v>0</v>
      </c>
      <c r="BL828" s="92">
        <f t="shared" si="2846"/>
        <v>0</v>
      </c>
      <c r="BM828" s="92">
        <f t="shared" si="2846"/>
        <v>1</v>
      </c>
      <c r="BN828" s="92">
        <f t="shared" si="2846"/>
        <v>1</v>
      </c>
    </row>
    <row r="829" spans="1:66" s="21" customFormat="1" ht="24.95" customHeight="1" x14ac:dyDescent="0.25">
      <c r="A829" s="259"/>
      <c r="B829" s="64"/>
      <c r="C829" s="237" t="str">
        <f>CONCATENATE(C828,D828,E828,F828,G828,H828,I828,J828)</f>
        <v>00010011</v>
      </c>
      <c r="D829" s="237"/>
      <c r="E829" s="237"/>
      <c r="F829" s="237"/>
      <c r="G829" s="237"/>
      <c r="H829" s="237"/>
      <c r="I829" s="237"/>
      <c r="J829" s="237"/>
      <c r="K829" s="266" t="str">
        <f>CONCATENATE(K828,L828,M828,N828,O828,P828,Q828,R828)</f>
        <v>00011011</v>
      </c>
      <c r="L829" s="266"/>
      <c r="M829" s="266"/>
      <c r="N829" s="266"/>
      <c r="O829" s="266"/>
      <c r="P829" s="266"/>
      <c r="Q829" s="266"/>
      <c r="R829" s="266"/>
      <c r="S829" s="268" t="str">
        <f>CONCATENATE(S828,T828,U828,V828,W828,X828,Y828,Z828)</f>
        <v>00110100</v>
      </c>
      <c r="T829" s="268"/>
      <c r="U829" s="268"/>
      <c r="V829" s="268"/>
      <c r="W829" s="268"/>
      <c r="X829" s="268"/>
      <c r="Y829" s="268"/>
      <c r="Z829" s="268"/>
      <c r="AA829" s="238" t="str">
        <f>CONCATENATE(AA828,AB828,AC828,AD828,AE828,AF828,AG828,AH828)</f>
        <v>00011011</v>
      </c>
      <c r="AB829" s="238"/>
      <c r="AC829" s="238"/>
      <c r="AD829" s="238"/>
      <c r="AE829" s="238"/>
      <c r="AF829" s="238"/>
      <c r="AG829" s="238"/>
      <c r="AH829" s="238"/>
      <c r="AI829" s="261" t="str">
        <f>CONCATENATE(AI828,AJ828,AK828,AL828,AM828,AN828,AO828,AP828)</f>
        <v>00101000</v>
      </c>
      <c r="AJ829" s="261"/>
      <c r="AK829" s="261"/>
      <c r="AL829" s="261"/>
      <c r="AM829" s="261"/>
      <c r="AN829" s="261"/>
      <c r="AO829" s="261"/>
      <c r="AP829" s="261"/>
      <c r="AQ829" s="263" t="str">
        <f>CONCATENATE(AQ828,AR828,AS828,AT828,AU828,AV828,AW828,AX828)</f>
        <v>00001000</v>
      </c>
      <c r="AR829" s="263"/>
      <c r="AS829" s="263"/>
      <c r="AT829" s="263"/>
      <c r="AU829" s="263"/>
      <c r="AV829" s="263"/>
      <c r="AW829" s="263"/>
      <c r="AX829" s="263"/>
      <c r="AY829" s="239" t="str">
        <f>CONCATENATE(AY828,AZ828,BA828,BB828,BC828,BD828,BE828,BF828)</f>
        <v>00011011</v>
      </c>
      <c r="AZ829" s="239"/>
      <c r="BA829" s="239"/>
      <c r="BB829" s="239"/>
      <c r="BC829" s="239"/>
      <c r="BD829" s="239"/>
      <c r="BE829" s="239"/>
      <c r="BF829" s="239"/>
      <c r="BG829" s="257" t="str">
        <f>CONCATENATE(BG828,BH828,BI828,BJ828,BK828,BL828,BM828,BN828)</f>
        <v>00110011</v>
      </c>
      <c r="BH829" s="257"/>
      <c r="BI829" s="257"/>
      <c r="BJ829" s="257"/>
      <c r="BK829" s="257"/>
      <c r="BL829" s="257"/>
      <c r="BM829" s="257"/>
      <c r="BN829" s="257"/>
    </row>
    <row r="830" spans="1:66" s="21" customFormat="1" ht="24.95" customHeight="1" x14ac:dyDescent="0.25">
      <c r="A830" s="259"/>
      <c r="B830" s="64"/>
      <c r="C830" s="265" t="str">
        <f>VLOOKUP(C829,'Letter conv.'!$M$2:$N$258,2,)</f>
        <v>S</v>
      </c>
      <c r="D830" s="265"/>
      <c r="E830" s="265"/>
      <c r="F830" s="265"/>
      <c r="G830" s="265"/>
      <c r="H830" s="265"/>
      <c r="I830" s="265"/>
      <c r="J830" s="265"/>
      <c r="K830" s="267" t="str">
        <f>VLOOKUP(K829,'Letter conv.'!$M$2:$N$258,2,)</f>
        <v>a</v>
      </c>
      <c r="L830" s="267"/>
      <c r="M830" s="267"/>
      <c r="N830" s="267"/>
      <c r="O830" s="267"/>
      <c r="P830" s="267"/>
      <c r="Q830" s="267"/>
      <c r="R830" s="267"/>
      <c r="S830" s="269" t="str">
        <f>VLOOKUP(S829,'Letter conv.'!$M$2:$N$258,2,)</f>
        <v>z</v>
      </c>
      <c r="T830" s="269"/>
      <c r="U830" s="269"/>
      <c r="V830" s="269"/>
      <c r="W830" s="269"/>
      <c r="X830" s="269"/>
      <c r="Y830" s="269"/>
      <c r="Z830" s="269"/>
      <c r="AA830" s="260" t="str">
        <f>VLOOKUP(AA829,'Letter conv.'!$M$2:$N$258,2,)</f>
        <v>a</v>
      </c>
      <c r="AB830" s="260"/>
      <c r="AC830" s="260"/>
      <c r="AD830" s="260"/>
      <c r="AE830" s="260"/>
      <c r="AF830" s="260"/>
      <c r="AG830" s="260"/>
      <c r="AH830" s="260"/>
      <c r="AI830" s="262" t="str">
        <f>VLOOKUP(AI829,'Letter conv.'!$M$2:$N$258,2,)</f>
        <v>n</v>
      </c>
      <c r="AJ830" s="262"/>
      <c r="AK830" s="262"/>
      <c r="AL830" s="262"/>
      <c r="AM830" s="262"/>
      <c r="AN830" s="262"/>
      <c r="AO830" s="262"/>
      <c r="AP830" s="262"/>
      <c r="AQ830" s="264" t="str">
        <f>VLOOKUP(AQ829,'Letter conv.'!$M$2:$N$258,2,)</f>
        <v>H</v>
      </c>
      <c r="AR830" s="264"/>
      <c r="AS830" s="264"/>
      <c r="AT830" s="264"/>
      <c r="AU830" s="264"/>
      <c r="AV830" s="264"/>
      <c r="AW830" s="264"/>
      <c r="AX830" s="264"/>
      <c r="AY830" s="256" t="str">
        <f>VLOOKUP(AY829,'Letter conv.'!$M$2:$N$258,2,)</f>
        <v>a</v>
      </c>
      <c r="AZ830" s="256"/>
      <c r="BA830" s="256"/>
      <c r="BB830" s="256"/>
      <c r="BC830" s="256"/>
      <c r="BD830" s="256"/>
      <c r="BE830" s="256"/>
      <c r="BF830" s="256"/>
      <c r="BG830" s="258" t="str">
        <f>VLOOKUP(BG829,'Letter conv.'!$M$2:$N$258,2,)</f>
        <v>y</v>
      </c>
      <c r="BH830" s="258"/>
      <c r="BI830" s="258"/>
      <c r="BJ830" s="258"/>
      <c r="BK830" s="258"/>
      <c r="BL830" s="258"/>
      <c r="BM830" s="258"/>
      <c r="BN830" s="258"/>
    </row>
    <row r="833" spans="8:15" ht="21" x14ac:dyDescent="0.35">
      <c r="H833" s="220" t="str">
        <f>C830</f>
        <v>S</v>
      </c>
      <c r="I833" s="220" t="str">
        <f>K830</f>
        <v>a</v>
      </c>
      <c r="J833" s="220" t="str">
        <f>S830</f>
        <v>z</v>
      </c>
      <c r="K833" s="220" t="str">
        <f>AA830</f>
        <v>a</v>
      </c>
      <c r="L833" s="220" t="str">
        <f>AI830</f>
        <v>n</v>
      </c>
      <c r="M833" s="220" t="str">
        <f>AQ830</f>
        <v>H</v>
      </c>
      <c r="N833" s="220" t="str">
        <f>AY830</f>
        <v>a</v>
      </c>
      <c r="O833" s="220" t="str">
        <f>BG830</f>
        <v>y</v>
      </c>
    </row>
  </sheetData>
  <mergeCells count="34">
    <mergeCell ref="BG3:BN3"/>
    <mergeCell ref="C4:J4"/>
    <mergeCell ref="K4:R4"/>
    <mergeCell ref="S4:Z4"/>
    <mergeCell ref="AA4:AH4"/>
    <mergeCell ref="AI4:AP4"/>
    <mergeCell ref="AQ4:AX4"/>
    <mergeCell ref="AY4:BF4"/>
    <mergeCell ref="BG4:BN4"/>
    <mergeCell ref="C3:J3"/>
    <mergeCell ref="K3:R3"/>
    <mergeCell ref="S3:Z3"/>
    <mergeCell ref="AA3:AH3"/>
    <mergeCell ref="AI3:AP3"/>
    <mergeCell ref="AQ3:AX3"/>
    <mergeCell ref="AY3:BF3"/>
    <mergeCell ref="A3:A6"/>
    <mergeCell ref="A827:A830"/>
    <mergeCell ref="C829:J829"/>
    <mergeCell ref="K829:R829"/>
    <mergeCell ref="S829:Z829"/>
    <mergeCell ref="C830:J830"/>
    <mergeCell ref="K830:R830"/>
    <mergeCell ref="S830:Z830"/>
    <mergeCell ref="AA829:AH829"/>
    <mergeCell ref="AI829:AP829"/>
    <mergeCell ref="AQ829:AX829"/>
    <mergeCell ref="AY829:BF829"/>
    <mergeCell ref="BG829:BN829"/>
    <mergeCell ref="AA830:AH830"/>
    <mergeCell ref="AI830:AP830"/>
    <mergeCell ref="AQ830:AX830"/>
    <mergeCell ref="AY830:BF830"/>
    <mergeCell ref="BG830:BN83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M585"/>
  <sheetViews>
    <sheetView topLeftCell="A23" zoomScaleNormal="100" workbookViewId="0">
      <selection activeCell="K108" sqref="K108"/>
    </sheetView>
  </sheetViews>
  <sheetFormatPr defaultColWidth="3.7109375" defaultRowHeight="9.9499999999999993" customHeight="1" x14ac:dyDescent="0.25"/>
  <cols>
    <col min="1" max="1" width="15" style="21" bestFit="1" customWidth="1"/>
    <col min="2" max="2" width="5.5703125" style="21" customWidth="1"/>
    <col min="3" max="3" width="3.7109375" style="21" customWidth="1"/>
    <col min="4" max="4" width="3.7109375" style="21"/>
    <col min="5" max="5" width="10.5703125" style="21" bestFit="1" customWidth="1"/>
    <col min="6" max="6" width="9" style="21" bestFit="1" customWidth="1"/>
    <col min="7" max="7" width="8.42578125" style="21" customWidth="1"/>
    <col min="8" max="9" width="9.85546875" style="21" bestFit="1" customWidth="1"/>
    <col min="10" max="10" width="6.5703125" style="21" bestFit="1" customWidth="1"/>
    <col min="11" max="11" width="3.7109375" style="21"/>
    <col min="12" max="12" width="7.5703125" style="21" customWidth="1"/>
    <col min="13" max="13" width="3" style="21" bestFit="1" customWidth="1"/>
    <col min="14" max="25" width="3.7109375" style="21"/>
    <col min="26" max="26" width="5.5703125" style="21" bestFit="1" customWidth="1"/>
    <col min="27" max="31" width="3.7109375" style="21"/>
    <col min="32" max="32" width="3" style="21" bestFit="1" customWidth="1"/>
    <col min="33" max="33" width="3.7109375" style="21"/>
    <col min="34" max="34" width="3" style="21" bestFit="1" customWidth="1"/>
    <col min="35" max="37" width="3.7109375" style="21"/>
    <col min="38" max="38" width="3" style="21" bestFit="1" customWidth="1"/>
    <col min="39" max="42" width="3.7109375" style="21"/>
    <col min="43" max="43" width="5.5703125" style="21" bestFit="1" customWidth="1"/>
    <col min="44" max="16384" width="3.7109375" style="21"/>
  </cols>
  <sheetData>
    <row r="1" spans="1:65" ht="24.95" customHeight="1" x14ac:dyDescent="0.25">
      <c r="A1" s="216" t="s">
        <v>657</v>
      </c>
      <c r="B1" s="64"/>
      <c r="C1" s="62"/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</row>
    <row r="2" spans="1:65" ht="24.95" customHeight="1" x14ac:dyDescent="0.25">
      <c r="A2" s="217" t="str">
        <f>'DES-Enc'!A4</f>
        <v>\kurdish</v>
      </c>
      <c r="B2" s="64"/>
      <c r="C2" s="62"/>
      <c r="E2" s="210" t="str">
        <f>MID(A2,1,1)</f>
        <v>\</v>
      </c>
      <c r="F2" s="211" t="str">
        <f>MID(A2,2,1)</f>
        <v>k</v>
      </c>
      <c r="G2" s="212" t="str">
        <f>MID(A2,3,1)</f>
        <v>u</v>
      </c>
      <c r="H2" s="213" t="str">
        <f>MID(A2,4,1)</f>
        <v>r</v>
      </c>
      <c r="I2" s="210" t="str">
        <f>MID(A2,5,1)</f>
        <v>d</v>
      </c>
      <c r="J2" s="209" t="str">
        <f>MID(A2,6,1)</f>
        <v>i</v>
      </c>
      <c r="K2" s="214" t="str">
        <f>MID(A2,7,1)</f>
        <v>s</v>
      </c>
      <c r="L2" s="215" t="str">
        <f>MID(A2,8,1)</f>
        <v>h</v>
      </c>
    </row>
    <row r="3" spans="1:65" ht="24.95" customHeight="1" thickBot="1" x14ac:dyDescent="0.3">
      <c r="B3" s="64"/>
      <c r="C3" s="62"/>
    </row>
    <row r="4" spans="1:65" ht="16.5" thickTop="1" thickBot="1" x14ac:dyDescent="0.3">
      <c r="A4" s="223" t="s">
        <v>626</v>
      </c>
      <c r="B4" s="224" t="str">
        <f>E2</f>
        <v>\</v>
      </c>
      <c r="C4" s="224"/>
      <c r="D4" s="224"/>
      <c r="E4" s="224"/>
      <c r="F4" s="224"/>
      <c r="G4" s="224"/>
      <c r="H4" s="224"/>
      <c r="I4" s="224"/>
      <c r="J4" s="225" t="str">
        <f>F2</f>
        <v>k</v>
      </c>
      <c r="K4" s="226"/>
      <c r="L4" s="226"/>
      <c r="M4" s="226"/>
      <c r="N4" s="226"/>
      <c r="O4" s="226"/>
      <c r="P4" s="226"/>
      <c r="Q4" s="227"/>
      <c r="R4" s="231" t="str">
        <f>G2</f>
        <v>u</v>
      </c>
      <c r="S4" s="231"/>
      <c r="T4" s="231"/>
      <c r="U4" s="231"/>
      <c r="V4" s="231"/>
      <c r="W4" s="231"/>
      <c r="X4" s="231"/>
      <c r="Y4" s="231"/>
      <c r="Z4" s="232" t="str">
        <f>H2</f>
        <v>r</v>
      </c>
      <c r="AA4" s="232"/>
      <c r="AB4" s="232"/>
      <c r="AC4" s="232"/>
      <c r="AD4" s="232"/>
      <c r="AE4" s="232"/>
      <c r="AF4" s="232"/>
      <c r="AG4" s="232"/>
      <c r="AH4" s="233" t="str">
        <f>I2</f>
        <v>d</v>
      </c>
      <c r="AI4" s="233"/>
      <c r="AJ4" s="233"/>
      <c r="AK4" s="233"/>
      <c r="AL4" s="233"/>
      <c r="AM4" s="233"/>
      <c r="AN4" s="233"/>
      <c r="AO4" s="233"/>
      <c r="AP4" s="234" t="str">
        <f>J2</f>
        <v>i</v>
      </c>
      <c r="AQ4" s="234"/>
      <c r="AR4" s="234"/>
      <c r="AS4" s="234"/>
      <c r="AT4" s="234"/>
      <c r="AU4" s="234"/>
      <c r="AV4" s="234"/>
      <c r="AW4" s="234"/>
      <c r="AX4" s="235" t="str">
        <f>K2</f>
        <v>s</v>
      </c>
      <c r="AY4" s="235"/>
      <c r="AZ4" s="235"/>
      <c r="BA4" s="235"/>
      <c r="BB4" s="235"/>
      <c r="BC4" s="235"/>
      <c r="BD4" s="235"/>
      <c r="BE4" s="235"/>
      <c r="BF4" s="236" t="str">
        <f>L2</f>
        <v>h</v>
      </c>
      <c r="BG4" s="236"/>
      <c r="BH4" s="236"/>
      <c r="BI4" s="236"/>
      <c r="BJ4" s="236"/>
      <c r="BK4" s="236"/>
      <c r="BL4" s="236"/>
      <c r="BM4" s="236"/>
    </row>
    <row r="5" spans="1:65" ht="16.5" thickTop="1" thickBot="1" x14ac:dyDescent="0.3">
      <c r="A5" s="223"/>
      <c r="B5" s="224"/>
      <c r="C5" s="224"/>
      <c r="D5" s="224"/>
      <c r="E5" s="224"/>
      <c r="F5" s="224"/>
      <c r="G5" s="224"/>
      <c r="H5" s="224"/>
      <c r="I5" s="224"/>
      <c r="J5" s="228"/>
      <c r="K5" s="229"/>
      <c r="L5" s="229"/>
      <c r="M5" s="229"/>
      <c r="N5" s="229"/>
      <c r="O5" s="229"/>
      <c r="P5" s="229"/>
      <c r="Q5" s="230"/>
      <c r="R5" s="231"/>
      <c r="S5" s="231"/>
      <c r="T5" s="231"/>
      <c r="U5" s="231"/>
      <c r="V5" s="231"/>
      <c r="W5" s="231"/>
      <c r="X5" s="231"/>
      <c r="Y5" s="231"/>
      <c r="Z5" s="232"/>
      <c r="AA5" s="232"/>
      <c r="AB5" s="232"/>
      <c r="AC5" s="232"/>
      <c r="AD5" s="232"/>
      <c r="AE5" s="232"/>
      <c r="AF5" s="232"/>
      <c r="AG5" s="232"/>
      <c r="AH5" s="233"/>
      <c r="AI5" s="233"/>
      <c r="AJ5" s="233"/>
      <c r="AK5" s="233"/>
      <c r="AL5" s="233"/>
      <c r="AM5" s="233"/>
      <c r="AN5" s="233"/>
      <c r="AO5" s="233"/>
      <c r="AP5" s="234"/>
      <c r="AQ5" s="234"/>
      <c r="AR5" s="234"/>
      <c r="AS5" s="234"/>
      <c r="AT5" s="234"/>
      <c r="AU5" s="234"/>
      <c r="AV5" s="234"/>
      <c r="AW5" s="234"/>
      <c r="AX5" s="235"/>
      <c r="AY5" s="235"/>
      <c r="AZ5" s="235"/>
      <c r="BA5" s="235"/>
      <c r="BB5" s="235"/>
      <c r="BC5" s="235"/>
      <c r="BD5" s="235"/>
      <c r="BE5" s="235"/>
      <c r="BF5" s="236"/>
      <c r="BG5" s="236"/>
      <c r="BH5" s="236"/>
      <c r="BI5" s="236"/>
      <c r="BJ5" s="236"/>
      <c r="BK5" s="236"/>
      <c r="BL5" s="236"/>
      <c r="BM5" s="236"/>
    </row>
    <row r="6" spans="1:65" ht="16.5" thickTop="1" thickBot="1" x14ac:dyDescent="0.3">
      <c r="A6" s="145" t="s">
        <v>627</v>
      </c>
      <c r="B6" s="139">
        <f t="array" ref="B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conv.'!$L$2:$L$258),2,0)</f>
        <v>1</v>
      </c>
      <c r="C6" s="139">
        <f t="array" ref="C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conv.'!$L$2:$L$258),3,0)</f>
        <v>1</v>
      </c>
      <c r="D6" s="139">
        <f t="array" ref="D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conv.'!$L$2:$L$258),4,0)</f>
        <v>1</v>
      </c>
      <c r="E6" s="139">
        <f t="array" ref="E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conv.'!$L$2:$L$258),5,0)</f>
        <v>1</v>
      </c>
      <c r="F6" s="139">
        <f t="array" ref="F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conv.'!$L$2:$L$258),6,0)</f>
        <v>0</v>
      </c>
      <c r="G6" s="139">
        <f t="array" ref="G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conv.'!$L$2:$L$258),7,0)</f>
        <v>1</v>
      </c>
      <c r="H6" s="139">
        <f t="array" ref="H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conv.'!$L$2:$L$258),8,0)</f>
        <v>0</v>
      </c>
      <c r="I6" s="139">
        <f t="array" ref="I6">VLOOKUP(1,CHOOSE({1,2,3,4,5,6,7,8,9},--EXACT('Letter conv.'!$D$2:$D$258,'Key Generator'!B4),'Letter conv.'!$E$2:$E$258,'Letter conv.'!$F$2:$F$258,'Letter conv.'!$G$2:$G$258,'Letter conv.'!$H$2:$H$258,'Letter conv.'!$I$2:$I$258,'Letter conv.'!$J$2:$J$258,'Letter conv.'!$K$2:$K$258,'Letter conv.'!$L$2:$L$258),9,0)</f>
        <v>1</v>
      </c>
      <c r="J6" s="138">
        <f t="array" ref="J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conv.'!$L$2:$L$258),2,0)</f>
        <v>0</v>
      </c>
      <c r="K6" s="138">
        <f t="array" ref="K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conv.'!$L$2:$L$258),3,0)</f>
        <v>0</v>
      </c>
      <c r="L6" s="138">
        <f t="array" ref="L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conv.'!$L$2:$L$258),4,0)</f>
        <v>1</v>
      </c>
      <c r="M6" s="138">
        <f t="array" ref="M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conv.'!$L$2:$L$258),5,0)</f>
        <v>0</v>
      </c>
      <c r="N6" s="138">
        <f t="array" ref="N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conv.'!$L$2:$L$258),6,0)</f>
        <v>0</v>
      </c>
      <c r="O6" s="138">
        <f t="array" ref="O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conv.'!$L$2:$L$258),7,0)</f>
        <v>1</v>
      </c>
      <c r="P6" s="138">
        <f t="array" ref="P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conv.'!$L$2:$L$258),8,0)</f>
        <v>0</v>
      </c>
      <c r="Q6" s="138">
        <f t="array" ref="Q6">VLOOKUP(1,CHOOSE({1,2,3,4,5,6,7,8,9},--EXACT('Letter conv.'!$D$2:$D$258,'Key Generator'!J4),'Letter conv.'!$E$2:$E$258,'Letter conv.'!$F$2:$F$258,'Letter conv.'!$G$2:$G$258,'Letter conv.'!$H$2:$H$258,'Letter conv.'!$I$2:$I$258,'Letter conv.'!$J$2:$J$258,'Letter conv.'!$K$2:$K$258,'Letter conv.'!$L$2:$L$258),9,0)</f>
        <v>1</v>
      </c>
      <c r="R6" s="141">
        <f t="array" ref="R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conv.'!$L$2:$L$258),2,0)</f>
        <v>0</v>
      </c>
      <c r="S6" s="141">
        <f t="array" ref="S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conv.'!$L$2:$L$258),3,0)</f>
        <v>0</v>
      </c>
      <c r="T6" s="141">
        <f t="array" ref="T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conv.'!$L$2:$L$258),4,0)</f>
        <v>1</v>
      </c>
      <c r="U6" s="141">
        <f t="array" ref="U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conv.'!$L$2:$L$258),5,0)</f>
        <v>0</v>
      </c>
      <c r="V6" s="141">
        <f t="array" ref="V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conv.'!$L$2:$L$258),6,0)</f>
        <v>1</v>
      </c>
      <c r="W6" s="141">
        <f t="array" ref="W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conv.'!$L$2:$L$258),7,0)</f>
        <v>1</v>
      </c>
      <c r="X6" s="141">
        <f t="array" ref="X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conv.'!$L$2:$L$258),8,0)</f>
        <v>1</v>
      </c>
      <c r="Y6" s="141">
        <f t="array" ref="Y6">VLOOKUP(1,CHOOSE({1,2,3,4,5,6,7,8,9},--EXACT('Letter conv.'!$D$2:$D$258,'Key Generator'!R4),'Letter conv.'!$E$2:$E$258,'Letter conv.'!$F$2:$F$258,'Letter conv.'!$G$2:$G$258,'Letter conv.'!$H$2:$H$258,'Letter conv.'!$I$2:$I$258,'Letter conv.'!$J$2:$J$258,'Letter conv.'!$K$2:$K$258,'Letter conv.'!$L$2:$L$258),9,0)</f>
        <v>1</v>
      </c>
      <c r="Z6" s="137">
        <f t="array" ref="Z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conv.'!$L$2:$L$258),2,0)</f>
        <v>0</v>
      </c>
      <c r="AA6" s="137">
        <f t="array" ref="AA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conv.'!$L$2:$L$258),3,0)</f>
        <v>0</v>
      </c>
      <c r="AB6" s="137">
        <f t="array" ref="AB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conv.'!$L$2:$L$258),4,0)</f>
        <v>1</v>
      </c>
      <c r="AC6" s="137">
        <f t="array" ref="AC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conv.'!$L$2:$L$258),5,0)</f>
        <v>0</v>
      </c>
      <c r="AD6" s="137">
        <f t="array" ref="AD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conv.'!$L$2:$L$258),6,0)</f>
        <v>1</v>
      </c>
      <c r="AE6" s="137">
        <f t="array" ref="AE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conv.'!$L$2:$L$258),7,0)</f>
        <v>1</v>
      </c>
      <c r="AF6" s="137">
        <f t="array" ref="AF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conv.'!$L$2:$L$258),8,0)</f>
        <v>0</v>
      </c>
      <c r="AG6" s="137">
        <f t="array" ref="AG6">VLOOKUP(1,CHOOSE({1,2,3,4,5,6,7,8,9},--EXACT('Letter conv.'!$D$2:$D$258,'Key Generator'!Z4),'Letter conv.'!$E$2:$E$258,'Letter conv.'!$F$2:$F$258,'Letter conv.'!$G$2:$G$258,'Letter conv.'!$H$2:$H$258,'Letter conv.'!$I$2:$I$258,'Letter conv.'!$J$2:$J$258,'Letter conv.'!$K$2:$K$258,'Letter conv.'!$L$2:$L$258),9,0)</f>
        <v>0</v>
      </c>
      <c r="AH6" s="142">
        <f t="array" ref="AH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conv.'!$L$2:$L$258),2,0)</f>
        <v>0</v>
      </c>
      <c r="AI6" s="142">
        <f t="array" ref="AI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conv.'!$L$2:$L$258),3,0)</f>
        <v>0</v>
      </c>
      <c r="AJ6" s="142">
        <f t="array" ref="AJ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conv.'!$L$2:$L$258),4,0)</f>
        <v>0</v>
      </c>
      <c r="AK6" s="142">
        <f t="array" ref="AK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conv.'!$L$2:$L$258),5,0)</f>
        <v>1</v>
      </c>
      <c r="AL6" s="142">
        <f t="array" ref="AL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conv.'!$L$2:$L$258),6,0)</f>
        <v>1</v>
      </c>
      <c r="AM6" s="142">
        <f t="array" ref="AM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conv.'!$L$2:$L$258),7,0)</f>
        <v>1</v>
      </c>
      <c r="AN6" s="142">
        <f t="array" ref="AN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conv.'!$L$2:$L$258),8,0)</f>
        <v>1</v>
      </c>
      <c r="AO6" s="142">
        <f t="array" ref="AO6">VLOOKUP(1,CHOOSE({1,2,3,4,5,6,7,8,9},--EXACT('Letter conv.'!$D$2:$D$258,'Key Generator'!AH4),'Letter conv.'!$E$2:$E$258,'Letter conv.'!$F$2:$F$258,'Letter conv.'!$G$2:$G$258,'Letter conv.'!$H$2:$H$258,'Letter conv.'!$I$2:$I$258,'Letter conv.'!$J$2:$J$258,'Letter conv.'!$K$2:$K$258,'Letter conv.'!$L$2:$L$258),9,0)</f>
        <v>0</v>
      </c>
      <c r="AP6" s="140">
        <f t="array" ref="AP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conv.'!$L$2:$L$258),2,0)</f>
        <v>0</v>
      </c>
      <c r="AQ6" s="140">
        <f t="array" ref="AQ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conv.'!$L$2:$L$258),3,0)</f>
        <v>0</v>
      </c>
      <c r="AR6" s="140">
        <f t="array" ref="AR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conv.'!$L$2:$L$258),4,0)</f>
        <v>1</v>
      </c>
      <c r="AS6" s="140">
        <f t="array" ref="AS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conv.'!$L$2:$L$258),5,0)</f>
        <v>0</v>
      </c>
      <c r="AT6" s="140">
        <f t="array" ref="AT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conv.'!$L$2:$L$258),6,0)</f>
        <v>0</v>
      </c>
      <c r="AU6" s="140">
        <f t="array" ref="AU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conv.'!$L$2:$L$258),7,0)</f>
        <v>0</v>
      </c>
      <c r="AV6" s="140">
        <f t="array" ref="AV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conv.'!$L$2:$L$258),8,0)</f>
        <v>1</v>
      </c>
      <c r="AW6" s="140">
        <f t="array" ref="AW6">VLOOKUP(1,CHOOSE({1,2,3,4,5,6,7,8,9},--EXACT('Letter conv.'!$D$2:$D$258,'Key Generator'!AP4),'Letter conv.'!$E$2:$E$258,'Letter conv.'!$F$2:$F$258,'Letter conv.'!$G$2:$G$258,'Letter conv.'!$H$2:$H$258,'Letter conv.'!$I$2:$I$258,'Letter conv.'!$J$2:$J$258,'Letter conv.'!$K$2:$K$258,'Letter conv.'!$L$2:$L$258),9,0)</f>
        <v>1</v>
      </c>
      <c r="AX6" s="143">
        <f t="array" ref="AX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conv.'!$L$2:$L$258),2,0)</f>
        <v>0</v>
      </c>
      <c r="AY6" s="143">
        <f t="array" ref="AY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conv.'!$L$2:$L$258),3,0)</f>
        <v>0</v>
      </c>
      <c r="AZ6" s="143">
        <f t="array" ref="AZ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conv.'!$L$2:$L$258),4,0)</f>
        <v>1</v>
      </c>
      <c r="BA6" s="143">
        <f t="array" ref="BA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conv.'!$L$2:$L$258),5,0)</f>
        <v>0</v>
      </c>
      <c r="BB6" s="143">
        <f t="array" ref="BB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conv.'!$L$2:$L$258),6,0)</f>
        <v>1</v>
      </c>
      <c r="BC6" s="143">
        <f t="array" ref="BC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conv.'!$L$2:$L$258),7,0)</f>
        <v>1</v>
      </c>
      <c r="BD6" s="143">
        <f t="array" ref="BD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conv.'!$L$2:$L$258),8,0)</f>
        <v>0</v>
      </c>
      <c r="BE6" s="143">
        <f t="array" ref="BE6">VLOOKUP(1,CHOOSE({1,2,3,4,5,6,7,8,9},--EXACT('Letter conv.'!$D$2:$D$258,'Key Generator'!AX4),'Letter conv.'!$E$2:$E$258,'Letter conv.'!$F$2:$F$258,'Letter conv.'!$G$2:$G$258,'Letter conv.'!$H$2:$H$258,'Letter conv.'!$I$2:$I$258,'Letter conv.'!$J$2:$J$258,'Letter conv.'!$K$2:$K$258,'Letter conv.'!$L$2:$L$258),9,0)</f>
        <v>1</v>
      </c>
      <c r="BF6" s="144">
        <f t="array" ref="BF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conv.'!$L$2:$L$258),2,0)</f>
        <v>0</v>
      </c>
      <c r="BG6" s="144">
        <f t="array" ref="BG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conv.'!$L$2:$L$258),3,0)</f>
        <v>0</v>
      </c>
      <c r="BH6" s="144">
        <f t="array" ref="BH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conv.'!$L$2:$L$258),4,0)</f>
        <v>1</v>
      </c>
      <c r="BI6" s="144">
        <f t="array" ref="BI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conv.'!$L$2:$L$258),5,0)</f>
        <v>0</v>
      </c>
      <c r="BJ6" s="144">
        <f t="array" ref="BJ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conv.'!$L$2:$L$258),6,0)</f>
        <v>0</v>
      </c>
      <c r="BK6" s="144">
        <f t="array" ref="BK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conv.'!$L$2:$L$258),7,0)</f>
        <v>0</v>
      </c>
      <c r="BL6" s="144">
        <f t="array" ref="BL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conv.'!$L$2:$L$258),8,0)</f>
        <v>1</v>
      </c>
      <c r="BM6" s="144">
        <f t="array" ref="BM6">VLOOKUP(1,CHOOSE({1,2,3,4,5,6,7,8,9},--EXACT('Letter conv.'!$D$2:$D$258,'Key Generator'!BF4),'Letter conv.'!$E$2:$E$258,'Letter conv.'!$F$2:$F$258,'Letter conv.'!$G$2:$G$258,'Letter conv.'!$H$2:$H$258,'Letter conv.'!$I$2:$I$258,'Letter conv.'!$J$2:$J$258,'Letter conv.'!$K$2:$K$258,'Letter conv.'!$L$2:$L$258),9,0)</f>
        <v>0</v>
      </c>
    </row>
    <row r="7" spans="1:65" ht="9.9499999999999993" customHeight="1" thickTop="1" x14ac:dyDescent="0.25">
      <c r="B7" s="21">
        <v>1</v>
      </c>
      <c r="C7" s="21">
        <v>2</v>
      </c>
      <c r="D7" s="21">
        <v>3</v>
      </c>
      <c r="E7" s="21">
        <v>4</v>
      </c>
      <c r="F7" s="21">
        <v>5</v>
      </c>
      <c r="G7" s="21">
        <v>6</v>
      </c>
      <c r="H7" s="21">
        <v>7</v>
      </c>
      <c r="I7" s="21">
        <v>8</v>
      </c>
      <c r="J7" s="21">
        <v>9</v>
      </c>
      <c r="K7" s="21">
        <v>10</v>
      </c>
      <c r="L7" s="21">
        <v>11</v>
      </c>
      <c r="M7" s="21">
        <v>12</v>
      </c>
      <c r="N7" s="21">
        <v>13</v>
      </c>
      <c r="O7" s="21">
        <v>14</v>
      </c>
      <c r="P7" s="21">
        <v>15</v>
      </c>
      <c r="Q7" s="21">
        <v>16</v>
      </c>
      <c r="R7" s="21">
        <v>17</v>
      </c>
      <c r="S7" s="21">
        <v>18</v>
      </c>
      <c r="T7" s="21">
        <v>19</v>
      </c>
      <c r="U7" s="21">
        <v>20</v>
      </c>
      <c r="V7" s="21">
        <v>21</v>
      </c>
      <c r="W7" s="21">
        <v>22</v>
      </c>
      <c r="X7" s="21">
        <v>23</v>
      </c>
      <c r="Y7" s="21">
        <v>24</v>
      </c>
      <c r="Z7" s="21">
        <v>25</v>
      </c>
      <c r="AA7" s="21">
        <v>26</v>
      </c>
      <c r="AB7" s="21">
        <v>27</v>
      </c>
      <c r="AC7" s="21">
        <v>28</v>
      </c>
      <c r="AD7" s="21">
        <v>29</v>
      </c>
      <c r="AE7" s="21">
        <v>30</v>
      </c>
      <c r="AF7" s="21">
        <v>31</v>
      </c>
      <c r="AG7" s="21">
        <v>32</v>
      </c>
      <c r="AH7" s="21">
        <v>33</v>
      </c>
      <c r="AI7" s="21">
        <v>34</v>
      </c>
      <c r="AJ7" s="21">
        <v>35</v>
      </c>
      <c r="AK7" s="21">
        <v>36</v>
      </c>
      <c r="AL7" s="21">
        <v>37</v>
      </c>
      <c r="AM7" s="21">
        <v>38</v>
      </c>
      <c r="AN7" s="21">
        <v>39</v>
      </c>
      <c r="AO7" s="21">
        <v>40</v>
      </c>
      <c r="AP7" s="21">
        <v>41</v>
      </c>
      <c r="AQ7" s="21">
        <v>42</v>
      </c>
      <c r="AR7" s="21">
        <v>43</v>
      </c>
      <c r="AS7" s="21">
        <v>44</v>
      </c>
      <c r="AT7" s="21">
        <v>45</v>
      </c>
      <c r="AU7" s="21">
        <v>46</v>
      </c>
      <c r="AV7" s="21">
        <v>47</v>
      </c>
      <c r="AW7" s="21">
        <v>48</v>
      </c>
      <c r="AX7" s="21">
        <v>49</v>
      </c>
      <c r="AY7" s="21">
        <v>50</v>
      </c>
      <c r="AZ7" s="21">
        <v>51</v>
      </c>
      <c r="BA7" s="21">
        <v>52</v>
      </c>
      <c r="BB7" s="21">
        <v>53</v>
      </c>
      <c r="BC7" s="21">
        <v>54</v>
      </c>
      <c r="BD7" s="21">
        <v>55</v>
      </c>
      <c r="BE7" s="21">
        <v>56</v>
      </c>
      <c r="BF7" s="21">
        <v>57</v>
      </c>
      <c r="BG7" s="21">
        <v>58</v>
      </c>
      <c r="BH7" s="21">
        <v>59</v>
      </c>
      <c r="BI7" s="21">
        <v>60</v>
      </c>
      <c r="BJ7" s="21">
        <v>61</v>
      </c>
      <c r="BK7" s="21">
        <v>62</v>
      </c>
      <c r="BL7" s="21">
        <v>63</v>
      </c>
      <c r="BM7" s="21">
        <v>64</v>
      </c>
    </row>
    <row r="11" spans="1:65" ht="9.9499999999999993" customHeight="1" x14ac:dyDescent="0.25">
      <c r="A11" s="20"/>
      <c r="B11" s="20"/>
      <c r="C11" s="20"/>
      <c r="D11" s="25"/>
      <c r="E11" s="25"/>
      <c r="F11" s="25"/>
      <c r="G11" s="25"/>
      <c r="H11" s="25"/>
      <c r="I11" s="25"/>
      <c r="J11" s="25"/>
      <c r="K11" s="25"/>
    </row>
    <row r="12" spans="1:65" ht="9.9499999999999993" customHeight="1" x14ac:dyDescent="0.25">
      <c r="A12" s="20"/>
      <c r="B12" s="271" t="str">
        <f>B4</f>
        <v>\</v>
      </c>
      <c r="C12" s="272"/>
      <c r="D12" s="272"/>
      <c r="E12" s="272"/>
      <c r="F12" s="272"/>
      <c r="G12" s="272"/>
      <c r="H12" s="272"/>
      <c r="I12" s="273"/>
      <c r="J12" s="246" t="str">
        <f>J4</f>
        <v>k</v>
      </c>
      <c r="K12" s="247"/>
      <c r="L12" s="247"/>
      <c r="M12" s="247"/>
      <c r="N12" s="247"/>
      <c r="O12" s="247"/>
      <c r="P12" s="247"/>
      <c r="Q12" s="247"/>
      <c r="R12" s="248" t="str">
        <f>R4</f>
        <v>u</v>
      </c>
      <c r="S12" s="249"/>
      <c r="T12" s="249"/>
      <c r="U12" s="249"/>
      <c r="V12" s="249"/>
      <c r="W12" s="249"/>
      <c r="X12" s="249"/>
      <c r="Y12" s="249"/>
      <c r="Z12" s="250" t="str">
        <f>Z4</f>
        <v>r</v>
      </c>
      <c r="AA12" s="251"/>
      <c r="AB12" s="251"/>
      <c r="AC12" s="251"/>
      <c r="AD12" s="251"/>
      <c r="AE12" s="251"/>
      <c r="AF12" s="251"/>
      <c r="AG12" s="251"/>
      <c r="AH12" s="252" t="str">
        <f>AH4</f>
        <v>d</v>
      </c>
      <c r="AI12" s="253"/>
      <c r="AJ12" s="253"/>
      <c r="AK12" s="253"/>
      <c r="AL12" s="253"/>
      <c r="AM12" s="253"/>
      <c r="AN12" s="253"/>
      <c r="AO12" s="253"/>
      <c r="AP12" s="254" t="str">
        <f>AP4</f>
        <v>i</v>
      </c>
      <c r="AQ12" s="255"/>
      <c r="AR12" s="255"/>
      <c r="AS12" s="255"/>
      <c r="AT12" s="255"/>
      <c r="AU12" s="255"/>
      <c r="AV12" s="255"/>
      <c r="AW12" s="255"/>
      <c r="AX12" s="240" t="str">
        <f>AX4</f>
        <v>s</v>
      </c>
      <c r="AY12" s="241"/>
      <c r="AZ12" s="241"/>
      <c r="BA12" s="241"/>
      <c r="BB12" s="241"/>
      <c r="BC12" s="241"/>
      <c r="BD12" s="241"/>
      <c r="BE12" s="241"/>
      <c r="BF12" s="242" t="str">
        <f>BF4</f>
        <v>h</v>
      </c>
      <c r="BG12" s="243"/>
      <c r="BH12" s="243"/>
      <c r="BI12" s="243"/>
      <c r="BJ12" s="243"/>
      <c r="BK12" s="243"/>
      <c r="BL12" s="243"/>
      <c r="BM12" s="243"/>
    </row>
    <row r="13" spans="1:65" ht="16.5" customHeight="1" x14ac:dyDescent="0.25">
      <c r="A13" s="20"/>
      <c r="B13" s="147">
        <f>B6</f>
        <v>1</v>
      </c>
      <c r="C13" s="147">
        <f t="shared" ref="C13:BM13" si="0">C6</f>
        <v>1</v>
      </c>
      <c r="D13" s="147">
        <f t="shared" si="0"/>
        <v>1</v>
      </c>
      <c r="E13" s="147">
        <f t="shared" si="0"/>
        <v>1</v>
      </c>
      <c r="F13" s="147">
        <f t="shared" si="0"/>
        <v>0</v>
      </c>
      <c r="G13" s="147">
        <f t="shared" si="0"/>
        <v>1</v>
      </c>
      <c r="H13" s="147">
        <f t="shared" si="0"/>
        <v>0</v>
      </c>
      <c r="I13" s="147">
        <f t="shared" si="0"/>
        <v>1</v>
      </c>
      <c r="J13" s="148">
        <f t="shared" si="0"/>
        <v>0</v>
      </c>
      <c r="K13" s="148">
        <f t="shared" si="0"/>
        <v>0</v>
      </c>
      <c r="L13" s="148">
        <f t="shared" si="0"/>
        <v>1</v>
      </c>
      <c r="M13" s="148">
        <f t="shared" si="0"/>
        <v>0</v>
      </c>
      <c r="N13" s="148">
        <f t="shared" si="0"/>
        <v>0</v>
      </c>
      <c r="O13" s="148">
        <f t="shared" si="0"/>
        <v>1</v>
      </c>
      <c r="P13" s="148">
        <f t="shared" si="0"/>
        <v>0</v>
      </c>
      <c r="Q13" s="148">
        <f t="shared" si="0"/>
        <v>1</v>
      </c>
      <c r="R13" s="90">
        <f t="shared" si="0"/>
        <v>0</v>
      </c>
      <c r="S13" s="90">
        <f t="shared" si="0"/>
        <v>0</v>
      </c>
      <c r="T13" s="90">
        <f t="shared" si="0"/>
        <v>1</v>
      </c>
      <c r="U13" s="90">
        <f t="shared" si="0"/>
        <v>0</v>
      </c>
      <c r="V13" s="90">
        <f t="shared" si="0"/>
        <v>1</v>
      </c>
      <c r="W13" s="90">
        <f t="shared" si="0"/>
        <v>1</v>
      </c>
      <c r="X13" s="90">
        <f t="shared" si="0"/>
        <v>1</v>
      </c>
      <c r="Y13" s="90">
        <f t="shared" si="0"/>
        <v>1</v>
      </c>
      <c r="Z13" s="150">
        <f t="shared" si="0"/>
        <v>0</v>
      </c>
      <c r="AA13" s="150">
        <f t="shared" si="0"/>
        <v>0</v>
      </c>
      <c r="AB13" s="150">
        <f t="shared" si="0"/>
        <v>1</v>
      </c>
      <c r="AC13" s="150">
        <f t="shared" si="0"/>
        <v>0</v>
      </c>
      <c r="AD13" s="150">
        <f t="shared" si="0"/>
        <v>1</v>
      </c>
      <c r="AE13" s="150">
        <f t="shared" si="0"/>
        <v>1</v>
      </c>
      <c r="AF13" s="150">
        <f t="shared" si="0"/>
        <v>0</v>
      </c>
      <c r="AG13" s="150">
        <f t="shared" si="0"/>
        <v>0</v>
      </c>
      <c r="AH13" s="151">
        <f t="shared" si="0"/>
        <v>0</v>
      </c>
      <c r="AI13" s="151">
        <f t="shared" si="0"/>
        <v>0</v>
      </c>
      <c r="AJ13" s="151">
        <f t="shared" si="0"/>
        <v>0</v>
      </c>
      <c r="AK13" s="151">
        <f t="shared" si="0"/>
        <v>1</v>
      </c>
      <c r="AL13" s="151">
        <f t="shared" si="0"/>
        <v>1</v>
      </c>
      <c r="AM13" s="151">
        <f t="shared" si="0"/>
        <v>1</v>
      </c>
      <c r="AN13" s="151">
        <f t="shared" si="0"/>
        <v>1</v>
      </c>
      <c r="AO13" s="151">
        <f t="shared" si="0"/>
        <v>0</v>
      </c>
      <c r="AP13" s="152">
        <f t="shared" si="0"/>
        <v>0</v>
      </c>
      <c r="AQ13" s="152">
        <f t="shared" si="0"/>
        <v>0</v>
      </c>
      <c r="AR13" s="152">
        <f t="shared" si="0"/>
        <v>1</v>
      </c>
      <c r="AS13" s="152">
        <f t="shared" si="0"/>
        <v>0</v>
      </c>
      <c r="AT13" s="152">
        <f t="shared" si="0"/>
        <v>0</v>
      </c>
      <c r="AU13" s="152">
        <f t="shared" si="0"/>
        <v>0</v>
      </c>
      <c r="AV13" s="152">
        <f t="shared" si="0"/>
        <v>1</v>
      </c>
      <c r="AW13" s="152">
        <f t="shared" si="0"/>
        <v>1</v>
      </c>
      <c r="AX13" s="146">
        <f t="shared" si="0"/>
        <v>0</v>
      </c>
      <c r="AY13" s="146">
        <f t="shared" si="0"/>
        <v>0</v>
      </c>
      <c r="AZ13" s="146">
        <f t="shared" si="0"/>
        <v>1</v>
      </c>
      <c r="BA13" s="146">
        <f t="shared" si="0"/>
        <v>0</v>
      </c>
      <c r="BB13" s="146">
        <f t="shared" si="0"/>
        <v>1</v>
      </c>
      <c r="BC13" s="146">
        <f t="shared" si="0"/>
        <v>1</v>
      </c>
      <c r="BD13" s="146">
        <f t="shared" si="0"/>
        <v>0</v>
      </c>
      <c r="BE13" s="146">
        <f t="shared" si="0"/>
        <v>1</v>
      </c>
      <c r="BF13" s="153">
        <f t="shared" si="0"/>
        <v>0</v>
      </c>
      <c r="BG13" s="153">
        <f t="shared" si="0"/>
        <v>0</v>
      </c>
      <c r="BH13" s="153">
        <f t="shared" si="0"/>
        <v>1</v>
      </c>
      <c r="BI13" s="153">
        <f t="shared" si="0"/>
        <v>0</v>
      </c>
      <c r="BJ13" s="153">
        <f t="shared" si="0"/>
        <v>0</v>
      </c>
      <c r="BK13" s="153">
        <f t="shared" si="0"/>
        <v>0</v>
      </c>
      <c r="BL13" s="153">
        <f t="shared" si="0"/>
        <v>1</v>
      </c>
      <c r="BM13" s="153">
        <f t="shared" si="0"/>
        <v>0</v>
      </c>
    </row>
    <row r="14" spans="1:65" ht="9.9499999999999993" customHeight="1" x14ac:dyDescent="0.25">
      <c r="A14" s="20"/>
      <c r="B14" s="20">
        <v>1</v>
      </c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  <c r="L14" s="20">
        <v>11</v>
      </c>
      <c r="M14" s="20">
        <v>12</v>
      </c>
      <c r="N14" s="20">
        <v>13</v>
      </c>
      <c r="O14" s="20">
        <v>14</v>
      </c>
      <c r="P14" s="20">
        <v>15</v>
      </c>
      <c r="Q14" s="20">
        <v>16</v>
      </c>
      <c r="R14" s="20">
        <v>17</v>
      </c>
      <c r="S14" s="20">
        <v>18</v>
      </c>
      <c r="T14" s="20">
        <v>19</v>
      </c>
      <c r="U14" s="20">
        <v>20</v>
      </c>
      <c r="V14" s="20">
        <v>21</v>
      </c>
      <c r="W14" s="20">
        <v>22</v>
      </c>
      <c r="X14" s="20">
        <v>23</v>
      </c>
      <c r="Y14" s="20">
        <v>24</v>
      </c>
      <c r="Z14" s="20">
        <v>25</v>
      </c>
      <c r="AA14" s="20">
        <v>26</v>
      </c>
      <c r="AB14" s="20">
        <v>27</v>
      </c>
      <c r="AC14" s="20">
        <v>28</v>
      </c>
      <c r="AD14" s="20">
        <v>29</v>
      </c>
      <c r="AE14" s="20">
        <v>30</v>
      </c>
      <c r="AF14" s="20">
        <v>31</v>
      </c>
      <c r="AG14" s="20">
        <v>32</v>
      </c>
      <c r="AH14" s="20">
        <v>33</v>
      </c>
      <c r="AI14" s="20">
        <v>34</v>
      </c>
      <c r="AJ14" s="20">
        <v>35</v>
      </c>
      <c r="AK14" s="20">
        <v>36</v>
      </c>
      <c r="AL14" s="20">
        <v>37</v>
      </c>
      <c r="AM14" s="20">
        <v>38</v>
      </c>
      <c r="AN14" s="20">
        <v>39</v>
      </c>
      <c r="AO14" s="20">
        <v>40</v>
      </c>
      <c r="AP14" s="20">
        <v>41</v>
      </c>
      <c r="AQ14" s="20">
        <v>42</v>
      </c>
      <c r="AR14" s="20">
        <v>43</v>
      </c>
      <c r="AS14" s="20">
        <v>44</v>
      </c>
      <c r="AT14" s="20">
        <v>45</v>
      </c>
      <c r="AU14" s="20">
        <v>46</v>
      </c>
      <c r="AV14" s="20">
        <v>47</v>
      </c>
      <c r="AW14" s="20">
        <v>48</v>
      </c>
      <c r="AX14" s="20">
        <v>49</v>
      </c>
      <c r="AY14" s="20">
        <v>50</v>
      </c>
      <c r="AZ14" s="20">
        <v>51</v>
      </c>
      <c r="BA14" s="20">
        <v>52</v>
      </c>
      <c r="BB14" s="20">
        <v>53</v>
      </c>
      <c r="BC14" s="20">
        <v>54</v>
      </c>
      <c r="BD14" s="20">
        <v>55</v>
      </c>
      <c r="BE14" s="20">
        <v>56</v>
      </c>
      <c r="BF14" s="20">
        <v>57</v>
      </c>
      <c r="BG14" s="20">
        <v>58</v>
      </c>
      <c r="BH14" s="20">
        <v>59</v>
      </c>
      <c r="BI14" s="20">
        <v>60</v>
      </c>
      <c r="BJ14" s="20">
        <v>61</v>
      </c>
      <c r="BK14" s="20">
        <v>62</v>
      </c>
      <c r="BL14" s="20">
        <v>63</v>
      </c>
      <c r="BM14" s="20">
        <v>64</v>
      </c>
    </row>
    <row r="15" spans="1:65" ht="9.9499999999999993" customHeight="1" x14ac:dyDescent="0.25">
      <c r="A15" s="20"/>
      <c r="B15" s="20"/>
      <c r="C15" s="20"/>
      <c r="D15" s="25"/>
      <c r="E15" s="25"/>
      <c r="F15" s="25"/>
      <c r="G15" s="25"/>
      <c r="H15" s="25"/>
      <c r="I15" s="25"/>
      <c r="J15" s="25"/>
      <c r="K15" s="25"/>
    </row>
    <row r="16" spans="1:65" ht="9.9499999999999993" customHeight="1" x14ac:dyDescent="0.25">
      <c r="A16" s="20"/>
      <c r="B16" s="20"/>
      <c r="C16" s="20"/>
      <c r="D16" s="25"/>
      <c r="E16" s="25"/>
      <c r="F16" s="25"/>
      <c r="G16" s="25"/>
      <c r="H16" s="25"/>
      <c r="I16" s="25"/>
      <c r="J16" s="25"/>
      <c r="K16" s="25"/>
    </row>
    <row r="17" spans="1:18" ht="9.9499999999999993" customHeight="1" x14ac:dyDescent="0.25">
      <c r="A17" s="20"/>
      <c r="B17" s="28" t="s">
        <v>505</v>
      </c>
      <c r="C17" s="20"/>
      <c r="D17" s="25"/>
      <c r="E17" s="25"/>
      <c r="F17" s="25"/>
      <c r="G17" s="25"/>
      <c r="H17" s="25"/>
      <c r="I17" s="25"/>
      <c r="J17" s="25"/>
      <c r="K17" s="25" t="s">
        <v>506</v>
      </c>
    </row>
    <row r="18" spans="1:18" ht="9.9499999999999993" customHeight="1" x14ac:dyDescent="0.25">
      <c r="A18" s="20">
        <v>1</v>
      </c>
      <c r="B18" s="29">
        <v>57</v>
      </c>
      <c r="C18" s="29">
        <v>49</v>
      </c>
      <c r="D18" s="29">
        <v>41</v>
      </c>
      <c r="E18" s="29">
        <v>33</v>
      </c>
      <c r="F18" s="26">
        <v>25</v>
      </c>
      <c r="G18" s="26">
        <v>17</v>
      </c>
      <c r="H18" s="26">
        <v>9</v>
      </c>
      <c r="I18" s="26">
        <v>1</v>
      </c>
      <c r="J18" s="25"/>
      <c r="K18" s="29">
        <f t="shared" ref="K18:R24" si="1">LOOKUP(B18,$B$14:$BM$14,$B$13:$BM$13)</f>
        <v>0</v>
      </c>
      <c r="L18" s="29">
        <f t="shared" si="1"/>
        <v>0</v>
      </c>
      <c r="M18" s="29">
        <f t="shared" si="1"/>
        <v>0</v>
      </c>
      <c r="N18" s="29">
        <f t="shared" si="1"/>
        <v>0</v>
      </c>
      <c r="O18" s="29">
        <f t="shared" si="1"/>
        <v>0</v>
      </c>
      <c r="P18" s="29">
        <f t="shared" si="1"/>
        <v>0</v>
      </c>
      <c r="Q18" s="29">
        <f t="shared" si="1"/>
        <v>0</v>
      </c>
      <c r="R18" s="29">
        <f t="shared" si="1"/>
        <v>1</v>
      </c>
    </row>
    <row r="19" spans="1:18" ht="9.9499999999999993" customHeight="1" x14ac:dyDescent="0.25">
      <c r="A19" s="20">
        <v>2</v>
      </c>
      <c r="B19" s="29">
        <v>58</v>
      </c>
      <c r="C19" s="29">
        <v>50</v>
      </c>
      <c r="D19" s="29">
        <v>42</v>
      </c>
      <c r="E19" s="29">
        <v>34</v>
      </c>
      <c r="F19" s="26">
        <v>26</v>
      </c>
      <c r="G19" s="26">
        <v>18</v>
      </c>
      <c r="H19" s="26">
        <v>10</v>
      </c>
      <c r="I19" s="26">
        <v>2</v>
      </c>
      <c r="J19" s="25"/>
      <c r="K19" s="29">
        <f t="shared" si="1"/>
        <v>0</v>
      </c>
      <c r="L19" s="29">
        <f t="shared" si="1"/>
        <v>0</v>
      </c>
      <c r="M19" s="29">
        <f t="shared" si="1"/>
        <v>0</v>
      </c>
      <c r="N19" s="29">
        <f t="shared" si="1"/>
        <v>0</v>
      </c>
      <c r="O19" s="29">
        <f t="shared" si="1"/>
        <v>0</v>
      </c>
      <c r="P19" s="29">
        <f t="shared" si="1"/>
        <v>0</v>
      </c>
      <c r="Q19" s="29">
        <f t="shared" si="1"/>
        <v>0</v>
      </c>
      <c r="R19" s="29">
        <f t="shared" si="1"/>
        <v>1</v>
      </c>
    </row>
    <row r="20" spans="1:18" ht="9.9499999999999993" customHeight="1" x14ac:dyDescent="0.25">
      <c r="A20" s="20">
        <v>3</v>
      </c>
      <c r="B20" s="29">
        <v>59</v>
      </c>
      <c r="C20" s="29">
        <v>51</v>
      </c>
      <c r="D20" s="29">
        <v>43</v>
      </c>
      <c r="E20" s="29">
        <v>35</v>
      </c>
      <c r="F20" s="26">
        <v>27</v>
      </c>
      <c r="G20" s="26">
        <v>19</v>
      </c>
      <c r="H20" s="26">
        <v>11</v>
      </c>
      <c r="I20" s="26">
        <v>3</v>
      </c>
      <c r="J20" s="25"/>
      <c r="K20" s="29">
        <f t="shared" si="1"/>
        <v>1</v>
      </c>
      <c r="L20" s="29">
        <f t="shared" si="1"/>
        <v>1</v>
      </c>
      <c r="M20" s="29">
        <f t="shared" si="1"/>
        <v>1</v>
      </c>
      <c r="N20" s="29">
        <f t="shared" si="1"/>
        <v>0</v>
      </c>
      <c r="O20" s="29">
        <f t="shared" si="1"/>
        <v>1</v>
      </c>
      <c r="P20" s="29">
        <f t="shared" si="1"/>
        <v>1</v>
      </c>
      <c r="Q20" s="29">
        <f t="shared" si="1"/>
        <v>1</v>
      </c>
      <c r="R20" s="29">
        <f t="shared" si="1"/>
        <v>1</v>
      </c>
    </row>
    <row r="21" spans="1:18" ht="9.9499999999999993" customHeight="1" x14ac:dyDescent="0.25">
      <c r="A21" s="20">
        <v>4</v>
      </c>
      <c r="B21" s="29">
        <v>60</v>
      </c>
      <c r="C21" s="29">
        <v>52</v>
      </c>
      <c r="D21" s="29">
        <v>44</v>
      </c>
      <c r="E21" s="30">
        <v>36</v>
      </c>
      <c r="F21" s="23">
        <v>63</v>
      </c>
      <c r="G21" s="23">
        <v>55</v>
      </c>
      <c r="H21" s="23">
        <v>47</v>
      </c>
      <c r="I21" s="23">
        <v>39</v>
      </c>
      <c r="J21" s="25"/>
      <c r="K21" s="29">
        <f t="shared" si="1"/>
        <v>0</v>
      </c>
      <c r="L21" s="29">
        <f t="shared" si="1"/>
        <v>0</v>
      </c>
      <c r="M21" s="29">
        <f t="shared" si="1"/>
        <v>0</v>
      </c>
      <c r="N21" s="29">
        <f t="shared" si="1"/>
        <v>1</v>
      </c>
      <c r="O21" s="29">
        <f t="shared" si="1"/>
        <v>1</v>
      </c>
      <c r="P21" s="29">
        <f t="shared" si="1"/>
        <v>0</v>
      </c>
      <c r="Q21" s="29">
        <f t="shared" si="1"/>
        <v>1</v>
      </c>
      <c r="R21" s="29">
        <f t="shared" si="1"/>
        <v>1</v>
      </c>
    </row>
    <row r="22" spans="1:18" ht="9.9499999999999993" customHeight="1" x14ac:dyDescent="0.25">
      <c r="A22" s="20">
        <v>5</v>
      </c>
      <c r="B22" s="31">
        <v>31</v>
      </c>
      <c r="C22" s="31">
        <v>23</v>
      </c>
      <c r="D22" s="31">
        <v>15</v>
      </c>
      <c r="E22" s="31">
        <v>7</v>
      </c>
      <c r="F22" s="23">
        <v>62</v>
      </c>
      <c r="G22" s="23">
        <v>54</v>
      </c>
      <c r="H22" s="23">
        <v>46</v>
      </c>
      <c r="I22" s="23">
        <v>38</v>
      </c>
      <c r="J22" s="32" t="s">
        <v>507</v>
      </c>
      <c r="K22" s="29">
        <f t="shared" si="1"/>
        <v>0</v>
      </c>
      <c r="L22" s="29">
        <f t="shared" si="1"/>
        <v>1</v>
      </c>
      <c r="M22" s="29">
        <f t="shared" si="1"/>
        <v>0</v>
      </c>
      <c r="N22" s="29">
        <f t="shared" si="1"/>
        <v>0</v>
      </c>
      <c r="O22" s="29">
        <f t="shared" si="1"/>
        <v>0</v>
      </c>
      <c r="P22" s="29">
        <f t="shared" si="1"/>
        <v>1</v>
      </c>
      <c r="Q22" s="29">
        <f t="shared" si="1"/>
        <v>0</v>
      </c>
      <c r="R22" s="29">
        <f t="shared" si="1"/>
        <v>1</v>
      </c>
    </row>
    <row r="23" spans="1:18" ht="9.9499999999999993" customHeight="1" x14ac:dyDescent="0.25">
      <c r="A23" s="20">
        <v>6</v>
      </c>
      <c r="B23" s="31">
        <v>30</v>
      </c>
      <c r="C23" s="31">
        <v>22</v>
      </c>
      <c r="D23" s="31">
        <v>14</v>
      </c>
      <c r="E23" s="31">
        <v>6</v>
      </c>
      <c r="F23" s="23">
        <v>61</v>
      </c>
      <c r="G23" s="23">
        <v>53</v>
      </c>
      <c r="H23" s="23">
        <v>45</v>
      </c>
      <c r="I23" s="23">
        <v>37</v>
      </c>
      <c r="J23" s="25"/>
      <c r="K23" s="29">
        <f t="shared" si="1"/>
        <v>1</v>
      </c>
      <c r="L23" s="29">
        <f t="shared" si="1"/>
        <v>1</v>
      </c>
      <c r="M23" s="29">
        <f t="shared" si="1"/>
        <v>1</v>
      </c>
      <c r="N23" s="29">
        <f t="shared" si="1"/>
        <v>1</v>
      </c>
      <c r="O23" s="29">
        <f t="shared" si="1"/>
        <v>0</v>
      </c>
      <c r="P23" s="29">
        <f t="shared" si="1"/>
        <v>1</v>
      </c>
      <c r="Q23" s="29">
        <f t="shared" si="1"/>
        <v>0</v>
      </c>
      <c r="R23" s="29">
        <f t="shared" si="1"/>
        <v>1</v>
      </c>
    </row>
    <row r="24" spans="1:18" ht="9.9499999999999993" customHeight="1" x14ac:dyDescent="0.25">
      <c r="A24" s="20">
        <v>7</v>
      </c>
      <c r="B24" s="31">
        <v>29</v>
      </c>
      <c r="C24" s="31">
        <v>21</v>
      </c>
      <c r="D24" s="31">
        <v>13</v>
      </c>
      <c r="E24" s="31">
        <v>5</v>
      </c>
      <c r="F24" s="23">
        <v>28</v>
      </c>
      <c r="G24" s="23">
        <v>20</v>
      </c>
      <c r="H24" s="23">
        <v>12</v>
      </c>
      <c r="I24" s="23">
        <v>4</v>
      </c>
      <c r="J24" s="25"/>
      <c r="K24" s="29">
        <f t="shared" si="1"/>
        <v>1</v>
      </c>
      <c r="L24" s="29">
        <f t="shared" si="1"/>
        <v>1</v>
      </c>
      <c r="M24" s="29">
        <f t="shared" si="1"/>
        <v>0</v>
      </c>
      <c r="N24" s="29">
        <f t="shared" si="1"/>
        <v>0</v>
      </c>
      <c r="O24" s="29">
        <f t="shared" si="1"/>
        <v>0</v>
      </c>
      <c r="P24" s="29">
        <f t="shared" si="1"/>
        <v>0</v>
      </c>
      <c r="Q24" s="29">
        <f t="shared" si="1"/>
        <v>0</v>
      </c>
      <c r="R24" s="29">
        <f t="shared" si="1"/>
        <v>1</v>
      </c>
    </row>
    <row r="25" spans="1:18" ht="9.9499999999999993" customHeight="1" x14ac:dyDescent="0.25">
      <c r="A25" s="20"/>
      <c r="B25" s="20">
        <v>1</v>
      </c>
      <c r="C25" s="20">
        <v>2</v>
      </c>
      <c r="D25" s="20">
        <v>3</v>
      </c>
      <c r="E25" s="20">
        <v>4</v>
      </c>
      <c r="F25" s="20">
        <v>5</v>
      </c>
      <c r="G25" s="20">
        <v>6</v>
      </c>
      <c r="H25" s="20">
        <v>7</v>
      </c>
      <c r="I25" s="20">
        <v>8</v>
      </c>
      <c r="J25" s="25"/>
      <c r="K25" s="25">
        <v>1</v>
      </c>
      <c r="L25" s="21">
        <v>2</v>
      </c>
      <c r="M25" s="21">
        <v>3</v>
      </c>
      <c r="N25" s="21">
        <v>4</v>
      </c>
      <c r="O25" s="21">
        <v>5</v>
      </c>
      <c r="P25" s="21">
        <v>6</v>
      </c>
      <c r="Q25" s="21">
        <v>7</v>
      </c>
      <c r="R25" s="21">
        <v>8</v>
      </c>
    </row>
    <row r="26" spans="1:18" ht="9.9499999999999993" customHeight="1" x14ac:dyDescent="0.25">
      <c r="A26" s="20"/>
      <c r="B26" s="20"/>
      <c r="C26" s="20"/>
      <c r="D26" s="25"/>
      <c r="E26" s="25"/>
      <c r="F26" s="25"/>
      <c r="G26" s="25"/>
      <c r="H26" s="25"/>
      <c r="I26" s="25"/>
      <c r="J26" s="25"/>
      <c r="K26" s="25"/>
    </row>
    <row r="27" spans="1:18" ht="9.9499999999999993" customHeight="1" x14ac:dyDescent="0.25">
      <c r="A27" s="20"/>
      <c r="B27" s="20"/>
      <c r="C27" s="20"/>
      <c r="D27" s="25"/>
      <c r="E27" s="25"/>
      <c r="F27" s="25"/>
      <c r="G27" s="25"/>
      <c r="H27" s="25"/>
      <c r="I27" s="25"/>
      <c r="J27" s="33" t="s">
        <v>508</v>
      </c>
      <c r="K27" s="25"/>
      <c r="O27" s="34" t="s">
        <v>509</v>
      </c>
    </row>
    <row r="28" spans="1:18" ht="9.9499999999999993" customHeight="1" x14ac:dyDescent="0.25">
      <c r="A28" s="20"/>
      <c r="B28" s="20"/>
      <c r="C28" s="20"/>
      <c r="D28" s="25"/>
      <c r="E28" s="25"/>
      <c r="F28" s="25"/>
      <c r="G28" s="25"/>
      <c r="H28" s="25"/>
      <c r="I28" s="35">
        <f t="shared" ref="I28:L34" si="2">K18</f>
        <v>0</v>
      </c>
      <c r="J28" s="31">
        <f t="shared" si="2"/>
        <v>0</v>
      </c>
      <c r="K28" s="31">
        <f t="shared" si="2"/>
        <v>0</v>
      </c>
      <c r="L28" s="36">
        <f t="shared" si="2"/>
        <v>0</v>
      </c>
      <c r="N28" s="24">
        <f t="shared" ref="N28:Q34" si="3">O18</f>
        <v>0</v>
      </c>
      <c r="O28" s="24">
        <f t="shared" si="3"/>
        <v>0</v>
      </c>
      <c r="P28" s="24">
        <f t="shared" si="3"/>
        <v>0</v>
      </c>
      <c r="Q28" s="37">
        <f t="shared" si="3"/>
        <v>1</v>
      </c>
    </row>
    <row r="29" spans="1:18" ht="9.9499999999999993" customHeight="1" x14ac:dyDescent="0.25">
      <c r="A29" s="20"/>
      <c r="B29" s="20"/>
      <c r="C29" s="20"/>
      <c r="I29" s="31">
        <f t="shared" si="2"/>
        <v>0</v>
      </c>
      <c r="J29" s="31">
        <f t="shared" si="2"/>
        <v>0</v>
      </c>
      <c r="K29" s="31">
        <f t="shared" si="2"/>
        <v>0</v>
      </c>
      <c r="L29" s="36">
        <f t="shared" si="2"/>
        <v>0</v>
      </c>
      <c r="N29" s="24">
        <f t="shared" si="3"/>
        <v>0</v>
      </c>
      <c r="O29" s="24">
        <f t="shared" si="3"/>
        <v>0</v>
      </c>
      <c r="P29" s="24">
        <f t="shared" si="3"/>
        <v>0</v>
      </c>
      <c r="Q29" s="37">
        <f t="shared" si="3"/>
        <v>1</v>
      </c>
    </row>
    <row r="30" spans="1:18" ht="9.9499999999999993" customHeight="1" x14ac:dyDescent="0.25">
      <c r="A30" s="20"/>
      <c r="B30" s="20"/>
      <c r="C30" s="20"/>
      <c r="I30" s="31">
        <f t="shared" si="2"/>
        <v>1</v>
      </c>
      <c r="J30" s="31">
        <f t="shared" si="2"/>
        <v>1</v>
      </c>
      <c r="K30" s="31">
        <f t="shared" si="2"/>
        <v>1</v>
      </c>
      <c r="L30" s="36">
        <f t="shared" si="2"/>
        <v>0</v>
      </c>
      <c r="N30" s="24">
        <f t="shared" si="3"/>
        <v>1</v>
      </c>
      <c r="O30" s="24">
        <f t="shared" si="3"/>
        <v>1</v>
      </c>
      <c r="P30" s="24">
        <f t="shared" si="3"/>
        <v>1</v>
      </c>
      <c r="Q30" s="37">
        <f t="shared" si="3"/>
        <v>1</v>
      </c>
    </row>
    <row r="31" spans="1:18" ht="9.9499999999999993" customHeight="1" x14ac:dyDescent="0.25">
      <c r="I31" s="31">
        <f t="shared" si="2"/>
        <v>0</v>
      </c>
      <c r="J31" s="31">
        <f t="shared" si="2"/>
        <v>0</v>
      </c>
      <c r="K31" s="31">
        <f t="shared" si="2"/>
        <v>0</v>
      </c>
      <c r="L31" s="36">
        <f t="shared" si="2"/>
        <v>1</v>
      </c>
      <c r="N31" s="24">
        <f t="shared" si="3"/>
        <v>1</v>
      </c>
      <c r="O31" s="24">
        <f t="shared" si="3"/>
        <v>0</v>
      </c>
      <c r="P31" s="24">
        <f t="shared" si="3"/>
        <v>1</v>
      </c>
      <c r="Q31" s="37">
        <f t="shared" si="3"/>
        <v>1</v>
      </c>
    </row>
    <row r="32" spans="1:18" ht="9.9499999999999993" customHeight="1" x14ac:dyDescent="0.25">
      <c r="I32" s="31">
        <f t="shared" si="2"/>
        <v>0</v>
      </c>
      <c r="J32" s="31">
        <f t="shared" si="2"/>
        <v>1</v>
      </c>
      <c r="K32" s="31">
        <f t="shared" si="2"/>
        <v>0</v>
      </c>
      <c r="L32" s="36">
        <f t="shared" si="2"/>
        <v>0</v>
      </c>
      <c r="N32" s="24">
        <f t="shared" si="3"/>
        <v>0</v>
      </c>
      <c r="O32" s="24">
        <f t="shared" si="3"/>
        <v>1</v>
      </c>
      <c r="P32" s="24">
        <f t="shared" si="3"/>
        <v>0</v>
      </c>
      <c r="Q32" s="37">
        <f t="shared" si="3"/>
        <v>1</v>
      </c>
    </row>
    <row r="33" spans="6:18" ht="9.9499999999999993" customHeight="1" x14ac:dyDescent="0.25">
      <c r="I33" s="31">
        <f t="shared" si="2"/>
        <v>1</v>
      </c>
      <c r="J33" s="31">
        <f t="shared" si="2"/>
        <v>1</v>
      </c>
      <c r="K33" s="31">
        <f t="shared" si="2"/>
        <v>1</v>
      </c>
      <c r="L33" s="36">
        <f t="shared" si="2"/>
        <v>1</v>
      </c>
      <c r="N33" s="24">
        <f t="shared" si="3"/>
        <v>0</v>
      </c>
      <c r="O33" s="24">
        <f t="shared" si="3"/>
        <v>1</v>
      </c>
      <c r="P33" s="24">
        <f t="shared" si="3"/>
        <v>0</v>
      </c>
      <c r="Q33" s="37">
        <f t="shared" si="3"/>
        <v>1</v>
      </c>
    </row>
    <row r="34" spans="6:18" ht="9.9499999999999993" customHeight="1" x14ac:dyDescent="0.25">
      <c r="I34" s="31">
        <f t="shared" si="2"/>
        <v>1</v>
      </c>
      <c r="J34" s="31">
        <f t="shared" si="2"/>
        <v>1</v>
      </c>
      <c r="K34" s="31">
        <f t="shared" si="2"/>
        <v>0</v>
      </c>
      <c r="L34" s="36">
        <f t="shared" si="2"/>
        <v>0</v>
      </c>
      <c r="N34" s="24">
        <f t="shared" si="3"/>
        <v>0</v>
      </c>
      <c r="O34" s="24">
        <f t="shared" si="3"/>
        <v>0</v>
      </c>
      <c r="P34" s="24">
        <f t="shared" si="3"/>
        <v>0</v>
      </c>
      <c r="Q34" s="37">
        <f t="shared" si="3"/>
        <v>1</v>
      </c>
    </row>
    <row r="36" spans="6:18" ht="9.9499999999999993" customHeight="1" x14ac:dyDescent="0.25">
      <c r="H36" s="38" t="s">
        <v>510</v>
      </c>
    </row>
    <row r="37" spans="6:18" ht="9.9499999999999993" customHeight="1" x14ac:dyDescent="0.25">
      <c r="J37" s="33" t="s">
        <v>511</v>
      </c>
      <c r="O37" s="34" t="s">
        <v>512</v>
      </c>
    </row>
    <row r="38" spans="6:18" ht="9.9499999999999993" customHeight="1" x14ac:dyDescent="0.25">
      <c r="I38" s="39">
        <f t="shared" ref="I38:K44" si="4">J28</f>
        <v>0</v>
      </c>
      <c r="J38" s="39">
        <f t="shared" si="4"/>
        <v>0</v>
      </c>
      <c r="K38" s="40">
        <f t="shared" si="4"/>
        <v>0</v>
      </c>
      <c r="L38" s="39">
        <f t="shared" ref="L38:L44" si="5">I28</f>
        <v>0</v>
      </c>
      <c r="N38" s="39">
        <f t="shared" ref="N38:P44" si="6">O28</f>
        <v>0</v>
      </c>
      <c r="O38" s="39">
        <f t="shared" si="6"/>
        <v>0</v>
      </c>
      <c r="P38" s="40">
        <f t="shared" si="6"/>
        <v>1</v>
      </c>
      <c r="Q38" s="39">
        <f t="shared" ref="Q38:Q44" si="7">N28</f>
        <v>0</v>
      </c>
    </row>
    <row r="39" spans="6:18" ht="9.9499999999999993" customHeight="1" x14ac:dyDescent="0.25">
      <c r="I39" s="39">
        <f t="shared" si="4"/>
        <v>0</v>
      </c>
      <c r="J39" s="39">
        <f t="shared" si="4"/>
        <v>0</v>
      </c>
      <c r="K39" s="40">
        <f t="shared" si="4"/>
        <v>0</v>
      </c>
      <c r="L39" s="39">
        <f t="shared" si="5"/>
        <v>0</v>
      </c>
      <c r="N39" s="39">
        <f t="shared" si="6"/>
        <v>0</v>
      </c>
      <c r="O39" s="39">
        <f t="shared" si="6"/>
        <v>0</v>
      </c>
      <c r="P39" s="40">
        <f t="shared" si="6"/>
        <v>1</v>
      </c>
      <c r="Q39" s="39">
        <f t="shared" si="7"/>
        <v>0</v>
      </c>
    </row>
    <row r="40" spans="6:18" ht="9.9499999999999993" customHeight="1" x14ac:dyDescent="0.25">
      <c r="I40" s="39">
        <f t="shared" si="4"/>
        <v>1</v>
      </c>
      <c r="J40" s="39">
        <f t="shared" si="4"/>
        <v>1</v>
      </c>
      <c r="K40" s="40">
        <f t="shared" si="4"/>
        <v>0</v>
      </c>
      <c r="L40" s="39">
        <f t="shared" si="5"/>
        <v>1</v>
      </c>
      <c r="N40" s="39">
        <f t="shared" si="6"/>
        <v>1</v>
      </c>
      <c r="O40" s="39">
        <f t="shared" si="6"/>
        <v>1</v>
      </c>
      <c r="P40" s="40">
        <f t="shared" si="6"/>
        <v>1</v>
      </c>
      <c r="Q40" s="39">
        <f t="shared" si="7"/>
        <v>1</v>
      </c>
    </row>
    <row r="41" spans="6:18" ht="9.9499999999999993" customHeight="1" x14ac:dyDescent="0.25">
      <c r="I41" s="39">
        <f t="shared" si="4"/>
        <v>0</v>
      </c>
      <c r="J41" s="39">
        <f t="shared" si="4"/>
        <v>0</v>
      </c>
      <c r="K41" s="40">
        <f t="shared" si="4"/>
        <v>1</v>
      </c>
      <c r="L41" s="39">
        <f t="shared" si="5"/>
        <v>0</v>
      </c>
      <c r="N41" s="39">
        <f t="shared" si="6"/>
        <v>0</v>
      </c>
      <c r="O41" s="39">
        <f t="shared" si="6"/>
        <v>1</v>
      </c>
      <c r="P41" s="40">
        <f t="shared" si="6"/>
        <v>1</v>
      </c>
      <c r="Q41" s="39">
        <f t="shared" si="7"/>
        <v>1</v>
      </c>
    </row>
    <row r="42" spans="6:18" ht="9.9499999999999993" customHeight="1" x14ac:dyDescent="0.25">
      <c r="I42" s="39">
        <f t="shared" si="4"/>
        <v>1</v>
      </c>
      <c r="J42" s="39">
        <f t="shared" si="4"/>
        <v>0</v>
      </c>
      <c r="K42" s="40">
        <f t="shared" si="4"/>
        <v>0</v>
      </c>
      <c r="L42" s="39">
        <f t="shared" si="5"/>
        <v>0</v>
      </c>
      <c r="N42" s="39">
        <f t="shared" si="6"/>
        <v>1</v>
      </c>
      <c r="O42" s="39">
        <f t="shared" si="6"/>
        <v>0</v>
      </c>
      <c r="P42" s="40">
        <f t="shared" si="6"/>
        <v>1</v>
      </c>
      <c r="Q42" s="39">
        <f t="shared" si="7"/>
        <v>0</v>
      </c>
    </row>
    <row r="43" spans="6:18" ht="9.9499999999999993" customHeight="1" x14ac:dyDescent="0.25">
      <c r="I43" s="39">
        <f t="shared" si="4"/>
        <v>1</v>
      </c>
      <c r="J43" s="39">
        <f t="shared" si="4"/>
        <v>1</v>
      </c>
      <c r="K43" s="40">
        <f t="shared" si="4"/>
        <v>1</v>
      </c>
      <c r="L43" s="39">
        <f t="shared" si="5"/>
        <v>1</v>
      </c>
      <c r="N43" s="39">
        <f t="shared" si="6"/>
        <v>1</v>
      </c>
      <c r="O43" s="39">
        <f t="shared" si="6"/>
        <v>0</v>
      </c>
      <c r="P43" s="40">
        <f t="shared" si="6"/>
        <v>1</v>
      </c>
      <c r="Q43" s="39">
        <f t="shared" si="7"/>
        <v>0</v>
      </c>
    </row>
    <row r="44" spans="6:18" ht="9.9499999999999993" customHeight="1" x14ac:dyDescent="0.25">
      <c r="I44" s="39">
        <f t="shared" si="4"/>
        <v>1</v>
      </c>
      <c r="J44" s="39">
        <f t="shared" si="4"/>
        <v>0</v>
      </c>
      <c r="K44" s="40">
        <f t="shared" si="4"/>
        <v>0</v>
      </c>
      <c r="L44" s="39">
        <f t="shared" si="5"/>
        <v>1</v>
      </c>
      <c r="N44" s="39">
        <f t="shared" si="6"/>
        <v>0</v>
      </c>
      <c r="O44" s="39">
        <f t="shared" si="6"/>
        <v>0</v>
      </c>
      <c r="P44" s="40">
        <f t="shared" si="6"/>
        <v>1</v>
      </c>
      <c r="Q44" s="39">
        <f t="shared" si="7"/>
        <v>0</v>
      </c>
    </row>
    <row r="45" spans="6:18" ht="9.9499999999999993" customHeight="1" x14ac:dyDescent="0.25">
      <c r="J45" s="41">
        <v>1</v>
      </c>
      <c r="K45" s="41">
        <v>2</v>
      </c>
      <c r="L45" s="41">
        <v>3</v>
      </c>
      <c r="M45" s="41">
        <v>4</v>
      </c>
      <c r="N45" s="41">
        <v>5</v>
      </c>
      <c r="O45" s="41">
        <v>6</v>
      </c>
      <c r="P45" s="41">
        <v>7</v>
      </c>
      <c r="Q45" s="41">
        <v>8</v>
      </c>
    </row>
    <row r="46" spans="6:18" ht="9.9499999999999993" customHeight="1" x14ac:dyDescent="0.25">
      <c r="F46" s="42"/>
      <c r="I46" s="21">
        <v>1</v>
      </c>
      <c r="J46" s="43">
        <f t="shared" ref="J46:M52" si="8">I38</f>
        <v>0</v>
      </c>
      <c r="K46" s="43">
        <f t="shared" si="8"/>
        <v>0</v>
      </c>
      <c r="L46" s="44">
        <f t="shared" si="8"/>
        <v>0</v>
      </c>
      <c r="M46" s="43">
        <f t="shared" si="8"/>
        <v>0</v>
      </c>
      <c r="N46" s="43">
        <f t="shared" ref="N46:Q52" si="9">N38</f>
        <v>0</v>
      </c>
      <c r="O46" s="43">
        <f t="shared" si="9"/>
        <v>0</v>
      </c>
      <c r="P46" s="44">
        <f t="shared" si="9"/>
        <v>1</v>
      </c>
      <c r="Q46" s="43">
        <f t="shared" si="9"/>
        <v>0</v>
      </c>
      <c r="R46" s="21">
        <v>8</v>
      </c>
    </row>
    <row r="47" spans="6:18" ht="9.9499999999999993" customHeight="1" x14ac:dyDescent="0.25">
      <c r="I47" s="21">
        <v>9</v>
      </c>
      <c r="J47" s="43">
        <f t="shared" si="8"/>
        <v>0</v>
      </c>
      <c r="K47" s="43">
        <f t="shared" si="8"/>
        <v>0</v>
      </c>
      <c r="L47" s="44">
        <f t="shared" si="8"/>
        <v>0</v>
      </c>
      <c r="M47" s="43">
        <f t="shared" si="8"/>
        <v>0</v>
      </c>
      <c r="N47" s="43">
        <f t="shared" si="9"/>
        <v>0</v>
      </c>
      <c r="O47" s="43">
        <f t="shared" si="9"/>
        <v>0</v>
      </c>
      <c r="P47" s="44">
        <f t="shared" si="9"/>
        <v>1</v>
      </c>
      <c r="Q47" s="43">
        <f t="shared" si="9"/>
        <v>0</v>
      </c>
      <c r="R47" s="21">
        <v>16</v>
      </c>
    </row>
    <row r="48" spans="6:18" ht="9.9499999999999993" customHeight="1" x14ac:dyDescent="0.25">
      <c r="I48" s="21">
        <v>17</v>
      </c>
      <c r="J48" s="43">
        <f t="shared" si="8"/>
        <v>1</v>
      </c>
      <c r="K48" s="43">
        <f t="shared" si="8"/>
        <v>1</v>
      </c>
      <c r="L48" s="44">
        <f t="shared" si="8"/>
        <v>0</v>
      </c>
      <c r="M48" s="43">
        <f t="shared" si="8"/>
        <v>1</v>
      </c>
      <c r="N48" s="43">
        <f t="shared" si="9"/>
        <v>1</v>
      </c>
      <c r="O48" s="43">
        <f t="shared" si="9"/>
        <v>1</v>
      </c>
      <c r="P48" s="44">
        <f t="shared" si="9"/>
        <v>1</v>
      </c>
      <c r="Q48" s="43">
        <f t="shared" si="9"/>
        <v>1</v>
      </c>
      <c r="R48" s="21">
        <v>24</v>
      </c>
    </row>
    <row r="49" spans="2:18" ht="9.9499999999999993" customHeight="1" x14ac:dyDescent="0.25">
      <c r="I49" s="21">
        <v>25</v>
      </c>
      <c r="J49" s="43">
        <f t="shared" si="8"/>
        <v>0</v>
      </c>
      <c r="K49" s="43">
        <f t="shared" si="8"/>
        <v>0</v>
      </c>
      <c r="L49" s="44">
        <f t="shared" si="8"/>
        <v>1</v>
      </c>
      <c r="M49" s="43">
        <f t="shared" si="8"/>
        <v>0</v>
      </c>
      <c r="N49" s="43">
        <f t="shared" si="9"/>
        <v>0</v>
      </c>
      <c r="O49" s="43">
        <f t="shared" si="9"/>
        <v>1</v>
      </c>
      <c r="P49" s="44">
        <f t="shared" si="9"/>
        <v>1</v>
      </c>
      <c r="Q49" s="43">
        <f t="shared" si="9"/>
        <v>1</v>
      </c>
      <c r="R49" s="21">
        <v>32</v>
      </c>
    </row>
    <row r="50" spans="2:18" ht="9.9499999999999993" customHeight="1" x14ac:dyDescent="0.25">
      <c r="I50" s="21">
        <v>33</v>
      </c>
      <c r="J50" s="43">
        <f t="shared" si="8"/>
        <v>1</v>
      </c>
      <c r="K50" s="43">
        <f t="shared" si="8"/>
        <v>0</v>
      </c>
      <c r="L50" s="44">
        <f t="shared" si="8"/>
        <v>0</v>
      </c>
      <c r="M50" s="43">
        <f t="shared" si="8"/>
        <v>0</v>
      </c>
      <c r="N50" s="43">
        <f t="shared" si="9"/>
        <v>1</v>
      </c>
      <c r="O50" s="43">
        <f t="shared" si="9"/>
        <v>0</v>
      </c>
      <c r="P50" s="44">
        <f t="shared" si="9"/>
        <v>1</v>
      </c>
      <c r="Q50" s="43">
        <f t="shared" si="9"/>
        <v>0</v>
      </c>
      <c r="R50" s="21">
        <v>40</v>
      </c>
    </row>
    <row r="51" spans="2:18" ht="9.9499999999999993" customHeight="1" x14ac:dyDescent="0.25">
      <c r="I51" s="21">
        <v>41</v>
      </c>
      <c r="J51" s="43">
        <f t="shared" si="8"/>
        <v>1</v>
      </c>
      <c r="K51" s="43">
        <f t="shared" si="8"/>
        <v>1</v>
      </c>
      <c r="L51" s="44">
        <f t="shared" si="8"/>
        <v>1</v>
      </c>
      <c r="M51" s="43">
        <f t="shared" si="8"/>
        <v>1</v>
      </c>
      <c r="N51" s="43">
        <f t="shared" si="9"/>
        <v>1</v>
      </c>
      <c r="O51" s="43">
        <f t="shared" si="9"/>
        <v>0</v>
      </c>
      <c r="P51" s="44">
        <f t="shared" si="9"/>
        <v>1</v>
      </c>
      <c r="Q51" s="43">
        <f t="shared" si="9"/>
        <v>0</v>
      </c>
      <c r="R51" s="21">
        <v>48</v>
      </c>
    </row>
    <row r="52" spans="2:18" ht="9.9499999999999993" customHeight="1" x14ac:dyDescent="0.25">
      <c r="F52" s="45"/>
      <c r="G52" s="45" t="s">
        <v>513</v>
      </c>
      <c r="H52" s="45"/>
      <c r="I52" s="21">
        <v>49</v>
      </c>
      <c r="J52" s="43">
        <f t="shared" si="8"/>
        <v>1</v>
      </c>
      <c r="K52" s="43">
        <f t="shared" si="8"/>
        <v>0</v>
      </c>
      <c r="L52" s="44">
        <f t="shared" si="8"/>
        <v>0</v>
      </c>
      <c r="M52" s="43">
        <f t="shared" si="8"/>
        <v>1</v>
      </c>
      <c r="N52" s="43">
        <f t="shared" si="9"/>
        <v>0</v>
      </c>
      <c r="O52" s="43">
        <f t="shared" si="9"/>
        <v>0</v>
      </c>
      <c r="P52" s="44">
        <f t="shared" si="9"/>
        <v>1</v>
      </c>
      <c r="Q52" s="43">
        <f t="shared" si="9"/>
        <v>0</v>
      </c>
      <c r="R52" s="21">
        <v>56</v>
      </c>
    </row>
    <row r="53" spans="2:18" ht="9.9499999999999993" customHeight="1" x14ac:dyDescent="0.25">
      <c r="C53" s="46" t="s">
        <v>514</v>
      </c>
    </row>
    <row r="54" spans="2:18" ht="9.9499999999999993" customHeight="1" x14ac:dyDescent="0.25">
      <c r="C54" s="21">
        <v>1</v>
      </c>
      <c r="D54" s="21">
        <v>2</v>
      </c>
      <c r="E54" s="21">
        <v>3</v>
      </c>
      <c r="F54" s="21">
        <v>4</v>
      </c>
      <c r="G54" s="21">
        <v>5</v>
      </c>
      <c r="H54" s="21">
        <v>6</v>
      </c>
      <c r="J54" s="21">
        <v>1</v>
      </c>
      <c r="K54" s="21">
        <v>2</v>
      </c>
      <c r="L54" s="21">
        <v>3</v>
      </c>
      <c r="M54" s="21">
        <v>4</v>
      </c>
      <c r="N54" s="21">
        <v>5</v>
      </c>
      <c r="O54" s="21">
        <v>6</v>
      </c>
    </row>
    <row r="55" spans="2:18" ht="9.9499999999999993" customHeight="1" x14ac:dyDescent="0.25">
      <c r="B55" s="21">
        <v>1</v>
      </c>
      <c r="C55" s="29">
        <v>14</v>
      </c>
      <c r="D55" s="29">
        <v>17</v>
      </c>
      <c r="E55" s="29">
        <v>11</v>
      </c>
      <c r="F55" s="29">
        <v>24</v>
      </c>
      <c r="G55" s="29">
        <v>1</v>
      </c>
      <c r="H55" s="29">
        <v>5</v>
      </c>
      <c r="J55" s="29">
        <f>O47</f>
        <v>0</v>
      </c>
      <c r="K55" s="29">
        <f>J48</f>
        <v>1</v>
      </c>
      <c r="L55" s="29">
        <f>L47</f>
        <v>0</v>
      </c>
      <c r="M55" s="29">
        <f>Q48</f>
        <v>1</v>
      </c>
      <c r="N55" s="29">
        <f>J46</f>
        <v>0</v>
      </c>
      <c r="O55" s="29">
        <f>N46</f>
        <v>0</v>
      </c>
      <c r="P55" s="21">
        <v>6</v>
      </c>
    </row>
    <row r="56" spans="2:18" ht="9.9499999999999993" customHeight="1" x14ac:dyDescent="0.25">
      <c r="B56" s="21">
        <v>2</v>
      </c>
      <c r="C56" s="29">
        <v>3</v>
      </c>
      <c r="D56" s="29">
        <v>28</v>
      </c>
      <c r="E56" s="29">
        <v>15</v>
      </c>
      <c r="F56" s="29">
        <v>6</v>
      </c>
      <c r="G56" s="29">
        <v>21</v>
      </c>
      <c r="H56" s="29">
        <v>10</v>
      </c>
      <c r="I56" s="21">
        <v>7</v>
      </c>
      <c r="J56" s="29">
        <f>L46</f>
        <v>0</v>
      </c>
      <c r="K56" s="29">
        <f>M49</f>
        <v>0</v>
      </c>
      <c r="L56" s="29">
        <f>P47</f>
        <v>1</v>
      </c>
      <c r="M56" s="29">
        <f>O46</f>
        <v>0</v>
      </c>
      <c r="N56" s="29">
        <f>N48</f>
        <v>1</v>
      </c>
      <c r="O56" s="29">
        <f>K47</f>
        <v>0</v>
      </c>
      <c r="P56" s="21">
        <v>12</v>
      </c>
    </row>
    <row r="57" spans="2:18" ht="9.9499999999999993" customHeight="1" x14ac:dyDescent="0.25">
      <c r="B57" s="21">
        <v>3</v>
      </c>
      <c r="C57" s="29">
        <v>23</v>
      </c>
      <c r="D57" s="29">
        <v>19</v>
      </c>
      <c r="E57" s="29">
        <v>12</v>
      </c>
      <c r="F57" s="29">
        <v>4</v>
      </c>
      <c r="G57" s="29">
        <v>26</v>
      </c>
      <c r="H57" s="29">
        <v>8</v>
      </c>
      <c r="I57" s="47">
        <v>13</v>
      </c>
      <c r="J57" s="48">
        <f>P48</f>
        <v>1</v>
      </c>
      <c r="K57" s="48">
        <f>L48</f>
        <v>0</v>
      </c>
      <c r="L57" s="48">
        <f>M47</f>
        <v>0</v>
      </c>
      <c r="M57" s="48">
        <f>M46</f>
        <v>0</v>
      </c>
      <c r="N57" s="48">
        <f>K49</f>
        <v>0</v>
      </c>
      <c r="O57" s="48">
        <f>Q46</f>
        <v>0</v>
      </c>
      <c r="P57" s="47">
        <v>18</v>
      </c>
    </row>
    <row r="58" spans="2:18" ht="9.9499999999999993" customHeight="1" x14ac:dyDescent="0.25">
      <c r="B58" s="21">
        <v>4</v>
      </c>
      <c r="C58" s="29">
        <v>16</v>
      </c>
      <c r="D58" s="29">
        <v>7</v>
      </c>
      <c r="E58" s="29">
        <v>27</v>
      </c>
      <c r="F58" s="29">
        <v>20</v>
      </c>
      <c r="G58" s="29">
        <v>13</v>
      </c>
      <c r="H58" s="29">
        <v>2</v>
      </c>
      <c r="I58" s="21">
        <v>19</v>
      </c>
      <c r="J58" s="29">
        <f>Q47</f>
        <v>0</v>
      </c>
      <c r="K58" s="29">
        <f>P46</f>
        <v>1</v>
      </c>
      <c r="L58" s="29">
        <f>L49</f>
        <v>1</v>
      </c>
      <c r="M58" s="29">
        <f>M48</f>
        <v>1</v>
      </c>
      <c r="N58" s="29">
        <f>N47</f>
        <v>0</v>
      </c>
      <c r="O58" s="29">
        <f>K46</f>
        <v>0</v>
      </c>
      <c r="P58" s="21">
        <v>24</v>
      </c>
    </row>
    <row r="59" spans="2:18" ht="9.9499999999999993" customHeight="1" x14ac:dyDescent="0.25">
      <c r="B59" s="21">
        <v>5</v>
      </c>
      <c r="C59" s="29">
        <v>41</v>
      </c>
      <c r="D59" s="29">
        <v>52</v>
      </c>
      <c r="E59" s="29">
        <v>31</v>
      </c>
      <c r="F59" s="29">
        <v>37</v>
      </c>
      <c r="G59" s="29">
        <v>47</v>
      </c>
      <c r="H59" s="29">
        <v>55</v>
      </c>
      <c r="I59" s="45">
        <v>25</v>
      </c>
      <c r="J59" s="49">
        <f>J51</f>
        <v>1</v>
      </c>
      <c r="K59" s="49">
        <f>M52</f>
        <v>1</v>
      </c>
      <c r="L59" s="49">
        <f>P49</f>
        <v>1</v>
      </c>
      <c r="M59" s="49">
        <f>N50</f>
        <v>1</v>
      </c>
      <c r="N59" s="49">
        <f>P51</f>
        <v>1</v>
      </c>
      <c r="O59" s="49">
        <f>P52</f>
        <v>1</v>
      </c>
      <c r="P59" s="45">
        <v>30</v>
      </c>
    </row>
    <row r="60" spans="2:18" ht="9.9499999999999993" customHeight="1" x14ac:dyDescent="0.25">
      <c r="B60" s="21">
        <v>6</v>
      </c>
      <c r="C60" s="29">
        <v>30</v>
      </c>
      <c r="D60" s="29">
        <v>40</v>
      </c>
      <c r="E60" s="29">
        <v>51</v>
      </c>
      <c r="F60" s="29">
        <v>45</v>
      </c>
      <c r="G60" s="29">
        <v>33</v>
      </c>
      <c r="H60" s="29">
        <v>48</v>
      </c>
      <c r="I60" s="21">
        <v>31</v>
      </c>
      <c r="J60" s="29">
        <f>O49</f>
        <v>1</v>
      </c>
      <c r="K60" s="29">
        <f>Q50</f>
        <v>0</v>
      </c>
      <c r="L60" s="29">
        <f>L52</f>
        <v>0</v>
      </c>
      <c r="M60" s="29">
        <f>N51</f>
        <v>1</v>
      </c>
      <c r="N60" s="29">
        <f>J50</f>
        <v>1</v>
      </c>
      <c r="O60" s="29">
        <f>Q51</f>
        <v>0</v>
      </c>
      <c r="P60" s="21">
        <v>36</v>
      </c>
    </row>
    <row r="61" spans="2:18" ht="9.9499999999999993" customHeight="1" x14ac:dyDescent="0.25">
      <c r="B61" s="21">
        <v>7</v>
      </c>
      <c r="C61" s="29">
        <v>44</v>
      </c>
      <c r="D61" s="29">
        <v>49</v>
      </c>
      <c r="E61" s="29">
        <v>39</v>
      </c>
      <c r="F61" s="29">
        <v>56</v>
      </c>
      <c r="G61" s="29">
        <v>34</v>
      </c>
      <c r="H61" s="29">
        <v>53</v>
      </c>
      <c r="I61" s="50">
        <v>37</v>
      </c>
      <c r="J61" s="27">
        <f>M51</f>
        <v>1</v>
      </c>
      <c r="K61" s="27">
        <f>J52</f>
        <v>1</v>
      </c>
      <c r="L61" s="27">
        <f>P50</f>
        <v>1</v>
      </c>
      <c r="M61" s="27">
        <f>Q52</f>
        <v>0</v>
      </c>
      <c r="N61" s="27">
        <f>K50</f>
        <v>0</v>
      </c>
      <c r="O61" s="27">
        <f>N52</f>
        <v>0</v>
      </c>
      <c r="P61" s="50">
        <v>42</v>
      </c>
    </row>
    <row r="62" spans="2:18" ht="9.9499999999999993" customHeight="1" x14ac:dyDescent="0.25">
      <c r="B62" s="21">
        <v>8</v>
      </c>
      <c r="C62" s="29">
        <v>46</v>
      </c>
      <c r="D62" s="29">
        <v>42</v>
      </c>
      <c r="E62" s="29">
        <v>50</v>
      </c>
      <c r="F62" s="29">
        <v>36</v>
      </c>
      <c r="G62" s="29">
        <v>29</v>
      </c>
      <c r="H62" s="29">
        <v>32</v>
      </c>
      <c r="I62" s="21">
        <v>43</v>
      </c>
      <c r="J62" s="29">
        <f>O51</f>
        <v>0</v>
      </c>
      <c r="K62" s="29">
        <f>K51</f>
        <v>1</v>
      </c>
      <c r="L62" s="29">
        <f>K52</f>
        <v>0</v>
      </c>
      <c r="M62" s="29">
        <f>M50</f>
        <v>0</v>
      </c>
      <c r="N62" s="29">
        <f>N49</f>
        <v>0</v>
      </c>
      <c r="O62" s="29">
        <f>Q49</f>
        <v>1</v>
      </c>
      <c r="P62" s="21">
        <v>48</v>
      </c>
    </row>
    <row r="66" spans="1:51" ht="9.9499999999999993" customHeight="1" x14ac:dyDescent="0.25">
      <c r="A66" s="51"/>
      <c r="B66" s="51" t="s">
        <v>515</v>
      </c>
      <c r="C66" s="51"/>
      <c r="D66" s="52">
        <v>1</v>
      </c>
      <c r="E66" s="52">
        <v>2</v>
      </c>
      <c r="F66" s="52">
        <v>3</v>
      </c>
      <c r="G66" s="52">
        <v>4</v>
      </c>
      <c r="H66" s="52">
        <v>5</v>
      </c>
      <c r="I66" s="52">
        <v>6</v>
      </c>
      <c r="J66" s="52">
        <v>7</v>
      </c>
      <c r="K66" s="52">
        <v>8</v>
      </c>
      <c r="L66" s="52">
        <v>9</v>
      </c>
      <c r="M66" s="52">
        <v>10</v>
      </c>
      <c r="N66" s="52">
        <v>11</v>
      </c>
      <c r="O66" s="52">
        <v>12</v>
      </c>
      <c r="P66" s="52">
        <v>13</v>
      </c>
      <c r="Q66" s="52">
        <v>14</v>
      </c>
      <c r="R66" s="52">
        <v>15</v>
      </c>
      <c r="S66" s="52">
        <v>16</v>
      </c>
      <c r="T66" s="52">
        <v>17</v>
      </c>
      <c r="U66" s="52">
        <v>18</v>
      </c>
      <c r="V66" s="52">
        <v>19</v>
      </c>
      <c r="W66" s="52">
        <v>20</v>
      </c>
      <c r="X66" s="52">
        <v>21</v>
      </c>
      <c r="Y66" s="52">
        <v>22</v>
      </c>
      <c r="Z66" s="52">
        <v>23</v>
      </c>
      <c r="AA66" s="52">
        <v>24</v>
      </c>
      <c r="AB66" s="52">
        <v>25</v>
      </c>
      <c r="AC66" s="52">
        <v>26</v>
      </c>
      <c r="AD66" s="52">
        <v>27</v>
      </c>
      <c r="AE66" s="52">
        <v>28</v>
      </c>
      <c r="AF66" s="52">
        <v>29</v>
      </c>
      <c r="AG66" s="52">
        <v>30</v>
      </c>
      <c r="AH66" s="52">
        <v>31</v>
      </c>
      <c r="AI66" s="52">
        <v>32</v>
      </c>
      <c r="AJ66" s="52">
        <v>33</v>
      </c>
      <c r="AK66" s="52">
        <v>34</v>
      </c>
      <c r="AL66" s="52">
        <v>35</v>
      </c>
      <c r="AM66" s="52">
        <v>36</v>
      </c>
      <c r="AN66" s="52">
        <v>37</v>
      </c>
      <c r="AO66" s="52">
        <v>38</v>
      </c>
      <c r="AP66" s="52">
        <v>39</v>
      </c>
      <c r="AQ66" s="52">
        <v>40</v>
      </c>
      <c r="AR66" s="52">
        <v>41</v>
      </c>
      <c r="AS66" s="52">
        <v>42</v>
      </c>
      <c r="AT66" s="52">
        <v>43</v>
      </c>
      <c r="AU66" s="52">
        <v>44</v>
      </c>
      <c r="AV66" s="52">
        <v>45</v>
      </c>
      <c r="AW66" s="52">
        <v>46</v>
      </c>
      <c r="AX66" s="52">
        <v>47</v>
      </c>
      <c r="AY66" s="52">
        <v>48</v>
      </c>
    </row>
    <row r="67" spans="1:51" ht="9.9499999999999993" customHeight="1" x14ac:dyDescent="0.25">
      <c r="D67" s="52">
        <f t="shared" ref="D67:I67" si="10">J55</f>
        <v>0</v>
      </c>
      <c r="E67" s="52">
        <f t="shared" si="10"/>
        <v>1</v>
      </c>
      <c r="F67" s="52">
        <f t="shared" si="10"/>
        <v>0</v>
      </c>
      <c r="G67" s="52">
        <f t="shared" si="10"/>
        <v>1</v>
      </c>
      <c r="H67" s="52">
        <f t="shared" si="10"/>
        <v>0</v>
      </c>
      <c r="I67" s="52">
        <f t="shared" si="10"/>
        <v>0</v>
      </c>
      <c r="J67" s="52">
        <f t="shared" ref="J67:O67" si="11">J56</f>
        <v>0</v>
      </c>
      <c r="K67" s="52">
        <f t="shared" si="11"/>
        <v>0</v>
      </c>
      <c r="L67" s="52">
        <f t="shared" si="11"/>
        <v>1</v>
      </c>
      <c r="M67" s="52">
        <f t="shared" si="11"/>
        <v>0</v>
      </c>
      <c r="N67" s="52">
        <f t="shared" si="11"/>
        <v>1</v>
      </c>
      <c r="O67" s="52">
        <f t="shared" si="11"/>
        <v>0</v>
      </c>
      <c r="P67" s="52">
        <f t="shared" ref="P67:U67" si="12">J57</f>
        <v>1</v>
      </c>
      <c r="Q67" s="52">
        <f t="shared" si="12"/>
        <v>0</v>
      </c>
      <c r="R67" s="52">
        <f t="shared" si="12"/>
        <v>0</v>
      </c>
      <c r="S67" s="52">
        <f t="shared" si="12"/>
        <v>0</v>
      </c>
      <c r="T67" s="52">
        <f t="shared" si="12"/>
        <v>0</v>
      </c>
      <c r="U67" s="52">
        <f t="shared" si="12"/>
        <v>0</v>
      </c>
      <c r="V67" s="52">
        <f t="shared" ref="V67:AA67" si="13">J58</f>
        <v>0</v>
      </c>
      <c r="W67" s="52">
        <f t="shared" si="13"/>
        <v>1</v>
      </c>
      <c r="X67" s="52">
        <f t="shared" si="13"/>
        <v>1</v>
      </c>
      <c r="Y67" s="52">
        <f t="shared" si="13"/>
        <v>1</v>
      </c>
      <c r="Z67" s="52">
        <f t="shared" si="13"/>
        <v>0</v>
      </c>
      <c r="AA67" s="52">
        <f t="shared" si="13"/>
        <v>0</v>
      </c>
      <c r="AB67" s="52">
        <f t="shared" ref="AB67:AG67" si="14">J59</f>
        <v>1</v>
      </c>
      <c r="AC67" s="52">
        <f t="shared" si="14"/>
        <v>1</v>
      </c>
      <c r="AD67" s="52">
        <f t="shared" si="14"/>
        <v>1</v>
      </c>
      <c r="AE67" s="52">
        <f t="shared" si="14"/>
        <v>1</v>
      </c>
      <c r="AF67" s="52">
        <f t="shared" si="14"/>
        <v>1</v>
      </c>
      <c r="AG67" s="52">
        <f t="shared" si="14"/>
        <v>1</v>
      </c>
      <c r="AH67" s="52">
        <f t="shared" ref="AH67:AM67" si="15">J60</f>
        <v>1</v>
      </c>
      <c r="AI67" s="52">
        <f t="shared" si="15"/>
        <v>0</v>
      </c>
      <c r="AJ67" s="52">
        <f t="shared" si="15"/>
        <v>0</v>
      </c>
      <c r="AK67" s="52">
        <f t="shared" si="15"/>
        <v>1</v>
      </c>
      <c r="AL67" s="52">
        <f t="shared" si="15"/>
        <v>1</v>
      </c>
      <c r="AM67" s="52">
        <f t="shared" si="15"/>
        <v>0</v>
      </c>
      <c r="AN67" s="52">
        <f t="shared" ref="AN67:AS67" si="16">J61</f>
        <v>1</v>
      </c>
      <c r="AO67" s="52">
        <f t="shared" si="16"/>
        <v>1</v>
      </c>
      <c r="AP67" s="52">
        <f t="shared" si="16"/>
        <v>1</v>
      </c>
      <c r="AQ67" s="52">
        <f t="shared" si="16"/>
        <v>0</v>
      </c>
      <c r="AR67" s="52">
        <f t="shared" si="16"/>
        <v>0</v>
      </c>
      <c r="AS67" s="52">
        <f t="shared" si="16"/>
        <v>0</v>
      </c>
      <c r="AT67" s="52">
        <f t="shared" ref="AT67:AY67" si="17">J62</f>
        <v>0</v>
      </c>
      <c r="AU67" s="52">
        <f t="shared" si="17"/>
        <v>1</v>
      </c>
      <c r="AV67" s="52">
        <f t="shared" si="17"/>
        <v>0</v>
      </c>
      <c r="AW67" s="52">
        <f t="shared" si="17"/>
        <v>0</v>
      </c>
      <c r="AX67" s="52">
        <f t="shared" si="17"/>
        <v>0</v>
      </c>
      <c r="AY67" s="52">
        <f t="shared" si="17"/>
        <v>1</v>
      </c>
    </row>
    <row r="73" spans="1:51" ht="9.9499999999999993" customHeight="1" x14ac:dyDescent="0.25">
      <c r="L73" s="33" t="s">
        <v>516</v>
      </c>
      <c r="Q73" s="34" t="s">
        <v>517</v>
      </c>
    </row>
    <row r="74" spans="1:51" ht="9.9499999999999993" customHeight="1" x14ac:dyDescent="0.25">
      <c r="H74" s="38" t="s">
        <v>510</v>
      </c>
      <c r="K74" s="39">
        <f>J38</f>
        <v>0</v>
      </c>
      <c r="L74" s="40">
        <f>K38</f>
        <v>0</v>
      </c>
      <c r="M74" s="53">
        <f>L38</f>
        <v>0</v>
      </c>
      <c r="N74" s="39">
        <f>I38</f>
        <v>0</v>
      </c>
      <c r="P74" s="39">
        <f>O38</f>
        <v>0</v>
      </c>
      <c r="Q74" s="40">
        <f>P38</f>
        <v>1</v>
      </c>
      <c r="R74" s="53">
        <f>Q38</f>
        <v>0</v>
      </c>
      <c r="S74" s="39">
        <f>N38</f>
        <v>0</v>
      </c>
    </row>
    <row r="75" spans="1:51" ht="9.9499999999999993" customHeight="1" x14ac:dyDescent="0.25">
      <c r="K75" s="39">
        <f t="shared" ref="K75:M80" si="18">J39</f>
        <v>0</v>
      </c>
      <c r="L75" s="40">
        <f t="shared" si="18"/>
        <v>0</v>
      </c>
      <c r="M75" s="53">
        <f t="shared" si="18"/>
        <v>0</v>
      </c>
      <c r="N75" s="39">
        <f t="shared" ref="N75:N80" si="19">I39</f>
        <v>0</v>
      </c>
      <c r="P75" s="39">
        <f t="shared" ref="P75:R80" si="20">O39</f>
        <v>0</v>
      </c>
      <c r="Q75" s="40">
        <f t="shared" si="20"/>
        <v>1</v>
      </c>
      <c r="R75" s="53">
        <f t="shared" si="20"/>
        <v>0</v>
      </c>
      <c r="S75" s="39">
        <f t="shared" ref="S75:S80" si="21">N39</f>
        <v>0</v>
      </c>
    </row>
    <row r="76" spans="1:51" ht="9.9499999999999993" customHeight="1" x14ac:dyDescent="0.25">
      <c r="K76" s="39">
        <f t="shared" si="18"/>
        <v>1</v>
      </c>
      <c r="L76" s="40">
        <f t="shared" si="18"/>
        <v>0</v>
      </c>
      <c r="M76" s="53">
        <f t="shared" si="18"/>
        <v>1</v>
      </c>
      <c r="N76" s="39">
        <f t="shared" si="19"/>
        <v>1</v>
      </c>
      <c r="P76" s="39">
        <f t="shared" si="20"/>
        <v>1</v>
      </c>
      <c r="Q76" s="40">
        <f t="shared" si="20"/>
        <v>1</v>
      </c>
      <c r="R76" s="53">
        <f t="shared" si="20"/>
        <v>1</v>
      </c>
      <c r="S76" s="39">
        <f t="shared" si="21"/>
        <v>1</v>
      </c>
    </row>
    <row r="77" spans="1:51" ht="9.9499999999999993" customHeight="1" x14ac:dyDescent="0.25">
      <c r="K77" s="39">
        <f t="shared" si="18"/>
        <v>0</v>
      </c>
      <c r="L77" s="40">
        <f t="shared" si="18"/>
        <v>1</v>
      </c>
      <c r="M77" s="53">
        <f t="shared" si="18"/>
        <v>0</v>
      </c>
      <c r="N77" s="39">
        <f t="shared" si="19"/>
        <v>0</v>
      </c>
      <c r="P77" s="39">
        <f t="shared" si="20"/>
        <v>1</v>
      </c>
      <c r="Q77" s="40">
        <f t="shared" si="20"/>
        <v>1</v>
      </c>
      <c r="R77" s="53">
        <f t="shared" si="20"/>
        <v>1</v>
      </c>
      <c r="S77" s="39">
        <f t="shared" si="21"/>
        <v>0</v>
      </c>
    </row>
    <row r="78" spans="1:51" ht="9.9499999999999993" customHeight="1" x14ac:dyDescent="0.25">
      <c r="K78" s="39">
        <f t="shared" si="18"/>
        <v>0</v>
      </c>
      <c r="L78" s="40">
        <f t="shared" si="18"/>
        <v>0</v>
      </c>
      <c r="M78" s="53">
        <f t="shared" si="18"/>
        <v>0</v>
      </c>
      <c r="N78" s="39">
        <f t="shared" si="19"/>
        <v>1</v>
      </c>
      <c r="P78" s="39">
        <f t="shared" si="20"/>
        <v>0</v>
      </c>
      <c r="Q78" s="40">
        <f t="shared" si="20"/>
        <v>1</v>
      </c>
      <c r="R78" s="53">
        <f t="shared" si="20"/>
        <v>0</v>
      </c>
      <c r="S78" s="39">
        <f t="shared" si="21"/>
        <v>1</v>
      </c>
    </row>
    <row r="79" spans="1:51" ht="9.9499999999999993" customHeight="1" x14ac:dyDescent="0.25">
      <c r="K79" s="39">
        <f t="shared" si="18"/>
        <v>1</v>
      </c>
      <c r="L79" s="40">
        <f t="shared" si="18"/>
        <v>1</v>
      </c>
      <c r="M79" s="53">
        <f t="shared" si="18"/>
        <v>1</v>
      </c>
      <c r="N79" s="39">
        <f t="shared" si="19"/>
        <v>1</v>
      </c>
      <c r="P79" s="39">
        <f t="shared" si="20"/>
        <v>0</v>
      </c>
      <c r="Q79" s="40">
        <f t="shared" si="20"/>
        <v>1</v>
      </c>
      <c r="R79" s="53">
        <f t="shared" si="20"/>
        <v>0</v>
      </c>
      <c r="S79" s="39">
        <f t="shared" si="21"/>
        <v>1</v>
      </c>
    </row>
    <row r="80" spans="1:51" ht="9.9499999999999993" customHeight="1" x14ac:dyDescent="0.25">
      <c r="K80" s="39">
        <f t="shared" si="18"/>
        <v>0</v>
      </c>
      <c r="L80" s="40">
        <f t="shared" si="18"/>
        <v>0</v>
      </c>
      <c r="M80" s="53">
        <f t="shared" si="18"/>
        <v>1</v>
      </c>
      <c r="N80" s="39">
        <f t="shared" si="19"/>
        <v>1</v>
      </c>
      <c r="P80" s="39">
        <f t="shared" si="20"/>
        <v>0</v>
      </c>
      <c r="Q80" s="40">
        <f t="shared" si="20"/>
        <v>1</v>
      </c>
      <c r="R80" s="53">
        <f t="shared" si="20"/>
        <v>0</v>
      </c>
      <c r="S80" s="39">
        <f t="shared" si="21"/>
        <v>0</v>
      </c>
    </row>
    <row r="82" spans="3:20" ht="9.9499999999999993" customHeight="1" x14ac:dyDescent="0.25">
      <c r="L82" s="21">
        <v>1</v>
      </c>
      <c r="M82" s="21">
        <v>2</v>
      </c>
      <c r="N82" s="21">
        <v>3</v>
      </c>
      <c r="O82" s="21">
        <v>4</v>
      </c>
      <c r="P82" s="21">
        <v>5</v>
      </c>
      <c r="Q82" s="21">
        <v>6</v>
      </c>
      <c r="R82" s="21">
        <v>7</v>
      </c>
      <c r="S82" s="21">
        <v>8</v>
      </c>
    </row>
    <row r="83" spans="3:20" ht="9.9499999999999993" customHeight="1" x14ac:dyDescent="0.25">
      <c r="K83" s="21">
        <v>1</v>
      </c>
      <c r="L83" s="24">
        <f>K74</f>
        <v>0</v>
      </c>
      <c r="M83" s="37">
        <f>L74</f>
        <v>0</v>
      </c>
      <c r="N83" s="24">
        <f>M74</f>
        <v>0</v>
      </c>
      <c r="O83" s="24">
        <f>N74</f>
        <v>0</v>
      </c>
      <c r="P83" s="24">
        <f>P74</f>
        <v>0</v>
      </c>
      <c r="Q83" s="37">
        <f>Q74</f>
        <v>1</v>
      </c>
      <c r="R83" s="24">
        <f>R74</f>
        <v>0</v>
      </c>
      <c r="S83" s="24">
        <f>S74</f>
        <v>0</v>
      </c>
      <c r="T83" s="21">
        <v>8</v>
      </c>
    </row>
    <row r="84" spans="3:20" ht="9.9499999999999993" customHeight="1" x14ac:dyDescent="0.25">
      <c r="K84" s="21">
        <v>9</v>
      </c>
      <c r="L84" s="24">
        <f t="shared" ref="L84:O89" si="22">K75</f>
        <v>0</v>
      </c>
      <c r="M84" s="37">
        <f t="shared" si="22"/>
        <v>0</v>
      </c>
      <c r="N84" s="24">
        <f t="shared" si="22"/>
        <v>0</v>
      </c>
      <c r="O84" s="24">
        <f t="shared" si="22"/>
        <v>0</v>
      </c>
      <c r="P84" s="24">
        <f t="shared" ref="P84:S89" si="23">P75</f>
        <v>0</v>
      </c>
      <c r="Q84" s="37">
        <f t="shared" si="23"/>
        <v>1</v>
      </c>
      <c r="R84" s="24">
        <f t="shared" si="23"/>
        <v>0</v>
      </c>
      <c r="S84" s="24">
        <f t="shared" si="23"/>
        <v>0</v>
      </c>
      <c r="T84" s="21">
        <v>16</v>
      </c>
    </row>
    <row r="85" spans="3:20" ht="9.9499999999999993" customHeight="1" x14ac:dyDescent="0.25">
      <c r="K85" s="21">
        <v>17</v>
      </c>
      <c r="L85" s="24">
        <f t="shared" si="22"/>
        <v>1</v>
      </c>
      <c r="M85" s="37">
        <f t="shared" si="22"/>
        <v>0</v>
      </c>
      <c r="N85" s="24">
        <f t="shared" si="22"/>
        <v>1</v>
      </c>
      <c r="O85" s="24">
        <f t="shared" si="22"/>
        <v>1</v>
      </c>
      <c r="P85" s="24">
        <f t="shared" si="23"/>
        <v>1</v>
      </c>
      <c r="Q85" s="37">
        <f t="shared" si="23"/>
        <v>1</v>
      </c>
      <c r="R85" s="24">
        <f t="shared" si="23"/>
        <v>1</v>
      </c>
      <c r="S85" s="24">
        <f t="shared" si="23"/>
        <v>1</v>
      </c>
      <c r="T85" s="21">
        <v>24</v>
      </c>
    </row>
    <row r="86" spans="3:20" ht="9.9499999999999993" customHeight="1" x14ac:dyDescent="0.25">
      <c r="K86" s="21">
        <v>25</v>
      </c>
      <c r="L86" s="24">
        <f t="shared" si="22"/>
        <v>0</v>
      </c>
      <c r="M86" s="37">
        <f t="shared" si="22"/>
        <v>1</v>
      </c>
      <c r="N86" s="24">
        <f t="shared" si="22"/>
        <v>0</v>
      </c>
      <c r="O86" s="24">
        <f t="shared" si="22"/>
        <v>0</v>
      </c>
      <c r="P86" s="24">
        <f t="shared" si="23"/>
        <v>1</v>
      </c>
      <c r="Q86" s="37">
        <f t="shared" si="23"/>
        <v>1</v>
      </c>
      <c r="R86" s="24">
        <f t="shared" si="23"/>
        <v>1</v>
      </c>
      <c r="S86" s="24">
        <f t="shared" si="23"/>
        <v>0</v>
      </c>
      <c r="T86" s="21">
        <v>32</v>
      </c>
    </row>
    <row r="87" spans="3:20" ht="9.9499999999999993" customHeight="1" x14ac:dyDescent="0.25">
      <c r="K87" s="21">
        <v>33</v>
      </c>
      <c r="L87" s="24">
        <f t="shared" si="22"/>
        <v>0</v>
      </c>
      <c r="M87" s="37">
        <f t="shared" si="22"/>
        <v>0</v>
      </c>
      <c r="N87" s="24">
        <f t="shared" si="22"/>
        <v>0</v>
      </c>
      <c r="O87" s="24">
        <f t="shared" si="22"/>
        <v>1</v>
      </c>
      <c r="P87" s="24">
        <f t="shared" si="23"/>
        <v>0</v>
      </c>
      <c r="Q87" s="37">
        <f t="shared" si="23"/>
        <v>1</v>
      </c>
      <c r="R87" s="24">
        <f t="shared" si="23"/>
        <v>0</v>
      </c>
      <c r="S87" s="24">
        <f t="shared" si="23"/>
        <v>1</v>
      </c>
      <c r="T87" s="21">
        <v>40</v>
      </c>
    </row>
    <row r="88" spans="3:20" ht="9.9499999999999993" customHeight="1" x14ac:dyDescent="0.25">
      <c r="K88" s="21">
        <v>41</v>
      </c>
      <c r="L88" s="24">
        <f t="shared" si="22"/>
        <v>1</v>
      </c>
      <c r="M88" s="37">
        <f t="shared" si="22"/>
        <v>1</v>
      </c>
      <c r="N88" s="24">
        <f t="shared" si="22"/>
        <v>1</v>
      </c>
      <c r="O88" s="24">
        <f t="shared" si="22"/>
        <v>1</v>
      </c>
      <c r="P88" s="24">
        <f t="shared" si="23"/>
        <v>0</v>
      </c>
      <c r="Q88" s="37">
        <f t="shared" si="23"/>
        <v>1</v>
      </c>
      <c r="R88" s="24">
        <f t="shared" si="23"/>
        <v>0</v>
      </c>
      <c r="S88" s="24">
        <f t="shared" si="23"/>
        <v>1</v>
      </c>
      <c r="T88" s="21">
        <v>48</v>
      </c>
    </row>
    <row r="89" spans="3:20" ht="9.9499999999999993" customHeight="1" x14ac:dyDescent="0.25">
      <c r="K89" s="21">
        <v>49</v>
      </c>
      <c r="L89" s="24">
        <f t="shared" si="22"/>
        <v>0</v>
      </c>
      <c r="M89" s="37">
        <f t="shared" si="22"/>
        <v>0</v>
      </c>
      <c r="N89" s="24">
        <f t="shared" si="22"/>
        <v>1</v>
      </c>
      <c r="O89" s="24">
        <f t="shared" si="22"/>
        <v>1</v>
      </c>
      <c r="P89" s="24">
        <f t="shared" si="23"/>
        <v>0</v>
      </c>
      <c r="Q89" s="37">
        <f t="shared" si="23"/>
        <v>1</v>
      </c>
      <c r="R89" s="24">
        <f t="shared" si="23"/>
        <v>0</v>
      </c>
      <c r="S89" s="24">
        <f t="shared" si="23"/>
        <v>0</v>
      </c>
      <c r="T89" s="21">
        <v>56</v>
      </c>
    </row>
    <row r="90" spans="3:20" ht="9.9499999999999993" customHeight="1" x14ac:dyDescent="0.25">
      <c r="D90" s="46" t="s">
        <v>514</v>
      </c>
    </row>
    <row r="91" spans="3:20" ht="9.9499999999999993" customHeight="1" x14ac:dyDescent="0.25">
      <c r="D91" s="21">
        <v>1</v>
      </c>
      <c r="E91" s="21">
        <v>2</v>
      </c>
      <c r="F91" s="21">
        <v>3</v>
      </c>
      <c r="G91" s="21">
        <v>4</v>
      </c>
      <c r="H91" s="21">
        <v>5</v>
      </c>
      <c r="I91" s="21">
        <v>6</v>
      </c>
      <c r="L91" s="21">
        <v>1</v>
      </c>
      <c r="M91" s="21">
        <v>2</v>
      </c>
      <c r="N91" s="21">
        <v>3</v>
      </c>
      <c r="O91" s="21">
        <v>4</v>
      </c>
      <c r="P91" s="21">
        <v>5</v>
      </c>
      <c r="Q91" s="21">
        <v>6</v>
      </c>
    </row>
    <row r="92" spans="3:20" ht="9.9499999999999993" customHeight="1" x14ac:dyDescent="0.25">
      <c r="C92" s="21">
        <v>1</v>
      </c>
      <c r="D92" s="29">
        <v>14</v>
      </c>
      <c r="E92" s="54">
        <v>17</v>
      </c>
      <c r="F92" s="29">
        <v>11</v>
      </c>
      <c r="G92" s="55">
        <v>24</v>
      </c>
      <c r="H92" s="29">
        <v>1</v>
      </c>
      <c r="I92" s="27">
        <v>5</v>
      </c>
      <c r="L92" s="39">
        <f>Q84</f>
        <v>1</v>
      </c>
      <c r="M92" s="39">
        <f>L85</f>
        <v>1</v>
      </c>
      <c r="N92" s="39">
        <f>N84</f>
        <v>0</v>
      </c>
      <c r="O92" s="39">
        <f>S85</f>
        <v>1</v>
      </c>
      <c r="P92" s="39">
        <f>L83</f>
        <v>0</v>
      </c>
      <c r="Q92" s="39">
        <f>P83</f>
        <v>0</v>
      </c>
      <c r="R92" s="21">
        <v>6</v>
      </c>
    </row>
    <row r="93" spans="3:20" ht="9.9499999999999993" customHeight="1" x14ac:dyDescent="0.25">
      <c r="C93" s="21">
        <v>2</v>
      </c>
      <c r="D93" s="29">
        <v>3</v>
      </c>
      <c r="E93" s="54">
        <v>28</v>
      </c>
      <c r="F93" s="29">
        <v>15</v>
      </c>
      <c r="G93" s="55">
        <v>6</v>
      </c>
      <c r="H93" s="29">
        <v>21</v>
      </c>
      <c r="I93" s="27">
        <v>10</v>
      </c>
      <c r="K93" s="21">
        <v>7</v>
      </c>
      <c r="L93" s="39">
        <f>N83</f>
        <v>0</v>
      </c>
      <c r="M93" s="39">
        <f>O86</f>
        <v>0</v>
      </c>
      <c r="N93" s="39">
        <f>R84</f>
        <v>0</v>
      </c>
      <c r="O93" s="39">
        <f>Q83</f>
        <v>1</v>
      </c>
      <c r="P93" s="39">
        <f>P85</f>
        <v>1</v>
      </c>
      <c r="Q93" s="39">
        <f>M84</f>
        <v>0</v>
      </c>
      <c r="R93" s="21">
        <v>12</v>
      </c>
    </row>
    <row r="94" spans="3:20" ht="9.9499999999999993" customHeight="1" x14ac:dyDescent="0.25">
      <c r="C94" s="21">
        <v>3</v>
      </c>
      <c r="D94" s="29">
        <v>23</v>
      </c>
      <c r="E94" s="54">
        <v>19</v>
      </c>
      <c r="F94" s="29">
        <v>12</v>
      </c>
      <c r="G94" s="55">
        <v>4</v>
      </c>
      <c r="H94" s="29">
        <v>26</v>
      </c>
      <c r="I94" s="27">
        <v>8</v>
      </c>
      <c r="K94" s="56">
        <v>13</v>
      </c>
      <c r="L94" s="22">
        <f>R85</f>
        <v>1</v>
      </c>
      <c r="M94" s="22">
        <f>N85</f>
        <v>1</v>
      </c>
      <c r="N94" s="22">
        <f>O84</f>
        <v>0</v>
      </c>
      <c r="O94" s="22">
        <f>O83</f>
        <v>0</v>
      </c>
      <c r="P94" s="22">
        <f>M86</f>
        <v>1</v>
      </c>
      <c r="Q94" s="22">
        <f>S83</f>
        <v>0</v>
      </c>
      <c r="R94" s="56">
        <v>18</v>
      </c>
    </row>
    <row r="95" spans="3:20" ht="9.9499999999999993" customHeight="1" x14ac:dyDescent="0.25">
      <c r="C95" s="21">
        <v>4</v>
      </c>
      <c r="D95" s="29">
        <v>16</v>
      </c>
      <c r="E95" s="54">
        <v>7</v>
      </c>
      <c r="F95" s="29">
        <v>27</v>
      </c>
      <c r="G95" s="55">
        <v>20</v>
      </c>
      <c r="H95" s="29">
        <v>13</v>
      </c>
      <c r="I95" s="27">
        <v>2</v>
      </c>
      <c r="K95" s="21">
        <v>19</v>
      </c>
      <c r="L95" s="39">
        <f>S84</f>
        <v>0</v>
      </c>
      <c r="M95" s="39">
        <f>R83</f>
        <v>0</v>
      </c>
      <c r="N95" s="39">
        <f>N86</f>
        <v>0</v>
      </c>
      <c r="O95" s="39">
        <f>O85</f>
        <v>1</v>
      </c>
      <c r="P95" s="39">
        <f>P84</f>
        <v>0</v>
      </c>
      <c r="Q95" s="39">
        <f>M83</f>
        <v>0</v>
      </c>
      <c r="R95" s="21">
        <v>24</v>
      </c>
    </row>
    <row r="96" spans="3:20" ht="9.9499999999999993" customHeight="1" x14ac:dyDescent="0.25">
      <c r="C96" s="21">
        <v>5</v>
      </c>
      <c r="D96" s="29">
        <v>41</v>
      </c>
      <c r="E96" s="54">
        <v>52</v>
      </c>
      <c r="F96" s="29">
        <v>31</v>
      </c>
      <c r="G96" s="55">
        <v>37</v>
      </c>
      <c r="H96" s="29">
        <v>47</v>
      </c>
      <c r="I96" s="27">
        <v>55</v>
      </c>
      <c r="K96" s="57">
        <v>25</v>
      </c>
      <c r="L96" s="58">
        <f>L88</f>
        <v>1</v>
      </c>
      <c r="M96" s="58">
        <f>O89</f>
        <v>1</v>
      </c>
      <c r="N96" s="58">
        <f>R86</f>
        <v>1</v>
      </c>
      <c r="O96" s="58">
        <f>P87</f>
        <v>0</v>
      </c>
      <c r="P96" s="58">
        <f>R88</f>
        <v>0</v>
      </c>
      <c r="Q96" s="58">
        <f>R89</f>
        <v>0</v>
      </c>
      <c r="R96" s="57">
        <v>30</v>
      </c>
    </row>
    <row r="97" spans="1:51" ht="9.9499999999999993" customHeight="1" x14ac:dyDescent="0.25">
      <c r="C97" s="21">
        <v>6</v>
      </c>
      <c r="D97" s="29">
        <v>30</v>
      </c>
      <c r="E97" s="54">
        <v>40</v>
      </c>
      <c r="F97" s="29">
        <v>51</v>
      </c>
      <c r="G97" s="55">
        <v>45</v>
      </c>
      <c r="H97" s="29">
        <v>33</v>
      </c>
      <c r="I97" s="27">
        <v>48</v>
      </c>
      <c r="K97" s="21">
        <v>31</v>
      </c>
      <c r="L97" s="39">
        <f>Q86</f>
        <v>1</v>
      </c>
      <c r="M97" s="39">
        <f>S87</f>
        <v>1</v>
      </c>
      <c r="N97" s="39">
        <f>N89</f>
        <v>1</v>
      </c>
      <c r="O97" s="39">
        <f>P88</f>
        <v>0</v>
      </c>
      <c r="P97" s="39">
        <f>L87</f>
        <v>0</v>
      </c>
      <c r="Q97" s="39">
        <f>S88</f>
        <v>1</v>
      </c>
      <c r="R97" s="21">
        <v>36</v>
      </c>
    </row>
    <row r="98" spans="1:51" ht="9.9499999999999993" customHeight="1" x14ac:dyDescent="0.25">
      <c r="C98" s="21">
        <v>7</v>
      </c>
      <c r="D98" s="29">
        <v>44</v>
      </c>
      <c r="E98" s="54">
        <v>49</v>
      </c>
      <c r="F98" s="29">
        <v>39</v>
      </c>
      <c r="G98" s="55">
        <v>56</v>
      </c>
      <c r="H98" s="29">
        <v>34</v>
      </c>
      <c r="I98" s="27">
        <v>53</v>
      </c>
      <c r="K98" s="50">
        <v>37</v>
      </c>
      <c r="L98" s="27">
        <f>O88</f>
        <v>1</v>
      </c>
      <c r="M98" s="27">
        <f>L89</f>
        <v>0</v>
      </c>
      <c r="N98" s="27">
        <f>R87</f>
        <v>0</v>
      </c>
      <c r="O98" s="27">
        <f>S89</f>
        <v>0</v>
      </c>
      <c r="P98" s="27">
        <f>M87</f>
        <v>0</v>
      </c>
      <c r="Q98" s="27">
        <f>P89</f>
        <v>0</v>
      </c>
      <c r="R98" s="50">
        <v>42</v>
      </c>
    </row>
    <row r="99" spans="1:51" ht="9.9499999999999993" customHeight="1" x14ac:dyDescent="0.25">
      <c r="C99" s="21">
        <v>8</v>
      </c>
      <c r="D99" s="29">
        <v>46</v>
      </c>
      <c r="E99" s="54">
        <v>42</v>
      </c>
      <c r="F99" s="29">
        <v>50</v>
      </c>
      <c r="G99" s="55">
        <v>36</v>
      </c>
      <c r="H99" s="29">
        <v>29</v>
      </c>
      <c r="I99" s="27">
        <v>32</v>
      </c>
      <c r="K99" s="21">
        <v>43</v>
      </c>
      <c r="L99" s="39">
        <f>Q88</f>
        <v>1</v>
      </c>
      <c r="M99" s="39">
        <f>M88</f>
        <v>1</v>
      </c>
      <c r="N99" s="39">
        <f>M89</f>
        <v>0</v>
      </c>
      <c r="O99" s="39">
        <f>O87</f>
        <v>1</v>
      </c>
      <c r="P99" s="39">
        <f>P86</f>
        <v>1</v>
      </c>
      <c r="Q99" s="39">
        <f>S86</f>
        <v>0</v>
      </c>
      <c r="R99" s="21">
        <v>48</v>
      </c>
    </row>
    <row r="101" spans="1:51" ht="9.9499999999999993" customHeight="1" x14ac:dyDescent="0.25">
      <c r="A101" s="51"/>
      <c r="B101" s="51" t="s">
        <v>518</v>
      </c>
      <c r="C101" s="51"/>
      <c r="D101" s="52">
        <v>1</v>
      </c>
      <c r="E101" s="52">
        <v>2</v>
      </c>
      <c r="F101" s="52">
        <v>3</v>
      </c>
      <c r="G101" s="52">
        <v>4</v>
      </c>
      <c r="H101" s="52">
        <v>5</v>
      </c>
      <c r="I101" s="52">
        <v>6</v>
      </c>
      <c r="J101" s="52">
        <v>7</v>
      </c>
      <c r="K101" s="52">
        <v>8</v>
      </c>
      <c r="L101" s="52">
        <v>9</v>
      </c>
      <c r="M101" s="52">
        <v>10</v>
      </c>
      <c r="N101" s="52">
        <v>11</v>
      </c>
      <c r="O101" s="52">
        <v>12</v>
      </c>
      <c r="P101" s="52">
        <v>13</v>
      </c>
      <c r="Q101" s="52">
        <v>14</v>
      </c>
      <c r="R101" s="52">
        <v>15</v>
      </c>
      <c r="S101" s="52">
        <v>16</v>
      </c>
      <c r="T101" s="52">
        <v>17</v>
      </c>
      <c r="U101" s="52">
        <v>18</v>
      </c>
      <c r="V101" s="52">
        <v>19</v>
      </c>
      <c r="W101" s="52">
        <v>20</v>
      </c>
      <c r="X101" s="52">
        <v>21</v>
      </c>
      <c r="Y101" s="52">
        <v>22</v>
      </c>
      <c r="Z101" s="52">
        <v>23</v>
      </c>
      <c r="AA101" s="52">
        <v>24</v>
      </c>
      <c r="AB101" s="52">
        <v>25</v>
      </c>
      <c r="AC101" s="52">
        <v>26</v>
      </c>
      <c r="AD101" s="52">
        <v>27</v>
      </c>
      <c r="AE101" s="52">
        <v>28</v>
      </c>
      <c r="AF101" s="52">
        <v>29</v>
      </c>
      <c r="AG101" s="52">
        <v>30</v>
      </c>
      <c r="AH101" s="52">
        <v>31</v>
      </c>
      <c r="AI101" s="52">
        <v>32</v>
      </c>
      <c r="AJ101" s="52">
        <v>33</v>
      </c>
      <c r="AK101" s="52">
        <v>34</v>
      </c>
      <c r="AL101" s="52">
        <v>35</v>
      </c>
      <c r="AM101" s="52">
        <v>36</v>
      </c>
      <c r="AN101" s="52">
        <v>37</v>
      </c>
      <c r="AO101" s="52">
        <v>38</v>
      </c>
      <c r="AP101" s="52">
        <v>39</v>
      </c>
      <c r="AQ101" s="52">
        <v>40</v>
      </c>
      <c r="AR101" s="52">
        <v>41</v>
      </c>
      <c r="AS101" s="52">
        <v>42</v>
      </c>
      <c r="AT101" s="52">
        <v>43</v>
      </c>
      <c r="AU101" s="52">
        <v>44</v>
      </c>
      <c r="AV101" s="52">
        <v>45</v>
      </c>
      <c r="AW101" s="52">
        <v>46</v>
      </c>
      <c r="AX101" s="52">
        <v>47</v>
      </c>
      <c r="AY101" s="52">
        <v>48</v>
      </c>
    </row>
    <row r="102" spans="1:51" ht="9.9499999999999993" customHeight="1" x14ac:dyDescent="0.25">
      <c r="D102" s="52">
        <f t="shared" ref="D102:I102" si="24">L92</f>
        <v>1</v>
      </c>
      <c r="E102" s="52">
        <f t="shared" si="24"/>
        <v>1</v>
      </c>
      <c r="F102" s="52">
        <f t="shared" si="24"/>
        <v>0</v>
      </c>
      <c r="G102" s="52">
        <f t="shared" si="24"/>
        <v>1</v>
      </c>
      <c r="H102" s="52">
        <f t="shared" si="24"/>
        <v>0</v>
      </c>
      <c r="I102" s="52">
        <f t="shared" si="24"/>
        <v>0</v>
      </c>
      <c r="J102" s="52">
        <f t="shared" ref="J102:O102" si="25">L93</f>
        <v>0</v>
      </c>
      <c r="K102" s="52">
        <f t="shared" si="25"/>
        <v>0</v>
      </c>
      <c r="L102" s="52">
        <f t="shared" si="25"/>
        <v>0</v>
      </c>
      <c r="M102" s="52">
        <f t="shared" si="25"/>
        <v>1</v>
      </c>
      <c r="N102" s="52">
        <f t="shared" si="25"/>
        <v>1</v>
      </c>
      <c r="O102" s="52">
        <f t="shared" si="25"/>
        <v>0</v>
      </c>
      <c r="P102" s="52">
        <f t="shared" ref="P102:U102" si="26">L94</f>
        <v>1</v>
      </c>
      <c r="Q102" s="52">
        <f t="shared" si="26"/>
        <v>1</v>
      </c>
      <c r="R102" s="52">
        <f t="shared" si="26"/>
        <v>0</v>
      </c>
      <c r="S102" s="52">
        <f t="shared" si="26"/>
        <v>0</v>
      </c>
      <c r="T102" s="52">
        <f t="shared" si="26"/>
        <v>1</v>
      </c>
      <c r="U102" s="52">
        <f t="shared" si="26"/>
        <v>0</v>
      </c>
      <c r="V102" s="52">
        <f t="shared" ref="V102:AA102" si="27">L95</f>
        <v>0</v>
      </c>
      <c r="W102" s="52">
        <f t="shared" si="27"/>
        <v>0</v>
      </c>
      <c r="X102" s="52">
        <f t="shared" si="27"/>
        <v>0</v>
      </c>
      <c r="Y102" s="52">
        <f t="shared" si="27"/>
        <v>1</v>
      </c>
      <c r="Z102" s="52">
        <f t="shared" si="27"/>
        <v>0</v>
      </c>
      <c r="AA102" s="52">
        <f t="shared" si="27"/>
        <v>0</v>
      </c>
      <c r="AB102" s="52">
        <f t="shared" ref="AB102:AG102" si="28">L96</f>
        <v>1</v>
      </c>
      <c r="AC102" s="52">
        <f t="shared" si="28"/>
        <v>1</v>
      </c>
      <c r="AD102" s="52">
        <f t="shared" si="28"/>
        <v>1</v>
      </c>
      <c r="AE102" s="52">
        <f t="shared" si="28"/>
        <v>0</v>
      </c>
      <c r="AF102" s="52">
        <f t="shared" si="28"/>
        <v>0</v>
      </c>
      <c r="AG102" s="52">
        <f t="shared" si="28"/>
        <v>0</v>
      </c>
      <c r="AH102" s="52">
        <f t="shared" ref="AH102:AM102" si="29">L97</f>
        <v>1</v>
      </c>
      <c r="AI102" s="52">
        <f t="shared" si="29"/>
        <v>1</v>
      </c>
      <c r="AJ102" s="52">
        <f t="shared" si="29"/>
        <v>1</v>
      </c>
      <c r="AK102" s="52">
        <f t="shared" si="29"/>
        <v>0</v>
      </c>
      <c r="AL102" s="52">
        <f t="shared" si="29"/>
        <v>0</v>
      </c>
      <c r="AM102" s="52">
        <f t="shared" si="29"/>
        <v>1</v>
      </c>
      <c r="AN102" s="52">
        <f t="shared" ref="AN102:AS102" si="30">L98</f>
        <v>1</v>
      </c>
      <c r="AO102" s="52">
        <f t="shared" si="30"/>
        <v>0</v>
      </c>
      <c r="AP102" s="52">
        <f t="shared" si="30"/>
        <v>0</v>
      </c>
      <c r="AQ102" s="52">
        <f t="shared" si="30"/>
        <v>0</v>
      </c>
      <c r="AR102" s="52">
        <f t="shared" si="30"/>
        <v>0</v>
      </c>
      <c r="AS102" s="52">
        <f t="shared" si="30"/>
        <v>0</v>
      </c>
      <c r="AT102" s="52">
        <f t="shared" ref="AT102:AY102" si="31">L99</f>
        <v>1</v>
      </c>
      <c r="AU102" s="52">
        <f t="shared" si="31"/>
        <v>1</v>
      </c>
      <c r="AV102" s="52">
        <f t="shared" si="31"/>
        <v>0</v>
      </c>
      <c r="AW102" s="52">
        <f t="shared" si="31"/>
        <v>1</v>
      </c>
      <c r="AX102" s="52">
        <f t="shared" si="31"/>
        <v>1</v>
      </c>
      <c r="AY102" s="52">
        <f t="shared" si="31"/>
        <v>0</v>
      </c>
    </row>
    <row r="107" spans="1:51" ht="9.9499999999999993" customHeight="1" x14ac:dyDescent="0.25">
      <c r="H107" s="38" t="s">
        <v>519</v>
      </c>
      <c r="L107" s="33" t="s">
        <v>520</v>
      </c>
      <c r="Q107" s="34" t="s">
        <v>521</v>
      </c>
    </row>
    <row r="108" spans="1:51" ht="9.9499999999999993" customHeight="1" x14ac:dyDescent="0.25">
      <c r="K108" s="39">
        <f>M74</f>
        <v>0</v>
      </c>
      <c r="L108" s="59">
        <f>N74</f>
        <v>0</v>
      </c>
      <c r="M108" s="53">
        <f>K74</f>
        <v>0</v>
      </c>
      <c r="N108" s="40">
        <f>L74</f>
        <v>0</v>
      </c>
      <c r="P108" s="59">
        <f>R74</f>
        <v>0</v>
      </c>
      <c r="Q108" s="59">
        <f>S74</f>
        <v>0</v>
      </c>
      <c r="R108" s="59">
        <f>P74</f>
        <v>0</v>
      </c>
      <c r="S108" s="40">
        <f>Q74</f>
        <v>1</v>
      </c>
    </row>
    <row r="109" spans="1:51" ht="9.9499999999999993" customHeight="1" x14ac:dyDescent="0.25">
      <c r="K109" s="39">
        <f t="shared" ref="K109:L114" si="32">M75</f>
        <v>0</v>
      </c>
      <c r="L109" s="59">
        <f t="shared" si="32"/>
        <v>0</v>
      </c>
      <c r="M109" s="53">
        <f t="shared" ref="M109:N114" si="33">K75</f>
        <v>0</v>
      </c>
      <c r="N109" s="40">
        <f t="shared" si="33"/>
        <v>0</v>
      </c>
      <c r="P109" s="59">
        <f t="shared" ref="P109:Q114" si="34">R75</f>
        <v>0</v>
      </c>
      <c r="Q109" s="59">
        <f t="shared" si="34"/>
        <v>0</v>
      </c>
      <c r="R109" s="59">
        <f t="shared" ref="R109:S114" si="35">P75</f>
        <v>0</v>
      </c>
      <c r="S109" s="40">
        <f t="shared" si="35"/>
        <v>1</v>
      </c>
    </row>
    <row r="110" spans="1:51" ht="9.9499999999999993" customHeight="1" x14ac:dyDescent="0.25">
      <c r="K110" s="39">
        <f t="shared" si="32"/>
        <v>1</v>
      </c>
      <c r="L110" s="59">
        <f t="shared" si="32"/>
        <v>1</v>
      </c>
      <c r="M110" s="53">
        <f t="shared" si="33"/>
        <v>1</v>
      </c>
      <c r="N110" s="40">
        <f t="shared" si="33"/>
        <v>0</v>
      </c>
      <c r="P110" s="59">
        <f t="shared" si="34"/>
        <v>1</v>
      </c>
      <c r="Q110" s="59">
        <f t="shared" si="34"/>
        <v>1</v>
      </c>
      <c r="R110" s="59">
        <f t="shared" si="35"/>
        <v>1</v>
      </c>
      <c r="S110" s="40">
        <f t="shared" si="35"/>
        <v>1</v>
      </c>
    </row>
    <row r="111" spans="1:51" ht="9.9499999999999993" customHeight="1" x14ac:dyDescent="0.25">
      <c r="K111" s="39">
        <f t="shared" si="32"/>
        <v>0</v>
      </c>
      <c r="L111" s="59">
        <f t="shared" si="32"/>
        <v>0</v>
      </c>
      <c r="M111" s="53">
        <f t="shared" si="33"/>
        <v>0</v>
      </c>
      <c r="N111" s="40">
        <f t="shared" si="33"/>
        <v>1</v>
      </c>
      <c r="P111" s="59">
        <f t="shared" si="34"/>
        <v>1</v>
      </c>
      <c r="Q111" s="59">
        <f t="shared" si="34"/>
        <v>0</v>
      </c>
      <c r="R111" s="59">
        <f t="shared" si="35"/>
        <v>1</v>
      </c>
      <c r="S111" s="40">
        <f t="shared" si="35"/>
        <v>1</v>
      </c>
    </row>
    <row r="112" spans="1:51" ht="9.9499999999999993" customHeight="1" x14ac:dyDescent="0.25">
      <c r="K112" s="39">
        <f t="shared" si="32"/>
        <v>0</v>
      </c>
      <c r="L112" s="59">
        <f t="shared" si="32"/>
        <v>1</v>
      </c>
      <c r="M112" s="53">
        <f t="shared" si="33"/>
        <v>0</v>
      </c>
      <c r="N112" s="40">
        <f t="shared" si="33"/>
        <v>0</v>
      </c>
      <c r="P112" s="59">
        <f t="shared" si="34"/>
        <v>0</v>
      </c>
      <c r="Q112" s="59">
        <f t="shared" si="34"/>
        <v>1</v>
      </c>
      <c r="R112" s="59">
        <f t="shared" si="35"/>
        <v>0</v>
      </c>
      <c r="S112" s="40">
        <f t="shared" si="35"/>
        <v>1</v>
      </c>
    </row>
    <row r="113" spans="3:20" ht="9.9499999999999993" customHeight="1" x14ac:dyDescent="0.25">
      <c r="K113" s="39">
        <f t="shared" si="32"/>
        <v>1</v>
      </c>
      <c r="L113" s="59">
        <f t="shared" si="32"/>
        <v>1</v>
      </c>
      <c r="M113" s="53">
        <f t="shared" si="33"/>
        <v>1</v>
      </c>
      <c r="N113" s="40">
        <f t="shared" si="33"/>
        <v>1</v>
      </c>
      <c r="P113" s="59">
        <f t="shared" si="34"/>
        <v>0</v>
      </c>
      <c r="Q113" s="59">
        <f t="shared" si="34"/>
        <v>1</v>
      </c>
      <c r="R113" s="59">
        <f t="shared" si="35"/>
        <v>0</v>
      </c>
      <c r="S113" s="40">
        <f t="shared" si="35"/>
        <v>1</v>
      </c>
    </row>
    <row r="114" spans="3:20" ht="9.9499999999999993" customHeight="1" x14ac:dyDescent="0.25">
      <c r="K114" s="39">
        <f t="shared" si="32"/>
        <v>1</v>
      </c>
      <c r="L114" s="59">
        <f t="shared" si="32"/>
        <v>1</v>
      </c>
      <c r="M114" s="53">
        <f t="shared" si="33"/>
        <v>0</v>
      </c>
      <c r="N114" s="40">
        <f t="shared" si="33"/>
        <v>0</v>
      </c>
      <c r="P114" s="59">
        <f t="shared" si="34"/>
        <v>0</v>
      </c>
      <c r="Q114" s="59">
        <f t="shared" si="34"/>
        <v>0</v>
      </c>
      <c r="R114" s="59">
        <f t="shared" si="35"/>
        <v>0</v>
      </c>
      <c r="S114" s="40">
        <f t="shared" si="35"/>
        <v>1</v>
      </c>
    </row>
    <row r="116" spans="3:20" ht="9.9499999999999993" customHeight="1" x14ac:dyDescent="0.25">
      <c r="L116" s="21">
        <v>1</v>
      </c>
      <c r="M116" s="21">
        <v>2</v>
      </c>
      <c r="N116" s="21">
        <v>3</v>
      </c>
      <c r="O116" s="21">
        <v>4</v>
      </c>
      <c r="P116" s="21">
        <v>5</v>
      </c>
      <c r="Q116" s="21">
        <v>6</v>
      </c>
      <c r="R116" s="21">
        <v>7</v>
      </c>
      <c r="S116" s="21">
        <v>8</v>
      </c>
    </row>
    <row r="117" spans="3:20" ht="9.9499999999999993" customHeight="1" x14ac:dyDescent="0.25">
      <c r="K117" s="21">
        <v>1</v>
      </c>
      <c r="L117" s="24">
        <f>K108</f>
        <v>0</v>
      </c>
      <c r="M117" s="60">
        <f>L108</f>
        <v>0</v>
      </c>
      <c r="N117" s="24">
        <f>M108</f>
        <v>0</v>
      </c>
      <c r="O117" s="37">
        <f>N108</f>
        <v>0</v>
      </c>
      <c r="P117" s="24">
        <f>P108</f>
        <v>0</v>
      </c>
      <c r="Q117" s="60">
        <f>Q108</f>
        <v>0</v>
      </c>
      <c r="R117" s="24">
        <f>R108</f>
        <v>0</v>
      </c>
      <c r="S117" s="37">
        <f>S108</f>
        <v>1</v>
      </c>
      <c r="T117" s="21">
        <v>8</v>
      </c>
    </row>
    <row r="118" spans="3:20" ht="9.9499999999999993" customHeight="1" x14ac:dyDescent="0.25">
      <c r="K118" s="21">
        <v>9</v>
      </c>
      <c r="L118" s="24">
        <f t="shared" ref="L118:O123" si="36">K109</f>
        <v>0</v>
      </c>
      <c r="M118" s="60">
        <f t="shared" si="36"/>
        <v>0</v>
      </c>
      <c r="N118" s="24">
        <f t="shared" si="36"/>
        <v>0</v>
      </c>
      <c r="O118" s="37">
        <f t="shared" si="36"/>
        <v>0</v>
      </c>
      <c r="P118" s="24">
        <f t="shared" ref="P118:S123" si="37">P109</f>
        <v>0</v>
      </c>
      <c r="Q118" s="60">
        <f t="shared" si="37"/>
        <v>0</v>
      </c>
      <c r="R118" s="24">
        <f t="shared" si="37"/>
        <v>0</v>
      </c>
      <c r="S118" s="37">
        <f t="shared" si="37"/>
        <v>1</v>
      </c>
      <c r="T118" s="21">
        <v>16</v>
      </c>
    </row>
    <row r="119" spans="3:20" ht="9.9499999999999993" customHeight="1" x14ac:dyDescent="0.25">
      <c r="K119" s="21">
        <v>17</v>
      </c>
      <c r="L119" s="24">
        <f t="shared" si="36"/>
        <v>1</v>
      </c>
      <c r="M119" s="60">
        <f t="shared" si="36"/>
        <v>1</v>
      </c>
      <c r="N119" s="24">
        <f t="shared" si="36"/>
        <v>1</v>
      </c>
      <c r="O119" s="37">
        <f t="shared" si="36"/>
        <v>0</v>
      </c>
      <c r="P119" s="24">
        <f t="shared" si="37"/>
        <v>1</v>
      </c>
      <c r="Q119" s="60">
        <f t="shared" si="37"/>
        <v>1</v>
      </c>
      <c r="R119" s="24">
        <f t="shared" si="37"/>
        <v>1</v>
      </c>
      <c r="S119" s="37">
        <f t="shared" si="37"/>
        <v>1</v>
      </c>
      <c r="T119" s="21">
        <v>24</v>
      </c>
    </row>
    <row r="120" spans="3:20" ht="9.9499999999999993" customHeight="1" x14ac:dyDescent="0.25">
      <c r="K120" s="21">
        <v>25</v>
      </c>
      <c r="L120" s="24">
        <f t="shared" si="36"/>
        <v>0</v>
      </c>
      <c r="M120" s="60">
        <f t="shared" si="36"/>
        <v>0</v>
      </c>
      <c r="N120" s="24">
        <f t="shared" si="36"/>
        <v>0</v>
      </c>
      <c r="O120" s="37">
        <f t="shared" si="36"/>
        <v>1</v>
      </c>
      <c r="P120" s="24">
        <f t="shared" si="37"/>
        <v>1</v>
      </c>
      <c r="Q120" s="60">
        <f t="shared" si="37"/>
        <v>0</v>
      </c>
      <c r="R120" s="24">
        <f t="shared" si="37"/>
        <v>1</v>
      </c>
      <c r="S120" s="37">
        <f t="shared" si="37"/>
        <v>1</v>
      </c>
      <c r="T120" s="21">
        <v>32</v>
      </c>
    </row>
    <row r="121" spans="3:20" ht="9.9499999999999993" customHeight="1" x14ac:dyDescent="0.25">
      <c r="K121" s="21">
        <v>33</v>
      </c>
      <c r="L121" s="24">
        <f t="shared" si="36"/>
        <v>0</v>
      </c>
      <c r="M121" s="60">
        <f t="shared" si="36"/>
        <v>1</v>
      </c>
      <c r="N121" s="24">
        <f t="shared" si="36"/>
        <v>0</v>
      </c>
      <c r="O121" s="37">
        <f t="shared" si="36"/>
        <v>0</v>
      </c>
      <c r="P121" s="24">
        <f t="shared" si="37"/>
        <v>0</v>
      </c>
      <c r="Q121" s="60">
        <f t="shared" si="37"/>
        <v>1</v>
      </c>
      <c r="R121" s="24">
        <f t="shared" si="37"/>
        <v>0</v>
      </c>
      <c r="S121" s="37">
        <f t="shared" si="37"/>
        <v>1</v>
      </c>
      <c r="T121" s="21">
        <v>40</v>
      </c>
    </row>
    <row r="122" spans="3:20" ht="9.9499999999999993" customHeight="1" x14ac:dyDescent="0.25">
      <c r="K122" s="21">
        <v>41</v>
      </c>
      <c r="L122" s="24">
        <f t="shared" si="36"/>
        <v>1</v>
      </c>
      <c r="M122" s="60">
        <f t="shared" si="36"/>
        <v>1</v>
      </c>
      <c r="N122" s="24">
        <f t="shared" si="36"/>
        <v>1</v>
      </c>
      <c r="O122" s="37">
        <f t="shared" si="36"/>
        <v>1</v>
      </c>
      <c r="P122" s="24">
        <f t="shared" si="37"/>
        <v>0</v>
      </c>
      <c r="Q122" s="60">
        <f t="shared" si="37"/>
        <v>1</v>
      </c>
      <c r="R122" s="24">
        <f t="shared" si="37"/>
        <v>0</v>
      </c>
      <c r="S122" s="37">
        <f t="shared" si="37"/>
        <v>1</v>
      </c>
      <c r="T122" s="21">
        <v>48</v>
      </c>
    </row>
    <row r="123" spans="3:20" ht="9.9499999999999993" customHeight="1" x14ac:dyDescent="0.25">
      <c r="K123" s="21">
        <v>49</v>
      </c>
      <c r="L123" s="24">
        <f t="shared" si="36"/>
        <v>1</v>
      </c>
      <c r="M123" s="60">
        <f t="shared" si="36"/>
        <v>1</v>
      </c>
      <c r="N123" s="24">
        <f t="shared" si="36"/>
        <v>0</v>
      </c>
      <c r="O123" s="37">
        <f t="shared" si="36"/>
        <v>0</v>
      </c>
      <c r="P123" s="24">
        <f t="shared" si="37"/>
        <v>0</v>
      </c>
      <c r="Q123" s="60">
        <f t="shared" si="37"/>
        <v>0</v>
      </c>
      <c r="R123" s="24">
        <f t="shared" si="37"/>
        <v>0</v>
      </c>
      <c r="S123" s="37">
        <f t="shared" si="37"/>
        <v>1</v>
      </c>
      <c r="T123" s="21">
        <v>56</v>
      </c>
    </row>
    <row r="124" spans="3:20" ht="9.9499999999999993" customHeight="1" x14ac:dyDescent="0.25">
      <c r="D124" s="46" t="s">
        <v>514</v>
      </c>
    </row>
    <row r="125" spans="3:20" ht="9.9499999999999993" customHeight="1" x14ac:dyDescent="0.25">
      <c r="D125" s="21">
        <v>1</v>
      </c>
      <c r="E125" s="21">
        <v>2</v>
      </c>
      <c r="F125" s="21">
        <v>3</v>
      </c>
      <c r="G125" s="21">
        <v>4</v>
      </c>
      <c r="H125" s="21">
        <v>5</v>
      </c>
      <c r="I125" s="21">
        <v>6</v>
      </c>
      <c r="L125" s="21">
        <v>1</v>
      </c>
      <c r="M125" s="21">
        <v>2</v>
      </c>
      <c r="N125" s="21">
        <v>3</v>
      </c>
      <c r="O125" s="21">
        <v>4</v>
      </c>
      <c r="P125" s="21">
        <v>5</v>
      </c>
      <c r="Q125" s="21">
        <v>6</v>
      </c>
    </row>
    <row r="126" spans="3:20" ht="9.9499999999999993" customHeight="1" x14ac:dyDescent="0.25">
      <c r="C126" s="21">
        <v>1</v>
      </c>
      <c r="D126" s="29">
        <v>14</v>
      </c>
      <c r="E126" s="54">
        <v>17</v>
      </c>
      <c r="F126" s="29">
        <v>11</v>
      </c>
      <c r="G126" s="55">
        <v>24</v>
      </c>
      <c r="H126" s="29">
        <v>1</v>
      </c>
      <c r="I126" s="27">
        <v>5</v>
      </c>
      <c r="L126" s="39">
        <f>Q118</f>
        <v>0</v>
      </c>
      <c r="M126" s="39">
        <f>L119</f>
        <v>1</v>
      </c>
      <c r="N126" s="39">
        <f>N118</f>
        <v>0</v>
      </c>
      <c r="O126" s="39">
        <f>S119</f>
        <v>1</v>
      </c>
      <c r="P126" s="39">
        <f>L117</f>
        <v>0</v>
      </c>
      <c r="Q126" s="39">
        <f>P117</f>
        <v>0</v>
      </c>
      <c r="R126" s="21">
        <v>6</v>
      </c>
    </row>
    <row r="127" spans="3:20" ht="9.9499999999999993" customHeight="1" x14ac:dyDescent="0.25">
      <c r="C127" s="21">
        <v>2</v>
      </c>
      <c r="D127" s="29">
        <v>3</v>
      </c>
      <c r="E127" s="54">
        <v>28</v>
      </c>
      <c r="F127" s="29">
        <v>15</v>
      </c>
      <c r="G127" s="55">
        <v>6</v>
      </c>
      <c r="H127" s="29">
        <v>21</v>
      </c>
      <c r="I127" s="27">
        <v>10</v>
      </c>
      <c r="K127" s="21">
        <v>7</v>
      </c>
      <c r="L127" s="39">
        <f>N117</f>
        <v>0</v>
      </c>
      <c r="M127" s="39">
        <f>O120</f>
        <v>1</v>
      </c>
      <c r="N127" s="39">
        <f>R118</f>
        <v>0</v>
      </c>
      <c r="O127" s="39">
        <f>Q117</f>
        <v>0</v>
      </c>
      <c r="P127" s="39">
        <f>P119</f>
        <v>1</v>
      </c>
      <c r="Q127" s="39">
        <f>M118</f>
        <v>0</v>
      </c>
      <c r="R127" s="21">
        <v>12</v>
      </c>
    </row>
    <row r="128" spans="3:20" ht="9.9499999999999993" customHeight="1" x14ac:dyDescent="0.25">
      <c r="C128" s="21">
        <v>3</v>
      </c>
      <c r="D128" s="29">
        <v>23</v>
      </c>
      <c r="E128" s="54">
        <v>19</v>
      </c>
      <c r="F128" s="29">
        <v>12</v>
      </c>
      <c r="G128" s="55">
        <v>4</v>
      </c>
      <c r="H128" s="29">
        <v>26</v>
      </c>
      <c r="I128" s="27">
        <v>8</v>
      </c>
      <c r="K128" s="56">
        <v>13</v>
      </c>
      <c r="L128" s="22">
        <f>R119</f>
        <v>1</v>
      </c>
      <c r="M128" s="22">
        <f>N119</f>
        <v>1</v>
      </c>
      <c r="N128" s="22">
        <f>O118</f>
        <v>0</v>
      </c>
      <c r="O128" s="22">
        <f>O117</f>
        <v>0</v>
      </c>
      <c r="P128" s="22">
        <f>M120</f>
        <v>0</v>
      </c>
      <c r="Q128" s="22">
        <f>S117</f>
        <v>1</v>
      </c>
      <c r="R128" s="56">
        <v>18</v>
      </c>
    </row>
    <row r="129" spans="1:51" ht="9.9499999999999993" customHeight="1" x14ac:dyDescent="0.25">
      <c r="C129" s="21">
        <v>4</v>
      </c>
      <c r="D129" s="29">
        <v>16</v>
      </c>
      <c r="E129" s="54">
        <v>7</v>
      </c>
      <c r="F129" s="29">
        <v>27</v>
      </c>
      <c r="G129" s="55">
        <v>20</v>
      </c>
      <c r="H129" s="29">
        <v>13</v>
      </c>
      <c r="I129" s="27">
        <v>2</v>
      </c>
      <c r="K129" s="21">
        <v>19</v>
      </c>
      <c r="L129" s="39">
        <f>S118</f>
        <v>1</v>
      </c>
      <c r="M129" s="39">
        <f>R117</f>
        <v>0</v>
      </c>
      <c r="N129" s="39">
        <f>N120</f>
        <v>0</v>
      </c>
      <c r="O129" s="39">
        <f>O119</f>
        <v>0</v>
      </c>
      <c r="P129" s="39">
        <f>P118</f>
        <v>0</v>
      </c>
      <c r="Q129" s="39">
        <f>M117</f>
        <v>0</v>
      </c>
      <c r="R129" s="21">
        <v>24</v>
      </c>
    </row>
    <row r="130" spans="1:51" ht="9.9499999999999993" customHeight="1" x14ac:dyDescent="0.25">
      <c r="C130" s="21">
        <v>5</v>
      </c>
      <c r="D130" s="29">
        <v>41</v>
      </c>
      <c r="E130" s="54">
        <v>52</v>
      </c>
      <c r="F130" s="29">
        <v>31</v>
      </c>
      <c r="G130" s="55">
        <v>37</v>
      </c>
      <c r="H130" s="29">
        <v>47</v>
      </c>
      <c r="I130" s="27">
        <v>55</v>
      </c>
      <c r="K130" s="57">
        <v>25</v>
      </c>
      <c r="L130" s="58">
        <f>L122</f>
        <v>1</v>
      </c>
      <c r="M130" s="58">
        <f>O123</f>
        <v>0</v>
      </c>
      <c r="N130" s="58">
        <f>R120</f>
        <v>1</v>
      </c>
      <c r="O130" s="58">
        <f>P121</f>
        <v>0</v>
      </c>
      <c r="P130" s="58">
        <f>R122</f>
        <v>0</v>
      </c>
      <c r="Q130" s="58">
        <f>R123</f>
        <v>0</v>
      </c>
      <c r="R130" s="57">
        <v>30</v>
      </c>
    </row>
    <row r="131" spans="1:51" ht="9.9499999999999993" customHeight="1" x14ac:dyDescent="0.25">
      <c r="C131" s="21">
        <v>6</v>
      </c>
      <c r="D131" s="29">
        <v>30</v>
      </c>
      <c r="E131" s="54">
        <v>40</v>
      </c>
      <c r="F131" s="29">
        <v>51</v>
      </c>
      <c r="G131" s="55">
        <v>45</v>
      </c>
      <c r="H131" s="29">
        <v>33</v>
      </c>
      <c r="I131" s="27">
        <v>48</v>
      </c>
      <c r="K131" s="21">
        <v>31</v>
      </c>
      <c r="L131" s="39">
        <f>Q120</f>
        <v>0</v>
      </c>
      <c r="M131" s="39">
        <f>S121</f>
        <v>1</v>
      </c>
      <c r="N131" s="39">
        <f>N123</f>
        <v>0</v>
      </c>
      <c r="O131" s="39">
        <f>P122</f>
        <v>0</v>
      </c>
      <c r="P131" s="39">
        <f>L121</f>
        <v>0</v>
      </c>
      <c r="Q131" s="39">
        <f>S122</f>
        <v>1</v>
      </c>
      <c r="R131" s="21">
        <v>36</v>
      </c>
    </row>
    <row r="132" spans="1:51" ht="9.9499999999999993" customHeight="1" x14ac:dyDescent="0.25">
      <c r="C132" s="21">
        <v>7</v>
      </c>
      <c r="D132" s="29">
        <v>44</v>
      </c>
      <c r="E132" s="54">
        <v>49</v>
      </c>
      <c r="F132" s="29">
        <v>39</v>
      </c>
      <c r="G132" s="55">
        <v>56</v>
      </c>
      <c r="H132" s="29">
        <v>34</v>
      </c>
      <c r="I132" s="27">
        <v>53</v>
      </c>
      <c r="K132" s="50">
        <v>37</v>
      </c>
      <c r="L132" s="27">
        <f>O122</f>
        <v>1</v>
      </c>
      <c r="M132" s="27">
        <f>L123</f>
        <v>1</v>
      </c>
      <c r="N132" s="27">
        <f>R121</f>
        <v>0</v>
      </c>
      <c r="O132" s="27">
        <f>S123</f>
        <v>1</v>
      </c>
      <c r="P132" s="27">
        <f>M121</f>
        <v>1</v>
      </c>
      <c r="Q132" s="27">
        <f>P123</f>
        <v>0</v>
      </c>
      <c r="R132" s="50">
        <v>42</v>
      </c>
    </row>
    <row r="133" spans="1:51" ht="9.9499999999999993" customHeight="1" x14ac:dyDescent="0.25">
      <c r="C133" s="21">
        <v>8</v>
      </c>
      <c r="D133" s="29">
        <v>46</v>
      </c>
      <c r="E133" s="54">
        <v>42</v>
      </c>
      <c r="F133" s="29">
        <v>50</v>
      </c>
      <c r="G133" s="55">
        <v>36</v>
      </c>
      <c r="H133" s="29">
        <v>29</v>
      </c>
      <c r="I133" s="27">
        <v>32</v>
      </c>
      <c r="K133" s="21">
        <v>43</v>
      </c>
      <c r="L133" s="39">
        <f>Q122</f>
        <v>1</v>
      </c>
      <c r="M133" s="39">
        <f>M122</f>
        <v>1</v>
      </c>
      <c r="N133" s="39">
        <f>M123</f>
        <v>1</v>
      </c>
      <c r="O133" s="39">
        <f>O121</f>
        <v>0</v>
      </c>
      <c r="P133" s="39">
        <f>P120</f>
        <v>1</v>
      </c>
      <c r="Q133" s="39">
        <f>S120</f>
        <v>1</v>
      </c>
      <c r="R133" s="21">
        <v>48</v>
      </c>
    </row>
    <row r="135" spans="1:51" ht="9.9499999999999993" customHeight="1" x14ac:dyDescent="0.25">
      <c r="A135" s="51"/>
      <c r="B135" s="51" t="s">
        <v>522</v>
      </c>
      <c r="C135" s="51"/>
      <c r="D135" s="52">
        <v>1</v>
      </c>
      <c r="E135" s="52">
        <v>2</v>
      </c>
      <c r="F135" s="52">
        <v>3</v>
      </c>
      <c r="G135" s="52">
        <v>4</v>
      </c>
      <c r="H135" s="52">
        <v>5</v>
      </c>
      <c r="I135" s="52">
        <v>6</v>
      </c>
      <c r="J135" s="52">
        <v>7</v>
      </c>
      <c r="K135" s="52">
        <v>8</v>
      </c>
      <c r="L135" s="52">
        <v>9</v>
      </c>
      <c r="M135" s="52">
        <v>10</v>
      </c>
      <c r="N135" s="52">
        <v>11</v>
      </c>
      <c r="O135" s="52">
        <v>12</v>
      </c>
      <c r="P135" s="52">
        <v>13</v>
      </c>
      <c r="Q135" s="52">
        <v>14</v>
      </c>
      <c r="R135" s="52">
        <v>15</v>
      </c>
      <c r="S135" s="52">
        <v>16</v>
      </c>
      <c r="T135" s="52">
        <v>17</v>
      </c>
      <c r="U135" s="52">
        <v>18</v>
      </c>
      <c r="V135" s="52">
        <v>19</v>
      </c>
      <c r="W135" s="52">
        <v>20</v>
      </c>
      <c r="X135" s="52">
        <v>21</v>
      </c>
      <c r="Y135" s="52">
        <v>22</v>
      </c>
      <c r="Z135" s="52">
        <v>23</v>
      </c>
      <c r="AA135" s="52">
        <v>24</v>
      </c>
      <c r="AB135" s="52">
        <v>25</v>
      </c>
      <c r="AC135" s="52">
        <v>26</v>
      </c>
      <c r="AD135" s="52">
        <v>27</v>
      </c>
      <c r="AE135" s="52">
        <v>28</v>
      </c>
      <c r="AF135" s="52">
        <v>29</v>
      </c>
      <c r="AG135" s="52">
        <v>30</v>
      </c>
      <c r="AH135" s="52">
        <v>31</v>
      </c>
      <c r="AI135" s="52">
        <v>32</v>
      </c>
      <c r="AJ135" s="52">
        <v>33</v>
      </c>
      <c r="AK135" s="52">
        <v>34</v>
      </c>
      <c r="AL135" s="52">
        <v>35</v>
      </c>
      <c r="AM135" s="52">
        <v>36</v>
      </c>
      <c r="AN135" s="52">
        <v>37</v>
      </c>
      <c r="AO135" s="52">
        <v>38</v>
      </c>
      <c r="AP135" s="52">
        <v>39</v>
      </c>
      <c r="AQ135" s="52">
        <v>40</v>
      </c>
      <c r="AR135" s="52">
        <v>41</v>
      </c>
      <c r="AS135" s="52">
        <v>42</v>
      </c>
      <c r="AT135" s="52">
        <v>43</v>
      </c>
      <c r="AU135" s="52">
        <v>44</v>
      </c>
      <c r="AV135" s="52">
        <v>45</v>
      </c>
      <c r="AW135" s="52">
        <v>46</v>
      </c>
      <c r="AX135" s="52">
        <v>47</v>
      </c>
      <c r="AY135" s="52">
        <v>48</v>
      </c>
    </row>
    <row r="136" spans="1:51" ht="9.9499999999999993" customHeight="1" x14ac:dyDescent="0.25">
      <c r="D136" s="52">
        <f t="shared" ref="D136:I136" si="38">L126</f>
        <v>0</v>
      </c>
      <c r="E136" s="52">
        <f t="shared" si="38"/>
        <v>1</v>
      </c>
      <c r="F136" s="52">
        <f t="shared" si="38"/>
        <v>0</v>
      </c>
      <c r="G136" s="52">
        <f t="shared" si="38"/>
        <v>1</v>
      </c>
      <c r="H136" s="52">
        <f t="shared" si="38"/>
        <v>0</v>
      </c>
      <c r="I136" s="52">
        <f t="shared" si="38"/>
        <v>0</v>
      </c>
      <c r="J136" s="52">
        <f t="shared" ref="J136:O136" si="39">L127</f>
        <v>0</v>
      </c>
      <c r="K136" s="52">
        <f t="shared" si="39"/>
        <v>1</v>
      </c>
      <c r="L136" s="52">
        <f t="shared" si="39"/>
        <v>0</v>
      </c>
      <c r="M136" s="52">
        <f t="shared" si="39"/>
        <v>0</v>
      </c>
      <c r="N136" s="52">
        <f t="shared" si="39"/>
        <v>1</v>
      </c>
      <c r="O136" s="52">
        <f t="shared" si="39"/>
        <v>0</v>
      </c>
      <c r="P136" s="52">
        <f t="shared" ref="P136:U136" si="40">L128</f>
        <v>1</v>
      </c>
      <c r="Q136" s="52">
        <f t="shared" si="40"/>
        <v>1</v>
      </c>
      <c r="R136" s="52">
        <f t="shared" si="40"/>
        <v>0</v>
      </c>
      <c r="S136" s="52">
        <f t="shared" si="40"/>
        <v>0</v>
      </c>
      <c r="T136" s="52">
        <f t="shared" si="40"/>
        <v>0</v>
      </c>
      <c r="U136" s="52">
        <f t="shared" si="40"/>
        <v>1</v>
      </c>
      <c r="V136" s="52">
        <f t="shared" ref="V136:AA136" si="41">L129</f>
        <v>1</v>
      </c>
      <c r="W136" s="52">
        <f t="shared" si="41"/>
        <v>0</v>
      </c>
      <c r="X136" s="52">
        <f t="shared" si="41"/>
        <v>0</v>
      </c>
      <c r="Y136" s="52">
        <f t="shared" si="41"/>
        <v>0</v>
      </c>
      <c r="Z136" s="52">
        <f t="shared" si="41"/>
        <v>0</v>
      </c>
      <c r="AA136" s="52">
        <f t="shared" si="41"/>
        <v>0</v>
      </c>
      <c r="AB136" s="52">
        <f t="shared" ref="AB136:AG136" si="42">L130</f>
        <v>1</v>
      </c>
      <c r="AC136" s="52">
        <f t="shared" si="42"/>
        <v>0</v>
      </c>
      <c r="AD136" s="52">
        <f t="shared" si="42"/>
        <v>1</v>
      </c>
      <c r="AE136" s="52">
        <f t="shared" si="42"/>
        <v>0</v>
      </c>
      <c r="AF136" s="52">
        <f t="shared" si="42"/>
        <v>0</v>
      </c>
      <c r="AG136" s="52">
        <f t="shared" si="42"/>
        <v>0</v>
      </c>
      <c r="AH136" s="52">
        <f t="shared" ref="AH136:AM136" si="43">L131</f>
        <v>0</v>
      </c>
      <c r="AI136" s="52">
        <f t="shared" si="43"/>
        <v>1</v>
      </c>
      <c r="AJ136" s="52">
        <f t="shared" si="43"/>
        <v>0</v>
      </c>
      <c r="AK136" s="52">
        <f t="shared" si="43"/>
        <v>0</v>
      </c>
      <c r="AL136" s="52">
        <f t="shared" si="43"/>
        <v>0</v>
      </c>
      <c r="AM136" s="52">
        <f t="shared" si="43"/>
        <v>1</v>
      </c>
      <c r="AN136" s="52">
        <f t="shared" ref="AN136:AS136" si="44">L132</f>
        <v>1</v>
      </c>
      <c r="AO136" s="52">
        <f t="shared" si="44"/>
        <v>1</v>
      </c>
      <c r="AP136" s="52">
        <f t="shared" si="44"/>
        <v>0</v>
      </c>
      <c r="AQ136" s="52">
        <f t="shared" si="44"/>
        <v>1</v>
      </c>
      <c r="AR136" s="52">
        <f t="shared" si="44"/>
        <v>1</v>
      </c>
      <c r="AS136" s="52">
        <f t="shared" si="44"/>
        <v>0</v>
      </c>
      <c r="AT136" s="52">
        <f t="shared" ref="AT136:AY136" si="45">L133</f>
        <v>1</v>
      </c>
      <c r="AU136" s="52">
        <f t="shared" si="45"/>
        <v>1</v>
      </c>
      <c r="AV136" s="52">
        <f t="shared" si="45"/>
        <v>1</v>
      </c>
      <c r="AW136" s="52">
        <f t="shared" si="45"/>
        <v>0</v>
      </c>
      <c r="AX136" s="52">
        <f t="shared" si="45"/>
        <v>1</v>
      </c>
      <c r="AY136" s="52">
        <f t="shared" si="45"/>
        <v>1</v>
      </c>
    </row>
    <row r="141" spans="1:51" ht="9.9499999999999993" customHeight="1" x14ac:dyDescent="0.25">
      <c r="H141" s="38" t="s">
        <v>519</v>
      </c>
      <c r="L141" s="33" t="s">
        <v>523</v>
      </c>
      <c r="Q141" s="34" t="s">
        <v>524</v>
      </c>
    </row>
    <row r="142" spans="1:51" ht="9.9499999999999993" customHeight="1" x14ac:dyDescent="0.25">
      <c r="K142" s="59">
        <f>M108</f>
        <v>0</v>
      </c>
      <c r="L142" s="40">
        <f>N108</f>
        <v>0</v>
      </c>
      <c r="M142" s="59">
        <f>K108</f>
        <v>0</v>
      </c>
      <c r="N142" s="59">
        <f>L108</f>
        <v>0</v>
      </c>
      <c r="P142" s="59">
        <f>R108</f>
        <v>0</v>
      </c>
      <c r="Q142" s="40">
        <f>S108</f>
        <v>1</v>
      </c>
      <c r="R142" s="59">
        <f>P108</f>
        <v>0</v>
      </c>
      <c r="S142" s="59">
        <f>Q108</f>
        <v>0</v>
      </c>
    </row>
    <row r="143" spans="1:51" ht="9.9499999999999993" customHeight="1" x14ac:dyDescent="0.25">
      <c r="K143" s="59">
        <f t="shared" ref="K143:L148" si="46">M109</f>
        <v>0</v>
      </c>
      <c r="L143" s="40">
        <f t="shared" si="46"/>
        <v>0</v>
      </c>
      <c r="M143" s="59">
        <f t="shared" ref="M143:N148" si="47">K109</f>
        <v>0</v>
      </c>
      <c r="N143" s="59">
        <f t="shared" si="47"/>
        <v>0</v>
      </c>
      <c r="P143" s="59">
        <f t="shared" ref="P143:Q148" si="48">R109</f>
        <v>0</v>
      </c>
      <c r="Q143" s="40">
        <f t="shared" si="48"/>
        <v>1</v>
      </c>
      <c r="R143" s="59">
        <f t="shared" ref="R143:S148" si="49">P109</f>
        <v>0</v>
      </c>
      <c r="S143" s="59">
        <f t="shared" si="49"/>
        <v>0</v>
      </c>
    </row>
    <row r="144" spans="1:51" ht="9.9499999999999993" customHeight="1" x14ac:dyDescent="0.25">
      <c r="K144" s="59">
        <f t="shared" si="46"/>
        <v>1</v>
      </c>
      <c r="L144" s="40">
        <f t="shared" si="46"/>
        <v>0</v>
      </c>
      <c r="M144" s="59">
        <f t="shared" si="47"/>
        <v>1</v>
      </c>
      <c r="N144" s="59">
        <f t="shared" si="47"/>
        <v>1</v>
      </c>
      <c r="P144" s="59">
        <f t="shared" si="48"/>
        <v>1</v>
      </c>
      <c r="Q144" s="40">
        <f t="shared" si="48"/>
        <v>1</v>
      </c>
      <c r="R144" s="59">
        <f t="shared" si="49"/>
        <v>1</v>
      </c>
      <c r="S144" s="59">
        <f t="shared" si="49"/>
        <v>1</v>
      </c>
    </row>
    <row r="145" spans="3:20" ht="9.9499999999999993" customHeight="1" x14ac:dyDescent="0.25">
      <c r="K145" s="59">
        <f t="shared" si="46"/>
        <v>0</v>
      </c>
      <c r="L145" s="40">
        <f t="shared" si="46"/>
        <v>1</v>
      </c>
      <c r="M145" s="59">
        <f t="shared" si="47"/>
        <v>0</v>
      </c>
      <c r="N145" s="59">
        <f t="shared" si="47"/>
        <v>0</v>
      </c>
      <c r="P145" s="59">
        <f t="shared" si="48"/>
        <v>1</v>
      </c>
      <c r="Q145" s="40">
        <f t="shared" si="48"/>
        <v>1</v>
      </c>
      <c r="R145" s="59">
        <f t="shared" si="49"/>
        <v>1</v>
      </c>
      <c r="S145" s="59">
        <f t="shared" si="49"/>
        <v>0</v>
      </c>
    </row>
    <row r="146" spans="3:20" ht="9.9499999999999993" customHeight="1" x14ac:dyDescent="0.25">
      <c r="K146" s="59">
        <f t="shared" si="46"/>
        <v>0</v>
      </c>
      <c r="L146" s="40">
        <f t="shared" si="46"/>
        <v>0</v>
      </c>
      <c r="M146" s="59">
        <f t="shared" si="47"/>
        <v>0</v>
      </c>
      <c r="N146" s="59">
        <f t="shared" si="47"/>
        <v>1</v>
      </c>
      <c r="P146" s="59">
        <f t="shared" si="48"/>
        <v>0</v>
      </c>
      <c r="Q146" s="40">
        <f t="shared" si="48"/>
        <v>1</v>
      </c>
      <c r="R146" s="59">
        <f t="shared" si="49"/>
        <v>0</v>
      </c>
      <c r="S146" s="59">
        <f t="shared" si="49"/>
        <v>1</v>
      </c>
    </row>
    <row r="147" spans="3:20" ht="9.9499999999999993" customHeight="1" x14ac:dyDescent="0.25">
      <c r="K147" s="59">
        <f t="shared" si="46"/>
        <v>1</v>
      </c>
      <c r="L147" s="40">
        <f t="shared" si="46"/>
        <v>1</v>
      </c>
      <c r="M147" s="59">
        <f t="shared" si="47"/>
        <v>1</v>
      </c>
      <c r="N147" s="59">
        <f t="shared" si="47"/>
        <v>1</v>
      </c>
      <c r="P147" s="59">
        <f t="shared" si="48"/>
        <v>0</v>
      </c>
      <c r="Q147" s="40">
        <f t="shared" si="48"/>
        <v>1</v>
      </c>
      <c r="R147" s="59">
        <f t="shared" si="49"/>
        <v>0</v>
      </c>
      <c r="S147" s="59">
        <f t="shared" si="49"/>
        <v>1</v>
      </c>
    </row>
    <row r="148" spans="3:20" ht="9.9499999999999993" customHeight="1" x14ac:dyDescent="0.25">
      <c r="K148" s="59">
        <f t="shared" si="46"/>
        <v>0</v>
      </c>
      <c r="L148" s="40">
        <f t="shared" si="46"/>
        <v>0</v>
      </c>
      <c r="M148" s="59">
        <f t="shared" si="47"/>
        <v>1</v>
      </c>
      <c r="N148" s="59">
        <f t="shared" si="47"/>
        <v>1</v>
      </c>
      <c r="P148" s="59">
        <f t="shared" si="48"/>
        <v>0</v>
      </c>
      <c r="Q148" s="40">
        <f t="shared" si="48"/>
        <v>1</v>
      </c>
      <c r="R148" s="59">
        <f t="shared" si="49"/>
        <v>0</v>
      </c>
      <c r="S148" s="59">
        <f t="shared" si="49"/>
        <v>0</v>
      </c>
    </row>
    <row r="150" spans="3:20" ht="9.9499999999999993" customHeight="1" x14ac:dyDescent="0.25">
      <c r="L150" s="21">
        <v>1</v>
      </c>
      <c r="M150" s="21">
        <v>2</v>
      </c>
      <c r="N150" s="21">
        <v>3</v>
      </c>
      <c r="O150" s="21">
        <v>4</v>
      </c>
      <c r="P150" s="21">
        <v>5</v>
      </c>
      <c r="Q150" s="21">
        <v>6</v>
      </c>
      <c r="R150" s="21">
        <v>7</v>
      </c>
      <c r="S150" s="21">
        <v>8</v>
      </c>
    </row>
    <row r="151" spans="3:20" ht="9.9499999999999993" customHeight="1" x14ac:dyDescent="0.25">
      <c r="K151" s="21">
        <v>1</v>
      </c>
      <c r="L151" s="24">
        <f>K142</f>
        <v>0</v>
      </c>
      <c r="M151" s="37">
        <f>L142</f>
        <v>0</v>
      </c>
      <c r="N151" s="24">
        <f>M142</f>
        <v>0</v>
      </c>
      <c r="O151" s="61">
        <f>N142</f>
        <v>0</v>
      </c>
      <c r="P151" s="61">
        <f>P142</f>
        <v>0</v>
      </c>
      <c r="Q151" s="37">
        <f>Q142</f>
        <v>1</v>
      </c>
      <c r="R151" s="61">
        <f>R142</f>
        <v>0</v>
      </c>
      <c r="S151" s="61">
        <f>S142</f>
        <v>0</v>
      </c>
      <c r="T151" s="21">
        <v>8</v>
      </c>
    </row>
    <row r="152" spans="3:20" ht="9.9499999999999993" customHeight="1" x14ac:dyDescent="0.25">
      <c r="K152" s="21">
        <v>9</v>
      </c>
      <c r="L152" s="24">
        <f t="shared" ref="L152:O157" si="50">K143</f>
        <v>0</v>
      </c>
      <c r="M152" s="37">
        <f t="shared" si="50"/>
        <v>0</v>
      </c>
      <c r="N152" s="24">
        <f t="shared" si="50"/>
        <v>0</v>
      </c>
      <c r="O152" s="61">
        <f t="shared" si="50"/>
        <v>0</v>
      </c>
      <c r="P152" s="61">
        <f t="shared" ref="P152:S157" si="51">P143</f>
        <v>0</v>
      </c>
      <c r="Q152" s="37">
        <f t="shared" si="51"/>
        <v>1</v>
      </c>
      <c r="R152" s="61">
        <f t="shared" si="51"/>
        <v>0</v>
      </c>
      <c r="S152" s="61">
        <f t="shared" si="51"/>
        <v>0</v>
      </c>
      <c r="T152" s="21">
        <v>16</v>
      </c>
    </row>
    <row r="153" spans="3:20" ht="9.9499999999999993" customHeight="1" x14ac:dyDescent="0.25">
      <c r="K153" s="21">
        <v>17</v>
      </c>
      <c r="L153" s="24">
        <f t="shared" si="50"/>
        <v>1</v>
      </c>
      <c r="M153" s="37">
        <f t="shared" si="50"/>
        <v>0</v>
      </c>
      <c r="N153" s="24">
        <f t="shared" si="50"/>
        <v>1</v>
      </c>
      <c r="O153" s="61">
        <f t="shared" si="50"/>
        <v>1</v>
      </c>
      <c r="P153" s="61">
        <f t="shared" si="51"/>
        <v>1</v>
      </c>
      <c r="Q153" s="37">
        <f t="shared" si="51"/>
        <v>1</v>
      </c>
      <c r="R153" s="61">
        <f t="shared" si="51"/>
        <v>1</v>
      </c>
      <c r="S153" s="61">
        <f t="shared" si="51"/>
        <v>1</v>
      </c>
      <c r="T153" s="21">
        <v>24</v>
      </c>
    </row>
    <row r="154" spans="3:20" ht="9.9499999999999993" customHeight="1" x14ac:dyDescent="0.25">
      <c r="K154" s="21">
        <v>25</v>
      </c>
      <c r="L154" s="24">
        <f t="shared" si="50"/>
        <v>0</v>
      </c>
      <c r="M154" s="37">
        <f t="shared" si="50"/>
        <v>1</v>
      </c>
      <c r="N154" s="24">
        <f t="shared" si="50"/>
        <v>0</v>
      </c>
      <c r="O154" s="61">
        <f t="shared" si="50"/>
        <v>0</v>
      </c>
      <c r="P154" s="61">
        <f t="shared" si="51"/>
        <v>1</v>
      </c>
      <c r="Q154" s="37">
        <f t="shared" si="51"/>
        <v>1</v>
      </c>
      <c r="R154" s="61">
        <f t="shared" si="51"/>
        <v>1</v>
      </c>
      <c r="S154" s="61">
        <f t="shared" si="51"/>
        <v>0</v>
      </c>
      <c r="T154" s="21">
        <v>32</v>
      </c>
    </row>
    <row r="155" spans="3:20" ht="9.9499999999999993" customHeight="1" x14ac:dyDescent="0.25">
      <c r="K155" s="21">
        <v>33</v>
      </c>
      <c r="L155" s="24">
        <f t="shared" si="50"/>
        <v>0</v>
      </c>
      <c r="M155" s="37">
        <f t="shared" si="50"/>
        <v>0</v>
      </c>
      <c r="N155" s="24">
        <f t="shared" si="50"/>
        <v>0</v>
      </c>
      <c r="O155" s="61">
        <f t="shared" si="50"/>
        <v>1</v>
      </c>
      <c r="P155" s="61">
        <f t="shared" si="51"/>
        <v>0</v>
      </c>
      <c r="Q155" s="37">
        <f t="shared" si="51"/>
        <v>1</v>
      </c>
      <c r="R155" s="61">
        <f t="shared" si="51"/>
        <v>0</v>
      </c>
      <c r="S155" s="61">
        <f t="shared" si="51"/>
        <v>1</v>
      </c>
      <c r="T155" s="21">
        <v>40</v>
      </c>
    </row>
    <row r="156" spans="3:20" ht="9.9499999999999993" customHeight="1" x14ac:dyDescent="0.25">
      <c r="K156" s="21">
        <v>41</v>
      </c>
      <c r="L156" s="24">
        <f t="shared" si="50"/>
        <v>1</v>
      </c>
      <c r="M156" s="37">
        <f t="shared" si="50"/>
        <v>1</v>
      </c>
      <c r="N156" s="24">
        <f t="shared" si="50"/>
        <v>1</v>
      </c>
      <c r="O156" s="61">
        <f t="shared" si="50"/>
        <v>1</v>
      </c>
      <c r="P156" s="61">
        <f t="shared" si="51"/>
        <v>0</v>
      </c>
      <c r="Q156" s="37">
        <f t="shared" si="51"/>
        <v>1</v>
      </c>
      <c r="R156" s="61">
        <f t="shared" si="51"/>
        <v>0</v>
      </c>
      <c r="S156" s="61">
        <f t="shared" si="51"/>
        <v>1</v>
      </c>
      <c r="T156" s="21">
        <v>48</v>
      </c>
    </row>
    <row r="157" spans="3:20" ht="9.9499999999999993" customHeight="1" x14ac:dyDescent="0.25">
      <c r="K157" s="21">
        <v>49</v>
      </c>
      <c r="L157" s="24">
        <f t="shared" si="50"/>
        <v>0</v>
      </c>
      <c r="M157" s="37">
        <f t="shared" si="50"/>
        <v>0</v>
      </c>
      <c r="N157" s="24">
        <f t="shared" si="50"/>
        <v>1</v>
      </c>
      <c r="O157" s="61">
        <f t="shared" si="50"/>
        <v>1</v>
      </c>
      <c r="P157" s="61">
        <f t="shared" si="51"/>
        <v>0</v>
      </c>
      <c r="Q157" s="37">
        <f t="shared" si="51"/>
        <v>1</v>
      </c>
      <c r="R157" s="61">
        <f t="shared" si="51"/>
        <v>0</v>
      </c>
      <c r="S157" s="61">
        <f t="shared" si="51"/>
        <v>0</v>
      </c>
      <c r="T157" s="21">
        <v>56</v>
      </c>
    </row>
    <row r="158" spans="3:20" ht="9.9499999999999993" customHeight="1" x14ac:dyDescent="0.25">
      <c r="D158" s="46" t="s">
        <v>514</v>
      </c>
    </row>
    <row r="159" spans="3:20" ht="9.9499999999999993" customHeight="1" x14ac:dyDescent="0.25">
      <c r="D159" s="21">
        <v>1</v>
      </c>
      <c r="E159" s="21">
        <v>2</v>
      </c>
      <c r="F159" s="21">
        <v>3</v>
      </c>
      <c r="G159" s="21">
        <v>4</v>
      </c>
      <c r="H159" s="21">
        <v>5</v>
      </c>
      <c r="I159" s="21">
        <v>6</v>
      </c>
      <c r="L159" s="21">
        <v>1</v>
      </c>
      <c r="M159" s="21">
        <v>2</v>
      </c>
      <c r="N159" s="21">
        <v>3</v>
      </c>
      <c r="O159" s="21">
        <v>4</v>
      </c>
      <c r="P159" s="21">
        <v>5</v>
      </c>
      <c r="Q159" s="21">
        <v>6</v>
      </c>
    </row>
    <row r="160" spans="3:20" ht="9.9499999999999993" customHeight="1" x14ac:dyDescent="0.25">
      <c r="C160" s="21">
        <v>1</v>
      </c>
      <c r="D160" s="29">
        <v>14</v>
      </c>
      <c r="E160" s="54">
        <v>17</v>
      </c>
      <c r="F160" s="29">
        <v>11</v>
      </c>
      <c r="G160" s="55">
        <v>24</v>
      </c>
      <c r="H160" s="29">
        <v>1</v>
      </c>
      <c r="I160" s="27">
        <v>5</v>
      </c>
      <c r="L160" s="39">
        <f>Q152</f>
        <v>1</v>
      </c>
      <c r="M160" s="39">
        <f>L153</f>
        <v>1</v>
      </c>
      <c r="N160" s="39">
        <f>N152</f>
        <v>0</v>
      </c>
      <c r="O160" s="39">
        <f>S153</f>
        <v>1</v>
      </c>
      <c r="P160" s="39">
        <f>L151</f>
        <v>0</v>
      </c>
      <c r="Q160" s="39">
        <f>P151</f>
        <v>0</v>
      </c>
      <c r="R160" s="21">
        <v>6</v>
      </c>
    </row>
    <row r="161" spans="1:51" ht="9.9499999999999993" customHeight="1" x14ac:dyDescent="0.25">
      <c r="C161" s="21">
        <v>2</v>
      </c>
      <c r="D161" s="29">
        <v>3</v>
      </c>
      <c r="E161" s="54">
        <v>28</v>
      </c>
      <c r="F161" s="29">
        <v>15</v>
      </c>
      <c r="G161" s="55">
        <v>6</v>
      </c>
      <c r="H161" s="29">
        <v>21</v>
      </c>
      <c r="I161" s="27">
        <v>10</v>
      </c>
      <c r="K161" s="21">
        <v>7</v>
      </c>
      <c r="L161" s="39">
        <f>N151</f>
        <v>0</v>
      </c>
      <c r="M161" s="39">
        <f>O154</f>
        <v>0</v>
      </c>
      <c r="N161" s="39">
        <f>R152</f>
        <v>0</v>
      </c>
      <c r="O161" s="39">
        <f>Q151</f>
        <v>1</v>
      </c>
      <c r="P161" s="39">
        <f>P153</f>
        <v>1</v>
      </c>
      <c r="Q161" s="39">
        <f>M152</f>
        <v>0</v>
      </c>
      <c r="R161" s="21">
        <v>12</v>
      </c>
    </row>
    <row r="162" spans="1:51" ht="9.9499999999999993" customHeight="1" x14ac:dyDescent="0.25">
      <c r="C162" s="21">
        <v>3</v>
      </c>
      <c r="D162" s="29">
        <v>23</v>
      </c>
      <c r="E162" s="54">
        <v>19</v>
      </c>
      <c r="F162" s="29">
        <v>12</v>
      </c>
      <c r="G162" s="55">
        <v>4</v>
      </c>
      <c r="H162" s="29">
        <v>26</v>
      </c>
      <c r="I162" s="27">
        <v>8</v>
      </c>
      <c r="K162" s="56">
        <v>13</v>
      </c>
      <c r="L162" s="22">
        <f>R153</f>
        <v>1</v>
      </c>
      <c r="M162" s="22">
        <f>N153</f>
        <v>1</v>
      </c>
      <c r="N162" s="22">
        <f>O152</f>
        <v>0</v>
      </c>
      <c r="O162" s="22">
        <f>O151</f>
        <v>0</v>
      </c>
      <c r="P162" s="22">
        <f>M154</f>
        <v>1</v>
      </c>
      <c r="Q162" s="22">
        <f>S151</f>
        <v>0</v>
      </c>
      <c r="R162" s="56">
        <v>18</v>
      </c>
    </row>
    <row r="163" spans="1:51" ht="9.9499999999999993" customHeight="1" x14ac:dyDescent="0.25">
      <c r="C163" s="21">
        <v>4</v>
      </c>
      <c r="D163" s="29">
        <v>16</v>
      </c>
      <c r="E163" s="54">
        <v>7</v>
      </c>
      <c r="F163" s="29">
        <v>27</v>
      </c>
      <c r="G163" s="55">
        <v>20</v>
      </c>
      <c r="H163" s="29">
        <v>13</v>
      </c>
      <c r="I163" s="27">
        <v>2</v>
      </c>
      <c r="K163" s="21">
        <v>19</v>
      </c>
      <c r="L163" s="39">
        <f>S152</f>
        <v>0</v>
      </c>
      <c r="M163" s="39">
        <f>R151</f>
        <v>0</v>
      </c>
      <c r="N163" s="39">
        <f>N154</f>
        <v>0</v>
      </c>
      <c r="O163" s="39">
        <f>O153</f>
        <v>1</v>
      </c>
      <c r="P163" s="39">
        <f>P152</f>
        <v>0</v>
      </c>
      <c r="Q163" s="39">
        <f>M151</f>
        <v>0</v>
      </c>
      <c r="R163" s="21">
        <v>24</v>
      </c>
    </row>
    <row r="164" spans="1:51" ht="9.9499999999999993" customHeight="1" x14ac:dyDescent="0.25">
      <c r="C164" s="21">
        <v>5</v>
      </c>
      <c r="D164" s="29">
        <v>41</v>
      </c>
      <c r="E164" s="54">
        <v>52</v>
      </c>
      <c r="F164" s="29">
        <v>31</v>
      </c>
      <c r="G164" s="55">
        <v>37</v>
      </c>
      <c r="H164" s="29">
        <v>47</v>
      </c>
      <c r="I164" s="27">
        <v>55</v>
      </c>
      <c r="K164" s="57">
        <v>25</v>
      </c>
      <c r="L164" s="58">
        <f>L156</f>
        <v>1</v>
      </c>
      <c r="M164" s="58">
        <f>O157</f>
        <v>1</v>
      </c>
      <c r="N164" s="58">
        <f>R154</f>
        <v>1</v>
      </c>
      <c r="O164" s="58">
        <f>P155</f>
        <v>0</v>
      </c>
      <c r="P164" s="58">
        <f>R156</f>
        <v>0</v>
      </c>
      <c r="Q164" s="58">
        <f>R157</f>
        <v>0</v>
      </c>
      <c r="R164" s="57">
        <v>30</v>
      </c>
    </row>
    <row r="165" spans="1:51" ht="9.9499999999999993" customHeight="1" x14ac:dyDescent="0.25">
      <c r="C165" s="21">
        <v>6</v>
      </c>
      <c r="D165" s="29">
        <v>30</v>
      </c>
      <c r="E165" s="54">
        <v>40</v>
      </c>
      <c r="F165" s="29">
        <v>51</v>
      </c>
      <c r="G165" s="55">
        <v>45</v>
      </c>
      <c r="H165" s="29">
        <v>33</v>
      </c>
      <c r="I165" s="27">
        <v>48</v>
      </c>
      <c r="K165" s="21">
        <v>31</v>
      </c>
      <c r="L165" s="39">
        <f>Q154</f>
        <v>1</v>
      </c>
      <c r="M165" s="39">
        <f>S155</f>
        <v>1</v>
      </c>
      <c r="N165" s="39">
        <f>N157</f>
        <v>1</v>
      </c>
      <c r="O165" s="39">
        <f>P156</f>
        <v>0</v>
      </c>
      <c r="P165" s="39">
        <f>L155</f>
        <v>0</v>
      </c>
      <c r="Q165" s="39">
        <f>S156</f>
        <v>1</v>
      </c>
      <c r="R165" s="21">
        <v>36</v>
      </c>
    </row>
    <row r="166" spans="1:51" ht="9.9499999999999993" customHeight="1" x14ac:dyDescent="0.25">
      <c r="C166" s="21">
        <v>7</v>
      </c>
      <c r="D166" s="29">
        <v>44</v>
      </c>
      <c r="E166" s="54">
        <v>49</v>
      </c>
      <c r="F166" s="29">
        <v>39</v>
      </c>
      <c r="G166" s="55">
        <v>56</v>
      </c>
      <c r="H166" s="29">
        <v>34</v>
      </c>
      <c r="I166" s="27">
        <v>53</v>
      </c>
      <c r="K166" s="50">
        <v>37</v>
      </c>
      <c r="L166" s="27">
        <f>O156</f>
        <v>1</v>
      </c>
      <c r="M166" s="27">
        <f>L157</f>
        <v>0</v>
      </c>
      <c r="N166" s="27">
        <f>R155</f>
        <v>0</v>
      </c>
      <c r="O166" s="27">
        <f>S157</f>
        <v>0</v>
      </c>
      <c r="P166" s="27">
        <f>M155</f>
        <v>0</v>
      </c>
      <c r="Q166" s="27">
        <f>P157</f>
        <v>0</v>
      </c>
      <c r="R166" s="50">
        <v>42</v>
      </c>
    </row>
    <row r="167" spans="1:51" ht="9.9499999999999993" customHeight="1" x14ac:dyDescent="0.25">
      <c r="C167" s="21">
        <v>8</v>
      </c>
      <c r="D167" s="29">
        <v>46</v>
      </c>
      <c r="E167" s="54">
        <v>42</v>
      </c>
      <c r="F167" s="29">
        <v>50</v>
      </c>
      <c r="G167" s="55">
        <v>36</v>
      </c>
      <c r="H167" s="29">
        <v>29</v>
      </c>
      <c r="I167" s="27">
        <v>32</v>
      </c>
      <c r="K167" s="21">
        <v>43</v>
      </c>
      <c r="L167" s="39">
        <f>Q156</f>
        <v>1</v>
      </c>
      <c r="M167" s="39">
        <f>M156</f>
        <v>1</v>
      </c>
      <c r="N167" s="39">
        <f>M157</f>
        <v>0</v>
      </c>
      <c r="O167" s="39">
        <f>O155</f>
        <v>1</v>
      </c>
      <c r="P167" s="39">
        <f>P154</f>
        <v>1</v>
      </c>
      <c r="Q167" s="39">
        <f>S154</f>
        <v>0</v>
      </c>
      <c r="R167" s="21">
        <v>48</v>
      </c>
    </row>
    <row r="169" spans="1:51" ht="9.9499999999999993" customHeight="1" x14ac:dyDescent="0.25">
      <c r="A169" s="51"/>
      <c r="B169" s="51" t="s">
        <v>525</v>
      </c>
      <c r="C169" s="51"/>
      <c r="D169" s="52">
        <v>1</v>
      </c>
      <c r="E169" s="52">
        <v>2</v>
      </c>
      <c r="F169" s="52">
        <v>3</v>
      </c>
      <c r="G169" s="52">
        <v>4</v>
      </c>
      <c r="H169" s="52">
        <v>5</v>
      </c>
      <c r="I169" s="52">
        <v>6</v>
      </c>
      <c r="J169" s="52">
        <v>7</v>
      </c>
      <c r="K169" s="52">
        <v>8</v>
      </c>
      <c r="L169" s="52">
        <v>9</v>
      </c>
      <c r="M169" s="52">
        <v>10</v>
      </c>
      <c r="N169" s="52">
        <v>11</v>
      </c>
      <c r="O169" s="52">
        <v>12</v>
      </c>
      <c r="P169" s="52">
        <v>13</v>
      </c>
      <c r="Q169" s="52">
        <v>14</v>
      </c>
      <c r="R169" s="52">
        <v>15</v>
      </c>
      <c r="S169" s="52">
        <v>16</v>
      </c>
      <c r="T169" s="52">
        <v>17</v>
      </c>
      <c r="U169" s="52">
        <v>18</v>
      </c>
      <c r="V169" s="52">
        <v>19</v>
      </c>
      <c r="W169" s="52">
        <v>20</v>
      </c>
      <c r="X169" s="52">
        <v>21</v>
      </c>
      <c r="Y169" s="52">
        <v>22</v>
      </c>
      <c r="Z169" s="52">
        <v>23</v>
      </c>
      <c r="AA169" s="52">
        <v>24</v>
      </c>
      <c r="AB169" s="52">
        <v>25</v>
      </c>
      <c r="AC169" s="52">
        <v>26</v>
      </c>
      <c r="AD169" s="52">
        <v>27</v>
      </c>
      <c r="AE169" s="52">
        <v>28</v>
      </c>
      <c r="AF169" s="52">
        <v>29</v>
      </c>
      <c r="AG169" s="52">
        <v>30</v>
      </c>
      <c r="AH169" s="52">
        <v>31</v>
      </c>
      <c r="AI169" s="52">
        <v>32</v>
      </c>
      <c r="AJ169" s="52">
        <v>33</v>
      </c>
      <c r="AK169" s="52">
        <v>34</v>
      </c>
      <c r="AL169" s="52">
        <v>35</v>
      </c>
      <c r="AM169" s="52">
        <v>36</v>
      </c>
      <c r="AN169" s="52">
        <v>37</v>
      </c>
      <c r="AO169" s="52">
        <v>38</v>
      </c>
      <c r="AP169" s="52">
        <v>39</v>
      </c>
      <c r="AQ169" s="52">
        <v>40</v>
      </c>
      <c r="AR169" s="52">
        <v>41</v>
      </c>
      <c r="AS169" s="52">
        <v>42</v>
      </c>
      <c r="AT169" s="52">
        <v>43</v>
      </c>
      <c r="AU169" s="52">
        <v>44</v>
      </c>
      <c r="AV169" s="52">
        <v>45</v>
      </c>
      <c r="AW169" s="52">
        <v>46</v>
      </c>
      <c r="AX169" s="52">
        <v>47</v>
      </c>
      <c r="AY169" s="52">
        <v>48</v>
      </c>
    </row>
    <row r="170" spans="1:51" ht="9.9499999999999993" customHeight="1" x14ac:dyDescent="0.25">
      <c r="D170" s="52">
        <f t="shared" ref="D170:I170" si="52">L160</f>
        <v>1</v>
      </c>
      <c r="E170" s="52">
        <f t="shared" si="52"/>
        <v>1</v>
      </c>
      <c r="F170" s="52">
        <f t="shared" si="52"/>
        <v>0</v>
      </c>
      <c r="G170" s="52">
        <f t="shared" si="52"/>
        <v>1</v>
      </c>
      <c r="H170" s="52">
        <f t="shared" si="52"/>
        <v>0</v>
      </c>
      <c r="I170" s="52">
        <f t="shared" si="52"/>
        <v>0</v>
      </c>
      <c r="J170" s="52">
        <f t="shared" ref="J170:O170" si="53">L161</f>
        <v>0</v>
      </c>
      <c r="K170" s="52">
        <f t="shared" si="53"/>
        <v>0</v>
      </c>
      <c r="L170" s="52">
        <f t="shared" si="53"/>
        <v>0</v>
      </c>
      <c r="M170" s="52">
        <f t="shared" si="53"/>
        <v>1</v>
      </c>
      <c r="N170" s="52">
        <f t="shared" si="53"/>
        <v>1</v>
      </c>
      <c r="O170" s="52">
        <f t="shared" si="53"/>
        <v>0</v>
      </c>
      <c r="P170" s="52">
        <f t="shared" ref="P170:U170" si="54">L162</f>
        <v>1</v>
      </c>
      <c r="Q170" s="52">
        <f t="shared" si="54"/>
        <v>1</v>
      </c>
      <c r="R170" s="52">
        <f t="shared" si="54"/>
        <v>0</v>
      </c>
      <c r="S170" s="52">
        <f t="shared" si="54"/>
        <v>0</v>
      </c>
      <c r="T170" s="52">
        <f t="shared" si="54"/>
        <v>1</v>
      </c>
      <c r="U170" s="52">
        <f t="shared" si="54"/>
        <v>0</v>
      </c>
      <c r="V170" s="52">
        <f t="shared" ref="V170:AA170" si="55">L163</f>
        <v>0</v>
      </c>
      <c r="W170" s="52">
        <f t="shared" si="55"/>
        <v>0</v>
      </c>
      <c r="X170" s="52">
        <f t="shared" si="55"/>
        <v>0</v>
      </c>
      <c r="Y170" s="52">
        <f t="shared" si="55"/>
        <v>1</v>
      </c>
      <c r="Z170" s="52">
        <f t="shared" si="55"/>
        <v>0</v>
      </c>
      <c r="AA170" s="52">
        <f t="shared" si="55"/>
        <v>0</v>
      </c>
      <c r="AB170" s="52">
        <f t="shared" ref="AB170:AG170" si="56">L164</f>
        <v>1</v>
      </c>
      <c r="AC170" s="52">
        <f t="shared" si="56"/>
        <v>1</v>
      </c>
      <c r="AD170" s="52">
        <f t="shared" si="56"/>
        <v>1</v>
      </c>
      <c r="AE170" s="52">
        <f t="shared" si="56"/>
        <v>0</v>
      </c>
      <c r="AF170" s="52">
        <f t="shared" si="56"/>
        <v>0</v>
      </c>
      <c r="AG170" s="52">
        <f t="shared" si="56"/>
        <v>0</v>
      </c>
      <c r="AH170" s="52">
        <f t="shared" ref="AH170:AM170" si="57">L165</f>
        <v>1</v>
      </c>
      <c r="AI170" s="52">
        <f t="shared" si="57"/>
        <v>1</v>
      </c>
      <c r="AJ170" s="52">
        <f t="shared" si="57"/>
        <v>1</v>
      </c>
      <c r="AK170" s="52">
        <f t="shared" si="57"/>
        <v>0</v>
      </c>
      <c r="AL170" s="52">
        <f t="shared" si="57"/>
        <v>0</v>
      </c>
      <c r="AM170" s="52">
        <f t="shared" si="57"/>
        <v>1</v>
      </c>
      <c r="AN170" s="52">
        <f t="shared" ref="AN170:AS170" si="58">L166</f>
        <v>1</v>
      </c>
      <c r="AO170" s="52">
        <f t="shared" si="58"/>
        <v>0</v>
      </c>
      <c r="AP170" s="52">
        <f t="shared" si="58"/>
        <v>0</v>
      </c>
      <c r="AQ170" s="52">
        <f t="shared" si="58"/>
        <v>0</v>
      </c>
      <c r="AR170" s="52">
        <f t="shared" si="58"/>
        <v>0</v>
      </c>
      <c r="AS170" s="52">
        <f t="shared" si="58"/>
        <v>0</v>
      </c>
      <c r="AT170" s="52">
        <f t="shared" ref="AT170:AY170" si="59">L167</f>
        <v>1</v>
      </c>
      <c r="AU170" s="52">
        <f t="shared" si="59"/>
        <v>1</v>
      </c>
      <c r="AV170" s="52">
        <f t="shared" si="59"/>
        <v>0</v>
      </c>
      <c r="AW170" s="52">
        <f t="shared" si="59"/>
        <v>1</v>
      </c>
      <c r="AX170" s="52">
        <f t="shared" si="59"/>
        <v>1</v>
      </c>
      <c r="AY170" s="52">
        <f t="shared" si="59"/>
        <v>0</v>
      </c>
    </row>
    <row r="174" spans="1:51" ht="9.9499999999999993" customHeight="1" x14ac:dyDescent="0.25">
      <c r="H174" s="38" t="s">
        <v>519</v>
      </c>
      <c r="L174" s="33" t="s">
        <v>526</v>
      </c>
      <c r="Q174" s="34" t="s">
        <v>527</v>
      </c>
    </row>
    <row r="175" spans="1:51" ht="9.9499999999999993" customHeight="1" x14ac:dyDescent="0.25">
      <c r="K175" s="59">
        <f>M142</f>
        <v>0</v>
      </c>
      <c r="L175" s="59">
        <f>N142</f>
        <v>0</v>
      </c>
      <c r="M175" s="59">
        <f>K142</f>
        <v>0</v>
      </c>
      <c r="N175" s="40">
        <f>L142</f>
        <v>0</v>
      </c>
      <c r="P175" s="59">
        <f>R142</f>
        <v>0</v>
      </c>
      <c r="Q175" s="59">
        <f>S142</f>
        <v>0</v>
      </c>
      <c r="R175" s="59">
        <f>P142</f>
        <v>0</v>
      </c>
      <c r="S175" s="40">
        <f>Q142</f>
        <v>1</v>
      </c>
    </row>
    <row r="176" spans="1:51" ht="9.9499999999999993" customHeight="1" x14ac:dyDescent="0.25">
      <c r="K176" s="59">
        <f t="shared" ref="K176:L181" si="60">M143</f>
        <v>0</v>
      </c>
      <c r="L176" s="59">
        <f t="shared" si="60"/>
        <v>0</v>
      </c>
      <c r="M176" s="59">
        <f t="shared" ref="M176:N181" si="61">K143</f>
        <v>0</v>
      </c>
      <c r="N176" s="40">
        <f t="shared" si="61"/>
        <v>0</v>
      </c>
      <c r="P176" s="59">
        <f t="shared" ref="P176:Q181" si="62">R143</f>
        <v>0</v>
      </c>
      <c r="Q176" s="59">
        <f t="shared" si="62"/>
        <v>0</v>
      </c>
      <c r="R176" s="59">
        <f t="shared" ref="R176:S181" si="63">P143</f>
        <v>0</v>
      </c>
      <c r="S176" s="40">
        <f t="shared" si="63"/>
        <v>1</v>
      </c>
    </row>
    <row r="177" spans="4:20" ht="9.9499999999999993" customHeight="1" x14ac:dyDescent="0.25">
      <c r="K177" s="59">
        <f t="shared" si="60"/>
        <v>1</v>
      </c>
      <c r="L177" s="59">
        <f t="shared" si="60"/>
        <v>1</v>
      </c>
      <c r="M177" s="59">
        <f t="shared" si="61"/>
        <v>1</v>
      </c>
      <c r="N177" s="40">
        <f t="shared" si="61"/>
        <v>0</v>
      </c>
      <c r="P177" s="59">
        <f t="shared" si="62"/>
        <v>1</v>
      </c>
      <c r="Q177" s="59">
        <f t="shared" si="62"/>
        <v>1</v>
      </c>
      <c r="R177" s="59">
        <f t="shared" si="63"/>
        <v>1</v>
      </c>
      <c r="S177" s="40">
        <f t="shared" si="63"/>
        <v>1</v>
      </c>
    </row>
    <row r="178" spans="4:20" ht="9.9499999999999993" customHeight="1" x14ac:dyDescent="0.25">
      <c r="K178" s="59">
        <f t="shared" si="60"/>
        <v>0</v>
      </c>
      <c r="L178" s="59">
        <f t="shared" si="60"/>
        <v>0</v>
      </c>
      <c r="M178" s="59">
        <f t="shared" si="61"/>
        <v>0</v>
      </c>
      <c r="N178" s="40">
        <f t="shared" si="61"/>
        <v>1</v>
      </c>
      <c r="P178" s="59">
        <f t="shared" si="62"/>
        <v>1</v>
      </c>
      <c r="Q178" s="59">
        <f t="shared" si="62"/>
        <v>0</v>
      </c>
      <c r="R178" s="59">
        <f t="shared" si="63"/>
        <v>1</v>
      </c>
      <c r="S178" s="40">
        <f t="shared" si="63"/>
        <v>1</v>
      </c>
    </row>
    <row r="179" spans="4:20" ht="9.9499999999999993" customHeight="1" x14ac:dyDescent="0.25">
      <c r="K179" s="59">
        <f t="shared" si="60"/>
        <v>0</v>
      </c>
      <c r="L179" s="59">
        <f t="shared" si="60"/>
        <v>1</v>
      </c>
      <c r="M179" s="59">
        <f t="shared" si="61"/>
        <v>0</v>
      </c>
      <c r="N179" s="40">
        <f t="shared" si="61"/>
        <v>0</v>
      </c>
      <c r="P179" s="59">
        <f t="shared" si="62"/>
        <v>0</v>
      </c>
      <c r="Q179" s="59">
        <f t="shared" si="62"/>
        <v>1</v>
      </c>
      <c r="R179" s="59">
        <f t="shared" si="63"/>
        <v>0</v>
      </c>
      <c r="S179" s="40">
        <f t="shared" si="63"/>
        <v>1</v>
      </c>
    </row>
    <row r="180" spans="4:20" ht="9.9499999999999993" customHeight="1" x14ac:dyDescent="0.25">
      <c r="K180" s="59">
        <f t="shared" si="60"/>
        <v>1</v>
      </c>
      <c r="L180" s="59">
        <f t="shared" si="60"/>
        <v>1</v>
      </c>
      <c r="M180" s="59">
        <f t="shared" si="61"/>
        <v>1</v>
      </c>
      <c r="N180" s="40">
        <f t="shared" si="61"/>
        <v>1</v>
      </c>
      <c r="P180" s="59">
        <f t="shared" si="62"/>
        <v>0</v>
      </c>
      <c r="Q180" s="59">
        <f t="shared" si="62"/>
        <v>1</v>
      </c>
      <c r="R180" s="59">
        <f t="shared" si="63"/>
        <v>0</v>
      </c>
      <c r="S180" s="40">
        <f t="shared" si="63"/>
        <v>1</v>
      </c>
    </row>
    <row r="181" spans="4:20" ht="9.9499999999999993" customHeight="1" x14ac:dyDescent="0.25">
      <c r="K181" s="59">
        <f t="shared" si="60"/>
        <v>1</v>
      </c>
      <c r="L181" s="59">
        <f t="shared" si="60"/>
        <v>1</v>
      </c>
      <c r="M181" s="59">
        <f t="shared" si="61"/>
        <v>0</v>
      </c>
      <c r="N181" s="40">
        <f t="shared" si="61"/>
        <v>0</v>
      </c>
      <c r="P181" s="59">
        <f t="shared" si="62"/>
        <v>0</v>
      </c>
      <c r="Q181" s="59">
        <f t="shared" si="62"/>
        <v>0</v>
      </c>
      <c r="R181" s="59">
        <f t="shared" si="63"/>
        <v>0</v>
      </c>
      <c r="S181" s="40">
        <f t="shared" si="63"/>
        <v>1</v>
      </c>
    </row>
    <row r="183" spans="4:20" ht="9.9499999999999993" customHeight="1" x14ac:dyDescent="0.25">
      <c r="L183" s="21">
        <v>1</v>
      </c>
      <c r="M183" s="21">
        <v>2</v>
      </c>
      <c r="N183" s="21">
        <v>3</v>
      </c>
      <c r="O183" s="21">
        <v>4</v>
      </c>
      <c r="P183" s="21">
        <v>5</v>
      </c>
      <c r="Q183" s="21">
        <v>6</v>
      </c>
      <c r="R183" s="21">
        <v>7</v>
      </c>
      <c r="S183" s="21">
        <v>8</v>
      </c>
    </row>
    <row r="184" spans="4:20" ht="9.9499999999999993" customHeight="1" x14ac:dyDescent="0.25">
      <c r="K184" s="21">
        <v>1</v>
      </c>
      <c r="L184" s="61">
        <f>K175</f>
        <v>0</v>
      </c>
      <c r="M184" s="61">
        <f>L175</f>
        <v>0</v>
      </c>
      <c r="N184" s="61">
        <f>M175</f>
        <v>0</v>
      </c>
      <c r="O184" s="37">
        <f>N175</f>
        <v>0</v>
      </c>
      <c r="P184" s="61">
        <f>P175</f>
        <v>0</v>
      </c>
      <c r="Q184" s="61">
        <f>Q175</f>
        <v>0</v>
      </c>
      <c r="R184" s="61">
        <f>R175</f>
        <v>0</v>
      </c>
      <c r="S184" s="37">
        <f>S175</f>
        <v>1</v>
      </c>
      <c r="T184" s="21">
        <v>8</v>
      </c>
    </row>
    <row r="185" spans="4:20" ht="9.9499999999999993" customHeight="1" x14ac:dyDescent="0.25">
      <c r="K185" s="21">
        <v>9</v>
      </c>
      <c r="L185" s="61">
        <f t="shared" ref="L185:O190" si="64">K176</f>
        <v>0</v>
      </c>
      <c r="M185" s="61">
        <f t="shared" si="64"/>
        <v>0</v>
      </c>
      <c r="N185" s="61">
        <f t="shared" si="64"/>
        <v>0</v>
      </c>
      <c r="O185" s="37">
        <f t="shared" si="64"/>
        <v>0</v>
      </c>
      <c r="P185" s="61">
        <f t="shared" ref="P185:S190" si="65">P176</f>
        <v>0</v>
      </c>
      <c r="Q185" s="61">
        <f t="shared" si="65"/>
        <v>0</v>
      </c>
      <c r="R185" s="61">
        <f t="shared" si="65"/>
        <v>0</v>
      </c>
      <c r="S185" s="37">
        <f t="shared" si="65"/>
        <v>1</v>
      </c>
      <c r="T185" s="21">
        <v>16</v>
      </c>
    </row>
    <row r="186" spans="4:20" ht="9.9499999999999993" customHeight="1" x14ac:dyDescent="0.25">
      <c r="K186" s="21">
        <v>17</v>
      </c>
      <c r="L186" s="61">
        <f t="shared" si="64"/>
        <v>1</v>
      </c>
      <c r="M186" s="61">
        <f t="shared" si="64"/>
        <v>1</v>
      </c>
      <c r="N186" s="61">
        <f t="shared" si="64"/>
        <v>1</v>
      </c>
      <c r="O186" s="37">
        <f t="shared" si="64"/>
        <v>0</v>
      </c>
      <c r="P186" s="61">
        <f t="shared" si="65"/>
        <v>1</v>
      </c>
      <c r="Q186" s="61">
        <f t="shared" si="65"/>
        <v>1</v>
      </c>
      <c r="R186" s="61">
        <f t="shared" si="65"/>
        <v>1</v>
      </c>
      <c r="S186" s="37">
        <f t="shared" si="65"/>
        <v>1</v>
      </c>
      <c r="T186" s="21">
        <v>24</v>
      </c>
    </row>
    <row r="187" spans="4:20" ht="9.9499999999999993" customHeight="1" x14ac:dyDescent="0.25">
      <c r="K187" s="21">
        <v>25</v>
      </c>
      <c r="L187" s="61">
        <f t="shared" si="64"/>
        <v>0</v>
      </c>
      <c r="M187" s="61">
        <f t="shared" si="64"/>
        <v>0</v>
      </c>
      <c r="N187" s="61">
        <f t="shared" si="64"/>
        <v>0</v>
      </c>
      <c r="O187" s="37">
        <f t="shared" si="64"/>
        <v>1</v>
      </c>
      <c r="P187" s="61">
        <f t="shared" si="65"/>
        <v>1</v>
      </c>
      <c r="Q187" s="61">
        <f t="shared" si="65"/>
        <v>0</v>
      </c>
      <c r="R187" s="61">
        <f t="shared" si="65"/>
        <v>1</v>
      </c>
      <c r="S187" s="37">
        <f t="shared" si="65"/>
        <v>1</v>
      </c>
      <c r="T187" s="21">
        <v>32</v>
      </c>
    </row>
    <row r="188" spans="4:20" ht="9.9499999999999993" customHeight="1" x14ac:dyDescent="0.25">
      <c r="K188" s="21">
        <v>33</v>
      </c>
      <c r="L188" s="61">
        <f t="shared" si="64"/>
        <v>0</v>
      </c>
      <c r="M188" s="61">
        <f t="shared" si="64"/>
        <v>1</v>
      </c>
      <c r="N188" s="61">
        <f t="shared" si="64"/>
        <v>0</v>
      </c>
      <c r="O188" s="37">
        <f t="shared" si="64"/>
        <v>0</v>
      </c>
      <c r="P188" s="61">
        <f t="shared" si="65"/>
        <v>0</v>
      </c>
      <c r="Q188" s="61">
        <f t="shared" si="65"/>
        <v>1</v>
      </c>
      <c r="R188" s="61">
        <f t="shared" si="65"/>
        <v>0</v>
      </c>
      <c r="S188" s="37">
        <f t="shared" si="65"/>
        <v>1</v>
      </c>
      <c r="T188" s="21">
        <v>40</v>
      </c>
    </row>
    <row r="189" spans="4:20" ht="9.9499999999999993" customHeight="1" x14ac:dyDescent="0.25">
      <c r="K189" s="21">
        <v>41</v>
      </c>
      <c r="L189" s="61">
        <f t="shared" si="64"/>
        <v>1</v>
      </c>
      <c r="M189" s="61">
        <f t="shared" si="64"/>
        <v>1</v>
      </c>
      <c r="N189" s="61">
        <f t="shared" si="64"/>
        <v>1</v>
      </c>
      <c r="O189" s="37">
        <f t="shared" si="64"/>
        <v>1</v>
      </c>
      <c r="P189" s="61">
        <f t="shared" si="65"/>
        <v>0</v>
      </c>
      <c r="Q189" s="61">
        <f t="shared" si="65"/>
        <v>1</v>
      </c>
      <c r="R189" s="61">
        <f t="shared" si="65"/>
        <v>0</v>
      </c>
      <c r="S189" s="37">
        <f t="shared" si="65"/>
        <v>1</v>
      </c>
      <c r="T189" s="21">
        <v>48</v>
      </c>
    </row>
    <row r="190" spans="4:20" ht="9.9499999999999993" customHeight="1" x14ac:dyDescent="0.25">
      <c r="K190" s="21">
        <v>49</v>
      </c>
      <c r="L190" s="61">
        <f t="shared" si="64"/>
        <v>1</v>
      </c>
      <c r="M190" s="61">
        <f t="shared" si="64"/>
        <v>1</v>
      </c>
      <c r="N190" s="61">
        <f t="shared" si="64"/>
        <v>0</v>
      </c>
      <c r="O190" s="37">
        <f t="shared" si="64"/>
        <v>0</v>
      </c>
      <c r="P190" s="61">
        <f t="shared" si="65"/>
        <v>0</v>
      </c>
      <c r="Q190" s="61">
        <f t="shared" si="65"/>
        <v>0</v>
      </c>
      <c r="R190" s="61">
        <f t="shared" si="65"/>
        <v>0</v>
      </c>
      <c r="S190" s="37">
        <f t="shared" si="65"/>
        <v>1</v>
      </c>
      <c r="T190" s="21">
        <v>56</v>
      </c>
    </row>
    <row r="191" spans="4:20" ht="9.9499999999999993" customHeight="1" x14ac:dyDescent="0.25">
      <c r="D191" s="46" t="s">
        <v>514</v>
      </c>
    </row>
    <row r="192" spans="4:20" ht="9.9499999999999993" customHeight="1" x14ac:dyDescent="0.25">
      <c r="D192" s="21">
        <v>1</v>
      </c>
      <c r="E192" s="21">
        <v>2</v>
      </c>
      <c r="F192" s="21">
        <v>3</v>
      </c>
      <c r="G192" s="21">
        <v>4</v>
      </c>
      <c r="H192" s="21">
        <v>5</v>
      </c>
      <c r="I192" s="21">
        <v>6</v>
      </c>
      <c r="L192" s="21">
        <v>1</v>
      </c>
      <c r="M192" s="21">
        <v>2</v>
      </c>
      <c r="N192" s="21">
        <v>3</v>
      </c>
      <c r="O192" s="21">
        <v>4</v>
      </c>
      <c r="P192" s="21">
        <v>5</v>
      </c>
      <c r="Q192" s="21">
        <v>6</v>
      </c>
    </row>
    <row r="193" spans="1:51" ht="9.9499999999999993" customHeight="1" x14ac:dyDescent="0.25">
      <c r="C193" s="21">
        <v>1</v>
      </c>
      <c r="D193" s="29">
        <v>14</v>
      </c>
      <c r="E193" s="54">
        <v>17</v>
      </c>
      <c r="F193" s="29">
        <v>11</v>
      </c>
      <c r="G193" s="55">
        <v>24</v>
      </c>
      <c r="H193" s="29">
        <v>1</v>
      </c>
      <c r="I193" s="27">
        <v>5</v>
      </c>
      <c r="L193" s="39">
        <f>Q185</f>
        <v>0</v>
      </c>
      <c r="M193" s="39">
        <f>L186</f>
        <v>1</v>
      </c>
      <c r="N193" s="39">
        <f>N185</f>
        <v>0</v>
      </c>
      <c r="O193" s="39">
        <f>S186</f>
        <v>1</v>
      </c>
      <c r="P193" s="39">
        <f>L184</f>
        <v>0</v>
      </c>
      <c r="Q193" s="39">
        <f>P184</f>
        <v>0</v>
      </c>
      <c r="R193" s="21">
        <v>6</v>
      </c>
    </row>
    <row r="194" spans="1:51" ht="9.9499999999999993" customHeight="1" x14ac:dyDescent="0.25">
      <c r="C194" s="21">
        <v>2</v>
      </c>
      <c r="D194" s="29">
        <v>3</v>
      </c>
      <c r="E194" s="54">
        <v>28</v>
      </c>
      <c r="F194" s="29">
        <v>15</v>
      </c>
      <c r="G194" s="55">
        <v>6</v>
      </c>
      <c r="H194" s="29">
        <v>21</v>
      </c>
      <c r="I194" s="27">
        <v>10</v>
      </c>
      <c r="K194" s="21">
        <v>7</v>
      </c>
      <c r="L194" s="39">
        <f>N184</f>
        <v>0</v>
      </c>
      <c r="M194" s="39">
        <f>O187</f>
        <v>1</v>
      </c>
      <c r="N194" s="39">
        <f>R185</f>
        <v>0</v>
      </c>
      <c r="O194" s="39">
        <f>Q184</f>
        <v>0</v>
      </c>
      <c r="P194" s="39">
        <f>P186</f>
        <v>1</v>
      </c>
      <c r="Q194" s="39">
        <f>M185</f>
        <v>0</v>
      </c>
      <c r="R194" s="21">
        <v>12</v>
      </c>
    </row>
    <row r="195" spans="1:51" ht="9.9499999999999993" customHeight="1" x14ac:dyDescent="0.25">
      <c r="C195" s="21">
        <v>3</v>
      </c>
      <c r="D195" s="29">
        <v>23</v>
      </c>
      <c r="E195" s="54">
        <v>19</v>
      </c>
      <c r="F195" s="29">
        <v>12</v>
      </c>
      <c r="G195" s="55">
        <v>4</v>
      </c>
      <c r="H195" s="29">
        <v>26</v>
      </c>
      <c r="I195" s="27">
        <v>8</v>
      </c>
      <c r="K195" s="56">
        <v>13</v>
      </c>
      <c r="L195" s="22">
        <f>R186</f>
        <v>1</v>
      </c>
      <c r="M195" s="22">
        <f>N186</f>
        <v>1</v>
      </c>
      <c r="N195" s="22">
        <f>O185</f>
        <v>0</v>
      </c>
      <c r="O195" s="22">
        <f>O184</f>
        <v>0</v>
      </c>
      <c r="P195" s="22">
        <f>M187</f>
        <v>0</v>
      </c>
      <c r="Q195" s="22">
        <f>S184</f>
        <v>1</v>
      </c>
      <c r="R195" s="56">
        <v>18</v>
      </c>
    </row>
    <row r="196" spans="1:51" ht="9.9499999999999993" customHeight="1" x14ac:dyDescent="0.25">
      <c r="C196" s="21">
        <v>4</v>
      </c>
      <c r="D196" s="29">
        <v>16</v>
      </c>
      <c r="E196" s="54">
        <v>7</v>
      </c>
      <c r="F196" s="29">
        <v>27</v>
      </c>
      <c r="G196" s="55">
        <v>20</v>
      </c>
      <c r="H196" s="29">
        <v>13</v>
      </c>
      <c r="I196" s="27">
        <v>2</v>
      </c>
      <c r="K196" s="21">
        <v>19</v>
      </c>
      <c r="L196" s="39">
        <f>S185</f>
        <v>1</v>
      </c>
      <c r="M196" s="39">
        <f>R184</f>
        <v>0</v>
      </c>
      <c r="N196" s="39">
        <f>N187</f>
        <v>0</v>
      </c>
      <c r="O196" s="39">
        <f>O186</f>
        <v>0</v>
      </c>
      <c r="P196" s="39">
        <f>P185</f>
        <v>0</v>
      </c>
      <c r="Q196" s="39">
        <f>M184</f>
        <v>0</v>
      </c>
      <c r="R196" s="21">
        <v>24</v>
      </c>
    </row>
    <row r="197" spans="1:51" ht="9.9499999999999993" customHeight="1" x14ac:dyDescent="0.25">
      <c r="C197" s="21">
        <v>5</v>
      </c>
      <c r="D197" s="29">
        <v>41</v>
      </c>
      <c r="E197" s="54">
        <v>52</v>
      </c>
      <c r="F197" s="29">
        <v>31</v>
      </c>
      <c r="G197" s="55">
        <v>37</v>
      </c>
      <c r="H197" s="29">
        <v>47</v>
      </c>
      <c r="I197" s="27">
        <v>55</v>
      </c>
      <c r="K197" s="57">
        <v>25</v>
      </c>
      <c r="L197" s="58">
        <f>L189</f>
        <v>1</v>
      </c>
      <c r="M197" s="58">
        <f>O190</f>
        <v>0</v>
      </c>
      <c r="N197" s="58">
        <f>R187</f>
        <v>1</v>
      </c>
      <c r="O197" s="58">
        <f>P188</f>
        <v>0</v>
      </c>
      <c r="P197" s="58">
        <f>R189</f>
        <v>0</v>
      </c>
      <c r="Q197" s="58">
        <f>R190</f>
        <v>0</v>
      </c>
      <c r="R197" s="57">
        <v>30</v>
      </c>
    </row>
    <row r="198" spans="1:51" ht="9.9499999999999993" customHeight="1" x14ac:dyDescent="0.25">
      <c r="C198" s="21">
        <v>6</v>
      </c>
      <c r="D198" s="29">
        <v>30</v>
      </c>
      <c r="E198" s="54">
        <v>40</v>
      </c>
      <c r="F198" s="29">
        <v>51</v>
      </c>
      <c r="G198" s="55">
        <v>45</v>
      </c>
      <c r="H198" s="29">
        <v>33</v>
      </c>
      <c r="I198" s="27">
        <v>48</v>
      </c>
      <c r="K198" s="21">
        <v>31</v>
      </c>
      <c r="L198" s="39">
        <f>Q187</f>
        <v>0</v>
      </c>
      <c r="M198" s="39">
        <f>S188</f>
        <v>1</v>
      </c>
      <c r="N198" s="39">
        <f>N190</f>
        <v>0</v>
      </c>
      <c r="O198" s="39">
        <f>P189</f>
        <v>0</v>
      </c>
      <c r="P198" s="39">
        <f>L188</f>
        <v>0</v>
      </c>
      <c r="Q198" s="39">
        <f>S189</f>
        <v>1</v>
      </c>
      <c r="R198" s="21">
        <v>36</v>
      </c>
    </row>
    <row r="199" spans="1:51" ht="9.9499999999999993" customHeight="1" x14ac:dyDescent="0.25">
      <c r="C199" s="21">
        <v>7</v>
      </c>
      <c r="D199" s="29">
        <v>44</v>
      </c>
      <c r="E199" s="54">
        <v>49</v>
      </c>
      <c r="F199" s="29">
        <v>39</v>
      </c>
      <c r="G199" s="55">
        <v>56</v>
      </c>
      <c r="H199" s="29">
        <v>34</v>
      </c>
      <c r="I199" s="27">
        <v>53</v>
      </c>
      <c r="K199" s="50">
        <v>37</v>
      </c>
      <c r="L199" s="27">
        <f>O189</f>
        <v>1</v>
      </c>
      <c r="M199" s="27">
        <f>L190</f>
        <v>1</v>
      </c>
      <c r="N199" s="27">
        <f>R188</f>
        <v>0</v>
      </c>
      <c r="O199" s="27">
        <f>S190</f>
        <v>1</v>
      </c>
      <c r="P199" s="27">
        <f>M188</f>
        <v>1</v>
      </c>
      <c r="Q199" s="27">
        <f>P190</f>
        <v>0</v>
      </c>
      <c r="R199" s="50">
        <v>42</v>
      </c>
    </row>
    <row r="200" spans="1:51" ht="9.9499999999999993" customHeight="1" x14ac:dyDescent="0.25">
      <c r="C200" s="21">
        <v>8</v>
      </c>
      <c r="D200" s="29">
        <v>46</v>
      </c>
      <c r="E200" s="54">
        <v>42</v>
      </c>
      <c r="F200" s="29">
        <v>50</v>
      </c>
      <c r="G200" s="55">
        <v>36</v>
      </c>
      <c r="H200" s="29">
        <v>29</v>
      </c>
      <c r="I200" s="27">
        <v>32</v>
      </c>
      <c r="K200" s="21">
        <v>43</v>
      </c>
      <c r="L200" s="39">
        <f>Q189</f>
        <v>1</v>
      </c>
      <c r="M200" s="39">
        <f>M189</f>
        <v>1</v>
      </c>
      <c r="N200" s="39">
        <f>M190</f>
        <v>1</v>
      </c>
      <c r="O200" s="39">
        <f>O188</f>
        <v>0</v>
      </c>
      <c r="P200" s="39">
        <f>P187</f>
        <v>1</v>
      </c>
      <c r="Q200" s="39">
        <f>S187</f>
        <v>1</v>
      </c>
      <c r="R200" s="21">
        <v>48</v>
      </c>
    </row>
    <row r="202" spans="1:51" ht="9.9499999999999993" customHeight="1" x14ac:dyDescent="0.25">
      <c r="A202" s="51"/>
      <c r="B202" s="51" t="s">
        <v>528</v>
      </c>
      <c r="C202" s="51"/>
      <c r="D202" s="52">
        <v>1</v>
      </c>
      <c r="E202" s="52">
        <v>2</v>
      </c>
      <c r="F202" s="52">
        <v>3</v>
      </c>
      <c r="G202" s="52">
        <v>4</v>
      </c>
      <c r="H202" s="52">
        <v>5</v>
      </c>
      <c r="I202" s="52">
        <v>6</v>
      </c>
      <c r="J202" s="52">
        <v>7</v>
      </c>
      <c r="K202" s="52">
        <v>8</v>
      </c>
      <c r="L202" s="52">
        <v>9</v>
      </c>
      <c r="M202" s="52">
        <v>10</v>
      </c>
      <c r="N202" s="52">
        <v>11</v>
      </c>
      <c r="O202" s="52">
        <v>12</v>
      </c>
      <c r="P202" s="52">
        <v>13</v>
      </c>
      <c r="Q202" s="52">
        <v>14</v>
      </c>
      <c r="R202" s="52">
        <v>15</v>
      </c>
      <c r="S202" s="52">
        <v>16</v>
      </c>
      <c r="T202" s="52">
        <v>17</v>
      </c>
      <c r="U202" s="52">
        <v>18</v>
      </c>
      <c r="V202" s="52">
        <v>19</v>
      </c>
      <c r="W202" s="52">
        <v>20</v>
      </c>
      <c r="X202" s="52">
        <v>21</v>
      </c>
      <c r="Y202" s="52">
        <v>22</v>
      </c>
      <c r="Z202" s="52">
        <v>23</v>
      </c>
      <c r="AA202" s="52">
        <v>24</v>
      </c>
      <c r="AB202" s="52">
        <v>25</v>
      </c>
      <c r="AC202" s="52">
        <v>26</v>
      </c>
      <c r="AD202" s="52">
        <v>27</v>
      </c>
      <c r="AE202" s="52">
        <v>28</v>
      </c>
      <c r="AF202" s="52">
        <v>29</v>
      </c>
      <c r="AG202" s="52">
        <v>30</v>
      </c>
      <c r="AH202" s="52">
        <v>31</v>
      </c>
      <c r="AI202" s="52">
        <v>32</v>
      </c>
      <c r="AJ202" s="52">
        <v>33</v>
      </c>
      <c r="AK202" s="52">
        <v>34</v>
      </c>
      <c r="AL202" s="52">
        <v>35</v>
      </c>
      <c r="AM202" s="52">
        <v>36</v>
      </c>
      <c r="AN202" s="52">
        <v>37</v>
      </c>
      <c r="AO202" s="52">
        <v>38</v>
      </c>
      <c r="AP202" s="52">
        <v>39</v>
      </c>
      <c r="AQ202" s="52">
        <v>40</v>
      </c>
      <c r="AR202" s="52">
        <v>41</v>
      </c>
      <c r="AS202" s="52">
        <v>42</v>
      </c>
      <c r="AT202" s="52">
        <v>43</v>
      </c>
      <c r="AU202" s="52">
        <v>44</v>
      </c>
      <c r="AV202" s="52">
        <v>45</v>
      </c>
      <c r="AW202" s="52">
        <v>46</v>
      </c>
      <c r="AX202" s="52">
        <v>47</v>
      </c>
      <c r="AY202" s="52">
        <v>48</v>
      </c>
    </row>
    <row r="203" spans="1:51" ht="9.9499999999999993" customHeight="1" x14ac:dyDescent="0.25">
      <c r="D203" s="52">
        <f t="shared" ref="D203:I203" si="66">L193</f>
        <v>0</v>
      </c>
      <c r="E203" s="52">
        <f t="shared" si="66"/>
        <v>1</v>
      </c>
      <c r="F203" s="52">
        <f t="shared" si="66"/>
        <v>0</v>
      </c>
      <c r="G203" s="52">
        <f t="shared" si="66"/>
        <v>1</v>
      </c>
      <c r="H203" s="52">
        <f t="shared" si="66"/>
        <v>0</v>
      </c>
      <c r="I203" s="52">
        <f t="shared" si="66"/>
        <v>0</v>
      </c>
      <c r="J203" s="52">
        <f t="shared" ref="J203:O203" si="67">L194</f>
        <v>0</v>
      </c>
      <c r="K203" s="52">
        <f t="shared" si="67"/>
        <v>1</v>
      </c>
      <c r="L203" s="52">
        <f t="shared" si="67"/>
        <v>0</v>
      </c>
      <c r="M203" s="52">
        <f t="shared" si="67"/>
        <v>0</v>
      </c>
      <c r="N203" s="52">
        <f t="shared" si="67"/>
        <v>1</v>
      </c>
      <c r="O203" s="52">
        <f t="shared" si="67"/>
        <v>0</v>
      </c>
      <c r="P203" s="52">
        <f t="shared" ref="P203:U203" si="68">L195</f>
        <v>1</v>
      </c>
      <c r="Q203" s="52">
        <f t="shared" si="68"/>
        <v>1</v>
      </c>
      <c r="R203" s="52">
        <f t="shared" si="68"/>
        <v>0</v>
      </c>
      <c r="S203" s="52">
        <f t="shared" si="68"/>
        <v>0</v>
      </c>
      <c r="T203" s="52">
        <f t="shared" si="68"/>
        <v>0</v>
      </c>
      <c r="U203" s="52">
        <f t="shared" si="68"/>
        <v>1</v>
      </c>
      <c r="V203" s="52">
        <f t="shared" ref="V203:AA203" si="69">L196</f>
        <v>1</v>
      </c>
      <c r="W203" s="52">
        <f t="shared" si="69"/>
        <v>0</v>
      </c>
      <c r="X203" s="52">
        <f t="shared" si="69"/>
        <v>0</v>
      </c>
      <c r="Y203" s="52">
        <f t="shared" si="69"/>
        <v>0</v>
      </c>
      <c r="Z203" s="52">
        <f t="shared" si="69"/>
        <v>0</v>
      </c>
      <c r="AA203" s="52">
        <f t="shared" si="69"/>
        <v>0</v>
      </c>
      <c r="AB203" s="52">
        <f t="shared" ref="AB203:AG203" si="70">L197</f>
        <v>1</v>
      </c>
      <c r="AC203" s="52">
        <f t="shared" si="70"/>
        <v>0</v>
      </c>
      <c r="AD203" s="52">
        <f t="shared" si="70"/>
        <v>1</v>
      </c>
      <c r="AE203" s="52">
        <f t="shared" si="70"/>
        <v>0</v>
      </c>
      <c r="AF203" s="52">
        <f t="shared" si="70"/>
        <v>0</v>
      </c>
      <c r="AG203" s="52">
        <f t="shared" si="70"/>
        <v>0</v>
      </c>
      <c r="AH203" s="52">
        <f t="shared" ref="AH203:AM203" si="71">L198</f>
        <v>0</v>
      </c>
      <c r="AI203" s="52">
        <f t="shared" si="71"/>
        <v>1</v>
      </c>
      <c r="AJ203" s="52">
        <f t="shared" si="71"/>
        <v>0</v>
      </c>
      <c r="AK203" s="52">
        <f t="shared" si="71"/>
        <v>0</v>
      </c>
      <c r="AL203" s="52">
        <f t="shared" si="71"/>
        <v>0</v>
      </c>
      <c r="AM203" s="52">
        <f t="shared" si="71"/>
        <v>1</v>
      </c>
      <c r="AN203" s="52">
        <f t="shared" ref="AN203:AS203" si="72">L199</f>
        <v>1</v>
      </c>
      <c r="AO203" s="52">
        <f t="shared" si="72"/>
        <v>1</v>
      </c>
      <c r="AP203" s="52">
        <f t="shared" si="72"/>
        <v>0</v>
      </c>
      <c r="AQ203" s="52">
        <f t="shared" si="72"/>
        <v>1</v>
      </c>
      <c r="AR203" s="52">
        <f t="shared" si="72"/>
        <v>1</v>
      </c>
      <c r="AS203" s="52">
        <f t="shared" si="72"/>
        <v>0</v>
      </c>
      <c r="AT203" s="52">
        <f t="shared" ref="AT203:AY203" si="73">L200</f>
        <v>1</v>
      </c>
      <c r="AU203" s="52">
        <f t="shared" si="73"/>
        <v>1</v>
      </c>
      <c r="AV203" s="52">
        <f t="shared" si="73"/>
        <v>1</v>
      </c>
      <c r="AW203" s="52">
        <f t="shared" si="73"/>
        <v>0</v>
      </c>
      <c r="AX203" s="52">
        <f t="shared" si="73"/>
        <v>1</v>
      </c>
      <c r="AY203" s="52">
        <f t="shared" si="73"/>
        <v>1</v>
      </c>
    </row>
    <row r="204" spans="1:51" ht="9.9499999999999993" customHeight="1" x14ac:dyDescent="0.25">
      <c r="N204" s="21" t="s">
        <v>555</v>
      </c>
    </row>
    <row r="207" spans="1:51" ht="9.9499999999999993" customHeight="1" x14ac:dyDescent="0.25">
      <c r="H207" s="38" t="s">
        <v>519</v>
      </c>
      <c r="L207" s="33" t="s">
        <v>554</v>
      </c>
      <c r="Q207" s="34" t="s">
        <v>553</v>
      </c>
    </row>
    <row r="208" spans="1:51" ht="9.9499999999999993" customHeight="1" x14ac:dyDescent="0.25">
      <c r="K208" s="59">
        <f>M175</f>
        <v>0</v>
      </c>
      <c r="L208" s="40">
        <f>N175</f>
        <v>0</v>
      </c>
      <c r="M208" s="59">
        <f>K175</f>
        <v>0</v>
      </c>
      <c r="N208" s="59">
        <f>L175</f>
        <v>0</v>
      </c>
      <c r="P208" s="59">
        <f>R175</f>
        <v>0</v>
      </c>
      <c r="Q208" s="40">
        <f>S175</f>
        <v>1</v>
      </c>
      <c r="R208" s="59">
        <f>P175</f>
        <v>0</v>
      </c>
      <c r="S208" s="59">
        <f>Q175</f>
        <v>0</v>
      </c>
    </row>
    <row r="209" spans="4:20" ht="9.9499999999999993" customHeight="1" x14ac:dyDescent="0.25">
      <c r="K209" s="59">
        <f t="shared" ref="K209:K214" si="74">M176</f>
        <v>0</v>
      </c>
      <c r="L209" s="40">
        <f t="shared" ref="L209:L214" si="75">N176</f>
        <v>0</v>
      </c>
      <c r="M209" s="59">
        <f t="shared" ref="M209:M214" si="76">K176</f>
        <v>0</v>
      </c>
      <c r="N209" s="59">
        <f t="shared" ref="N209:N214" si="77">L176</f>
        <v>0</v>
      </c>
      <c r="P209" s="59">
        <f t="shared" ref="P209:P214" si="78">R176</f>
        <v>0</v>
      </c>
      <c r="Q209" s="40">
        <f t="shared" ref="Q209:Q214" si="79">S176</f>
        <v>1</v>
      </c>
      <c r="R209" s="59">
        <f t="shared" ref="R209:R214" si="80">P176</f>
        <v>0</v>
      </c>
      <c r="S209" s="59">
        <f t="shared" ref="S209:S214" si="81">Q176</f>
        <v>0</v>
      </c>
    </row>
    <row r="210" spans="4:20" ht="9.9499999999999993" customHeight="1" x14ac:dyDescent="0.25">
      <c r="K210" s="59">
        <f t="shared" si="74"/>
        <v>1</v>
      </c>
      <c r="L210" s="40">
        <f t="shared" si="75"/>
        <v>0</v>
      </c>
      <c r="M210" s="59">
        <f t="shared" si="76"/>
        <v>1</v>
      </c>
      <c r="N210" s="59">
        <f t="shared" si="77"/>
        <v>1</v>
      </c>
      <c r="P210" s="59">
        <f t="shared" si="78"/>
        <v>1</v>
      </c>
      <c r="Q210" s="40">
        <f t="shared" si="79"/>
        <v>1</v>
      </c>
      <c r="R210" s="59">
        <f t="shared" si="80"/>
        <v>1</v>
      </c>
      <c r="S210" s="59">
        <f t="shared" si="81"/>
        <v>1</v>
      </c>
    </row>
    <row r="211" spans="4:20" ht="9.9499999999999993" customHeight="1" x14ac:dyDescent="0.25">
      <c r="K211" s="59">
        <f t="shared" si="74"/>
        <v>0</v>
      </c>
      <c r="L211" s="40">
        <f t="shared" si="75"/>
        <v>1</v>
      </c>
      <c r="M211" s="59">
        <f t="shared" si="76"/>
        <v>0</v>
      </c>
      <c r="N211" s="59">
        <f t="shared" si="77"/>
        <v>0</v>
      </c>
      <c r="P211" s="59">
        <f t="shared" si="78"/>
        <v>1</v>
      </c>
      <c r="Q211" s="40">
        <f t="shared" si="79"/>
        <v>1</v>
      </c>
      <c r="R211" s="59">
        <f t="shared" si="80"/>
        <v>1</v>
      </c>
      <c r="S211" s="59">
        <f t="shared" si="81"/>
        <v>0</v>
      </c>
    </row>
    <row r="212" spans="4:20" ht="9.9499999999999993" customHeight="1" x14ac:dyDescent="0.25">
      <c r="K212" s="59">
        <f t="shared" si="74"/>
        <v>0</v>
      </c>
      <c r="L212" s="40">
        <f t="shared" si="75"/>
        <v>0</v>
      </c>
      <c r="M212" s="59">
        <f t="shared" si="76"/>
        <v>0</v>
      </c>
      <c r="N212" s="59">
        <f t="shared" si="77"/>
        <v>1</v>
      </c>
      <c r="P212" s="59">
        <f t="shared" si="78"/>
        <v>0</v>
      </c>
      <c r="Q212" s="40">
        <f t="shared" si="79"/>
        <v>1</v>
      </c>
      <c r="R212" s="59">
        <f t="shared" si="80"/>
        <v>0</v>
      </c>
      <c r="S212" s="59">
        <f t="shared" si="81"/>
        <v>1</v>
      </c>
    </row>
    <row r="213" spans="4:20" ht="9.9499999999999993" customHeight="1" x14ac:dyDescent="0.25">
      <c r="K213" s="59">
        <f t="shared" si="74"/>
        <v>1</v>
      </c>
      <c r="L213" s="40">
        <f t="shared" si="75"/>
        <v>1</v>
      </c>
      <c r="M213" s="59">
        <f t="shared" si="76"/>
        <v>1</v>
      </c>
      <c r="N213" s="59">
        <f t="shared" si="77"/>
        <v>1</v>
      </c>
      <c r="P213" s="59">
        <f t="shared" si="78"/>
        <v>0</v>
      </c>
      <c r="Q213" s="40">
        <f t="shared" si="79"/>
        <v>1</v>
      </c>
      <c r="R213" s="59">
        <f t="shared" si="80"/>
        <v>0</v>
      </c>
      <c r="S213" s="59">
        <f t="shared" si="81"/>
        <v>1</v>
      </c>
    </row>
    <row r="214" spans="4:20" ht="9.9499999999999993" customHeight="1" x14ac:dyDescent="0.25">
      <c r="K214" s="59">
        <f t="shared" si="74"/>
        <v>0</v>
      </c>
      <c r="L214" s="40">
        <f t="shared" si="75"/>
        <v>0</v>
      </c>
      <c r="M214" s="59">
        <f t="shared" si="76"/>
        <v>1</v>
      </c>
      <c r="N214" s="59">
        <f t="shared" si="77"/>
        <v>1</v>
      </c>
      <c r="P214" s="59">
        <f t="shared" si="78"/>
        <v>0</v>
      </c>
      <c r="Q214" s="40">
        <f t="shared" si="79"/>
        <v>1</v>
      </c>
      <c r="R214" s="59">
        <f t="shared" si="80"/>
        <v>0</v>
      </c>
      <c r="S214" s="59">
        <f t="shared" si="81"/>
        <v>0</v>
      </c>
    </row>
    <row r="216" spans="4:20" ht="9.9499999999999993" customHeight="1" x14ac:dyDescent="0.25">
      <c r="L216" s="21">
        <v>1</v>
      </c>
      <c r="M216" s="21">
        <v>2</v>
      </c>
      <c r="N216" s="21">
        <v>3</v>
      </c>
      <c r="O216" s="21">
        <v>4</v>
      </c>
      <c r="P216" s="21">
        <v>5</v>
      </c>
      <c r="Q216" s="21">
        <v>6</v>
      </c>
      <c r="R216" s="21">
        <v>7</v>
      </c>
      <c r="S216" s="21">
        <v>8</v>
      </c>
    </row>
    <row r="217" spans="4:20" ht="9.9499999999999993" customHeight="1" x14ac:dyDescent="0.25">
      <c r="K217" s="21">
        <v>1</v>
      </c>
      <c r="L217" s="60">
        <f>K208</f>
        <v>0</v>
      </c>
      <c r="M217" s="37">
        <f>L208</f>
        <v>0</v>
      </c>
      <c r="N217" s="60">
        <f>M208</f>
        <v>0</v>
      </c>
      <c r="O217" s="60">
        <f>N208</f>
        <v>0</v>
      </c>
      <c r="P217" s="60">
        <f>P208</f>
        <v>0</v>
      </c>
      <c r="Q217" s="37">
        <f>Q208</f>
        <v>1</v>
      </c>
      <c r="R217" s="60">
        <f>R208</f>
        <v>0</v>
      </c>
      <c r="S217" s="60">
        <f>S208</f>
        <v>0</v>
      </c>
      <c r="T217" s="21">
        <v>8</v>
      </c>
    </row>
    <row r="218" spans="4:20" ht="9.9499999999999993" customHeight="1" x14ac:dyDescent="0.25">
      <c r="K218" s="21">
        <v>9</v>
      </c>
      <c r="L218" s="60">
        <f t="shared" ref="L218:L223" si="82">K209</f>
        <v>0</v>
      </c>
      <c r="M218" s="37">
        <f t="shared" ref="M218:M223" si="83">L209</f>
        <v>0</v>
      </c>
      <c r="N218" s="60">
        <f t="shared" ref="N218:N223" si="84">M209</f>
        <v>0</v>
      </c>
      <c r="O218" s="60">
        <f t="shared" ref="O218:O223" si="85">N209</f>
        <v>0</v>
      </c>
      <c r="P218" s="60">
        <f t="shared" ref="P218:S218" si="86">P209</f>
        <v>0</v>
      </c>
      <c r="Q218" s="37">
        <f t="shared" si="86"/>
        <v>1</v>
      </c>
      <c r="R218" s="60">
        <f t="shared" si="86"/>
        <v>0</v>
      </c>
      <c r="S218" s="60">
        <f t="shared" si="86"/>
        <v>0</v>
      </c>
      <c r="T218" s="21">
        <v>16</v>
      </c>
    </row>
    <row r="219" spans="4:20" ht="9.9499999999999993" customHeight="1" x14ac:dyDescent="0.25">
      <c r="K219" s="21">
        <v>17</v>
      </c>
      <c r="L219" s="60">
        <f t="shared" si="82"/>
        <v>1</v>
      </c>
      <c r="M219" s="37">
        <f t="shared" si="83"/>
        <v>0</v>
      </c>
      <c r="N219" s="60">
        <f t="shared" si="84"/>
        <v>1</v>
      </c>
      <c r="O219" s="60">
        <f t="shared" si="85"/>
        <v>1</v>
      </c>
      <c r="P219" s="60">
        <f t="shared" ref="P219:S219" si="87">P210</f>
        <v>1</v>
      </c>
      <c r="Q219" s="37">
        <f t="shared" si="87"/>
        <v>1</v>
      </c>
      <c r="R219" s="60">
        <f t="shared" si="87"/>
        <v>1</v>
      </c>
      <c r="S219" s="60">
        <f t="shared" si="87"/>
        <v>1</v>
      </c>
      <c r="T219" s="21">
        <v>24</v>
      </c>
    </row>
    <row r="220" spans="4:20" ht="9.9499999999999993" customHeight="1" x14ac:dyDescent="0.25">
      <c r="K220" s="21">
        <v>25</v>
      </c>
      <c r="L220" s="60">
        <f t="shared" si="82"/>
        <v>0</v>
      </c>
      <c r="M220" s="37">
        <f t="shared" si="83"/>
        <v>1</v>
      </c>
      <c r="N220" s="60">
        <f t="shared" si="84"/>
        <v>0</v>
      </c>
      <c r="O220" s="60">
        <f t="shared" si="85"/>
        <v>0</v>
      </c>
      <c r="P220" s="60">
        <f t="shared" ref="P220:S220" si="88">P211</f>
        <v>1</v>
      </c>
      <c r="Q220" s="37">
        <f t="shared" si="88"/>
        <v>1</v>
      </c>
      <c r="R220" s="60">
        <f t="shared" si="88"/>
        <v>1</v>
      </c>
      <c r="S220" s="60">
        <f t="shared" si="88"/>
        <v>0</v>
      </c>
      <c r="T220" s="21">
        <v>32</v>
      </c>
    </row>
    <row r="221" spans="4:20" ht="9.9499999999999993" customHeight="1" x14ac:dyDescent="0.25">
      <c r="K221" s="21">
        <v>33</v>
      </c>
      <c r="L221" s="60">
        <f t="shared" si="82"/>
        <v>0</v>
      </c>
      <c r="M221" s="37">
        <f t="shared" si="83"/>
        <v>0</v>
      </c>
      <c r="N221" s="60">
        <f t="shared" si="84"/>
        <v>0</v>
      </c>
      <c r="O221" s="60">
        <f t="shared" si="85"/>
        <v>1</v>
      </c>
      <c r="P221" s="60">
        <f t="shared" ref="P221:S221" si="89">P212</f>
        <v>0</v>
      </c>
      <c r="Q221" s="37">
        <f t="shared" si="89"/>
        <v>1</v>
      </c>
      <c r="R221" s="60">
        <f t="shared" si="89"/>
        <v>0</v>
      </c>
      <c r="S221" s="60">
        <f t="shared" si="89"/>
        <v>1</v>
      </c>
      <c r="T221" s="21">
        <v>40</v>
      </c>
    </row>
    <row r="222" spans="4:20" ht="9.9499999999999993" customHeight="1" x14ac:dyDescent="0.25">
      <c r="K222" s="21">
        <v>41</v>
      </c>
      <c r="L222" s="60">
        <f t="shared" si="82"/>
        <v>1</v>
      </c>
      <c r="M222" s="37">
        <f t="shared" si="83"/>
        <v>1</v>
      </c>
      <c r="N222" s="60">
        <f t="shared" si="84"/>
        <v>1</v>
      </c>
      <c r="O222" s="60">
        <f t="shared" si="85"/>
        <v>1</v>
      </c>
      <c r="P222" s="60">
        <f t="shared" ref="P222:S222" si="90">P213</f>
        <v>0</v>
      </c>
      <c r="Q222" s="37">
        <f t="shared" si="90"/>
        <v>1</v>
      </c>
      <c r="R222" s="60">
        <f t="shared" si="90"/>
        <v>0</v>
      </c>
      <c r="S222" s="60">
        <f t="shared" si="90"/>
        <v>1</v>
      </c>
      <c r="T222" s="21">
        <v>48</v>
      </c>
    </row>
    <row r="223" spans="4:20" ht="9.9499999999999993" customHeight="1" x14ac:dyDescent="0.25">
      <c r="K223" s="21">
        <v>49</v>
      </c>
      <c r="L223" s="60">
        <f t="shared" si="82"/>
        <v>0</v>
      </c>
      <c r="M223" s="37">
        <f t="shared" si="83"/>
        <v>0</v>
      </c>
      <c r="N223" s="60">
        <f t="shared" si="84"/>
        <v>1</v>
      </c>
      <c r="O223" s="60">
        <f t="shared" si="85"/>
        <v>1</v>
      </c>
      <c r="P223" s="60">
        <f t="shared" ref="P223:S223" si="91">P214</f>
        <v>0</v>
      </c>
      <c r="Q223" s="37">
        <f t="shared" si="91"/>
        <v>1</v>
      </c>
      <c r="R223" s="60">
        <f t="shared" si="91"/>
        <v>0</v>
      </c>
      <c r="S223" s="60">
        <f t="shared" si="91"/>
        <v>0</v>
      </c>
      <c r="T223" s="21">
        <v>56</v>
      </c>
    </row>
    <row r="224" spans="4:20" ht="9.9499999999999993" customHeight="1" x14ac:dyDescent="0.25">
      <c r="D224" s="46" t="s">
        <v>514</v>
      </c>
    </row>
    <row r="225" spans="1:51" ht="9.9499999999999993" customHeight="1" x14ac:dyDescent="0.25">
      <c r="D225" s="21">
        <v>1</v>
      </c>
      <c r="E225" s="21">
        <v>2</v>
      </c>
      <c r="F225" s="21">
        <v>3</v>
      </c>
      <c r="G225" s="21">
        <v>4</v>
      </c>
      <c r="H225" s="21">
        <v>5</v>
      </c>
      <c r="I225" s="21">
        <v>6</v>
      </c>
      <c r="L225" s="21">
        <v>1</v>
      </c>
      <c r="M225" s="21">
        <v>2</v>
      </c>
      <c r="N225" s="21">
        <v>3</v>
      </c>
      <c r="O225" s="21">
        <v>4</v>
      </c>
      <c r="P225" s="21">
        <v>5</v>
      </c>
      <c r="Q225" s="21">
        <v>6</v>
      </c>
    </row>
    <row r="226" spans="1:51" ht="9.9499999999999993" customHeight="1" x14ac:dyDescent="0.25">
      <c r="C226" s="21">
        <v>1</v>
      </c>
      <c r="D226" s="29">
        <v>14</v>
      </c>
      <c r="E226" s="54">
        <v>17</v>
      </c>
      <c r="F226" s="29">
        <v>11</v>
      </c>
      <c r="G226" s="55">
        <v>24</v>
      </c>
      <c r="H226" s="29">
        <v>1</v>
      </c>
      <c r="I226" s="27">
        <v>5</v>
      </c>
      <c r="L226" s="39">
        <f>Q218</f>
        <v>1</v>
      </c>
      <c r="M226" s="39">
        <f>L219</f>
        <v>1</v>
      </c>
      <c r="N226" s="39">
        <f>N218</f>
        <v>0</v>
      </c>
      <c r="O226" s="39">
        <f>S219</f>
        <v>1</v>
      </c>
      <c r="P226" s="39">
        <f>L217</f>
        <v>0</v>
      </c>
      <c r="Q226" s="39">
        <f>P217</f>
        <v>0</v>
      </c>
      <c r="R226" s="21">
        <v>6</v>
      </c>
    </row>
    <row r="227" spans="1:51" ht="9.9499999999999993" customHeight="1" x14ac:dyDescent="0.25">
      <c r="C227" s="21">
        <v>2</v>
      </c>
      <c r="D227" s="29">
        <v>3</v>
      </c>
      <c r="E227" s="54">
        <v>28</v>
      </c>
      <c r="F227" s="29">
        <v>15</v>
      </c>
      <c r="G227" s="55">
        <v>6</v>
      </c>
      <c r="H227" s="29">
        <v>21</v>
      </c>
      <c r="I227" s="27">
        <v>10</v>
      </c>
      <c r="K227" s="21">
        <v>7</v>
      </c>
      <c r="L227" s="39">
        <f>N217</f>
        <v>0</v>
      </c>
      <c r="M227" s="39">
        <f>O220</f>
        <v>0</v>
      </c>
      <c r="N227" s="39">
        <f>R218</f>
        <v>0</v>
      </c>
      <c r="O227" s="39">
        <f>Q217</f>
        <v>1</v>
      </c>
      <c r="P227" s="39">
        <f>P219</f>
        <v>1</v>
      </c>
      <c r="Q227" s="39">
        <f>M218</f>
        <v>0</v>
      </c>
      <c r="R227" s="21">
        <v>12</v>
      </c>
    </row>
    <row r="228" spans="1:51" ht="9.9499999999999993" customHeight="1" x14ac:dyDescent="0.25">
      <c r="C228" s="21">
        <v>3</v>
      </c>
      <c r="D228" s="29">
        <v>23</v>
      </c>
      <c r="E228" s="54">
        <v>19</v>
      </c>
      <c r="F228" s="29">
        <v>12</v>
      </c>
      <c r="G228" s="55">
        <v>4</v>
      </c>
      <c r="H228" s="29">
        <v>26</v>
      </c>
      <c r="I228" s="27">
        <v>8</v>
      </c>
      <c r="K228" s="56">
        <v>13</v>
      </c>
      <c r="L228" s="22">
        <f>R219</f>
        <v>1</v>
      </c>
      <c r="M228" s="22">
        <f>N219</f>
        <v>1</v>
      </c>
      <c r="N228" s="22">
        <f>O218</f>
        <v>0</v>
      </c>
      <c r="O228" s="22">
        <f>O217</f>
        <v>0</v>
      </c>
      <c r="P228" s="22">
        <f>M220</f>
        <v>1</v>
      </c>
      <c r="Q228" s="22">
        <f>S217</f>
        <v>0</v>
      </c>
      <c r="R228" s="56">
        <v>18</v>
      </c>
    </row>
    <row r="229" spans="1:51" ht="9.9499999999999993" customHeight="1" x14ac:dyDescent="0.25">
      <c r="C229" s="21">
        <v>4</v>
      </c>
      <c r="D229" s="29">
        <v>16</v>
      </c>
      <c r="E229" s="54">
        <v>7</v>
      </c>
      <c r="F229" s="29">
        <v>27</v>
      </c>
      <c r="G229" s="55">
        <v>20</v>
      </c>
      <c r="H229" s="29">
        <v>13</v>
      </c>
      <c r="I229" s="27">
        <v>2</v>
      </c>
      <c r="K229" s="21">
        <v>19</v>
      </c>
      <c r="L229" s="39">
        <f>S218</f>
        <v>0</v>
      </c>
      <c r="M229" s="39">
        <f>R217</f>
        <v>0</v>
      </c>
      <c r="N229" s="39">
        <f>N220</f>
        <v>0</v>
      </c>
      <c r="O229" s="39">
        <f>O219</f>
        <v>1</v>
      </c>
      <c r="P229" s="39">
        <f>P218</f>
        <v>0</v>
      </c>
      <c r="Q229" s="39">
        <f>M217</f>
        <v>0</v>
      </c>
      <c r="R229" s="21">
        <v>24</v>
      </c>
    </row>
    <row r="230" spans="1:51" ht="9.9499999999999993" customHeight="1" x14ac:dyDescent="0.25">
      <c r="C230" s="21">
        <v>5</v>
      </c>
      <c r="D230" s="29">
        <v>41</v>
      </c>
      <c r="E230" s="54">
        <v>52</v>
      </c>
      <c r="F230" s="29">
        <v>31</v>
      </c>
      <c r="G230" s="55">
        <v>37</v>
      </c>
      <c r="H230" s="29">
        <v>47</v>
      </c>
      <c r="I230" s="27">
        <v>55</v>
      </c>
      <c r="K230" s="57">
        <v>25</v>
      </c>
      <c r="L230" s="58">
        <f>L222</f>
        <v>1</v>
      </c>
      <c r="M230" s="58">
        <f>O223</f>
        <v>1</v>
      </c>
      <c r="N230" s="58">
        <f>R220</f>
        <v>1</v>
      </c>
      <c r="O230" s="58">
        <f>P221</f>
        <v>0</v>
      </c>
      <c r="P230" s="58">
        <f>R222</f>
        <v>0</v>
      </c>
      <c r="Q230" s="58">
        <f>R223</f>
        <v>0</v>
      </c>
      <c r="R230" s="57">
        <v>30</v>
      </c>
    </row>
    <row r="231" spans="1:51" ht="9.9499999999999993" customHeight="1" x14ac:dyDescent="0.25">
      <c r="C231" s="21">
        <v>6</v>
      </c>
      <c r="D231" s="29">
        <v>30</v>
      </c>
      <c r="E231" s="54">
        <v>40</v>
      </c>
      <c r="F231" s="29">
        <v>51</v>
      </c>
      <c r="G231" s="55">
        <v>45</v>
      </c>
      <c r="H231" s="29">
        <v>33</v>
      </c>
      <c r="I231" s="27">
        <v>48</v>
      </c>
      <c r="K231" s="21">
        <v>31</v>
      </c>
      <c r="L231" s="39">
        <f>Q220</f>
        <v>1</v>
      </c>
      <c r="M231" s="39">
        <f>S221</f>
        <v>1</v>
      </c>
      <c r="N231" s="39">
        <f>N223</f>
        <v>1</v>
      </c>
      <c r="O231" s="39">
        <f>P222</f>
        <v>0</v>
      </c>
      <c r="P231" s="39">
        <f>L221</f>
        <v>0</v>
      </c>
      <c r="Q231" s="39">
        <f>S222</f>
        <v>1</v>
      </c>
      <c r="R231" s="21">
        <v>36</v>
      </c>
    </row>
    <row r="232" spans="1:51" ht="9.9499999999999993" customHeight="1" x14ac:dyDescent="0.25">
      <c r="C232" s="21">
        <v>7</v>
      </c>
      <c r="D232" s="29">
        <v>44</v>
      </c>
      <c r="E232" s="54">
        <v>49</v>
      </c>
      <c r="F232" s="29">
        <v>39</v>
      </c>
      <c r="G232" s="55">
        <v>56</v>
      </c>
      <c r="H232" s="29">
        <v>34</v>
      </c>
      <c r="I232" s="27">
        <v>53</v>
      </c>
      <c r="K232" s="50">
        <v>37</v>
      </c>
      <c r="L232" s="27">
        <f>O222</f>
        <v>1</v>
      </c>
      <c r="M232" s="27">
        <f>L223</f>
        <v>0</v>
      </c>
      <c r="N232" s="27">
        <f>R221</f>
        <v>0</v>
      </c>
      <c r="O232" s="27">
        <f>S223</f>
        <v>0</v>
      </c>
      <c r="P232" s="27">
        <f>M221</f>
        <v>0</v>
      </c>
      <c r="Q232" s="27">
        <f>P223</f>
        <v>0</v>
      </c>
      <c r="R232" s="50">
        <v>42</v>
      </c>
    </row>
    <row r="233" spans="1:51" ht="9.9499999999999993" customHeight="1" x14ac:dyDescent="0.25">
      <c r="C233" s="21">
        <v>8</v>
      </c>
      <c r="D233" s="29">
        <v>46</v>
      </c>
      <c r="E233" s="54">
        <v>42</v>
      </c>
      <c r="F233" s="29">
        <v>50</v>
      </c>
      <c r="G233" s="55">
        <v>36</v>
      </c>
      <c r="H233" s="29">
        <v>29</v>
      </c>
      <c r="I233" s="27">
        <v>32</v>
      </c>
      <c r="K233" s="21">
        <v>43</v>
      </c>
      <c r="L233" s="39">
        <f>Q222</f>
        <v>1</v>
      </c>
      <c r="M233" s="39">
        <f>M222</f>
        <v>1</v>
      </c>
      <c r="N233" s="39">
        <f>M223</f>
        <v>0</v>
      </c>
      <c r="O233" s="39">
        <f>O221</f>
        <v>1</v>
      </c>
      <c r="P233" s="39">
        <f>P220</f>
        <v>1</v>
      </c>
      <c r="Q233" s="39">
        <f>S220</f>
        <v>0</v>
      </c>
      <c r="R233" s="21">
        <v>48</v>
      </c>
    </row>
    <row r="235" spans="1:51" ht="9.9499999999999993" customHeight="1" x14ac:dyDescent="0.25">
      <c r="A235" s="51"/>
      <c r="B235" s="51" t="s">
        <v>556</v>
      </c>
      <c r="C235" s="51"/>
      <c r="D235" s="52">
        <v>1</v>
      </c>
      <c r="E235" s="52">
        <v>2</v>
      </c>
      <c r="F235" s="52">
        <v>3</v>
      </c>
      <c r="G235" s="52">
        <v>4</v>
      </c>
      <c r="H235" s="52">
        <v>5</v>
      </c>
      <c r="I235" s="52">
        <v>6</v>
      </c>
      <c r="J235" s="52">
        <v>7</v>
      </c>
      <c r="K235" s="52">
        <v>8</v>
      </c>
      <c r="L235" s="52">
        <v>9</v>
      </c>
      <c r="M235" s="52">
        <v>10</v>
      </c>
      <c r="N235" s="52">
        <v>11</v>
      </c>
      <c r="O235" s="52">
        <v>12</v>
      </c>
      <c r="P235" s="52">
        <v>13</v>
      </c>
      <c r="Q235" s="52">
        <v>14</v>
      </c>
      <c r="R235" s="52">
        <v>15</v>
      </c>
      <c r="S235" s="52">
        <v>16</v>
      </c>
      <c r="T235" s="52">
        <v>17</v>
      </c>
      <c r="U235" s="52">
        <v>18</v>
      </c>
      <c r="V235" s="52">
        <v>19</v>
      </c>
      <c r="W235" s="52">
        <v>20</v>
      </c>
      <c r="X235" s="52">
        <v>21</v>
      </c>
      <c r="Y235" s="52">
        <v>22</v>
      </c>
      <c r="Z235" s="52">
        <v>23</v>
      </c>
      <c r="AA235" s="52">
        <v>24</v>
      </c>
      <c r="AB235" s="52">
        <v>25</v>
      </c>
      <c r="AC235" s="52">
        <v>26</v>
      </c>
      <c r="AD235" s="52">
        <v>27</v>
      </c>
      <c r="AE235" s="52">
        <v>28</v>
      </c>
      <c r="AF235" s="52">
        <v>29</v>
      </c>
      <c r="AG235" s="52">
        <v>30</v>
      </c>
      <c r="AH235" s="52">
        <v>31</v>
      </c>
      <c r="AI235" s="52">
        <v>32</v>
      </c>
      <c r="AJ235" s="52">
        <v>33</v>
      </c>
      <c r="AK235" s="52">
        <v>34</v>
      </c>
      <c r="AL235" s="52">
        <v>35</v>
      </c>
      <c r="AM235" s="52">
        <v>36</v>
      </c>
      <c r="AN235" s="52">
        <v>37</v>
      </c>
      <c r="AO235" s="52">
        <v>38</v>
      </c>
      <c r="AP235" s="52">
        <v>39</v>
      </c>
      <c r="AQ235" s="52">
        <v>40</v>
      </c>
      <c r="AR235" s="52">
        <v>41</v>
      </c>
      <c r="AS235" s="52">
        <v>42</v>
      </c>
      <c r="AT235" s="52">
        <v>43</v>
      </c>
      <c r="AU235" s="52">
        <v>44</v>
      </c>
      <c r="AV235" s="52">
        <v>45</v>
      </c>
      <c r="AW235" s="52">
        <v>46</v>
      </c>
      <c r="AX235" s="52">
        <v>47</v>
      </c>
      <c r="AY235" s="52">
        <v>48</v>
      </c>
    </row>
    <row r="236" spans="1:51" ht="9.9499999999999993" customHeight="1" x14ac:dyDescent="0.25">
      <c r="D236" s="52">
        <f t="shared" ref="D236" si="92">L226</f>
        <v>1</v>
      </c>
      <c r="E236" s="52">
        <f t="shared" ref="E236" si="93">M226</f>
        <v>1</v>
      </c>
      <c r="F236" s="52">
        <f t="shared" ref="F236" si="94">N226</f>
        <v>0</v>
      </c>
      <c r="G236" s="52">
        <f t="shared" ref="G236" si="95">O226</f>
        <v>1</v>
      </c>
      <c r="H236" s="52">
        <f t="shared" ref="H236" si="96">P226</f>
        <v>0</v>
      </c>
      <c r="I236" s="52">
        <f t="shared" ref="I236" si="97">Q226</f>
        <v>0</v>
      </c>
      <c r="J236" s="52">
        <f t="shared" ref="J236" si="98">L227</f>
        <v>0</v>
      </c>
      <c r="K236" s="52">
        <f t="shared" ref="K236" si="99">M227</f>
        <v>0</v>
      </c>
      <c r="L236" s="52">
        <f t="shared" ref="L236" si="100">N227</f>
        <v>0</v>
      </c>
      <c r="M236" s="52">
        <f t="shared" ref="M236" si="101">O227</f>
        <v>1</v>
      </c>
      <c r="N236" s="52">
        <f t="shared" ref="N236" si="102">P227</f>
        <v>1</v>
      </c>
      <c r="O236" s="52">
        <f t="shared" ref="O236" si="103">Q227</f>
        <v>0</v>
      </c>
      <c r="P236" s="52">
        <f t="shared" ref="P236" si="104">L228</f>
        <v>1</v>
      </c>
      <c r="Q236" s="52">
        <f t="shared" ref="Q236" si="105">M228</f>
        <v>1</v>
      </c>
      <c r="R236" s="52">
        <f t="shared" ref="R236" si="106">N228</f>
        <v>0</v>
      </c>
      <c r="S236" s="52">
        <f t="shared" ref="S236" si="107">O228</f>
        <v>0</v>
      </c>
      <c r="T236" s="52">
        <f t="shared" ref="T236" si="108">P228</f>
        <v>1</v>
      </c>
      <c r="U236" s="52">
        <f t="shared" ref="U236" si="109">Q228</f>
        <v>0</v>
      </c>
      <c r="V236" s="52">
        <f t="shared" ref="V236" si="110">L229</f>
        <v>0</v>
      </c>
      <c r="W236" s="52">
        <f t="shared" ref="W236" si="111">M229</f>
        <v>0</v>
      </c>
      <c r="X236" s="52">
        <f t="shared" ref="X236" si="112">N229</f>
        <v>0</v>
      </c>
      <c r="Y236" s="52">
        <f t="shared" ref="Y236" si="113">O229</f>
        <v>1</v>
      </c>
      <c r="Z236" s="52">
        <f t="shared" ref="Z236" si="114">P229</f>
        <v>0</v>
      </c>
      <c r="AA236" s="52">
        <f t="shared" ref="AA236" si="115">Q229</f>
        <v>0</v>
      </c>
      <c r="AB236" s="52">
        <f t="shared" ref="AB236" si="116">L230</f>
        <v>1</v>
      </c>
      <c r="AC236" s="52">
        <f t="shared" ref="AC236" si="117">M230</f>
        <v>1</v>
      </c>
      <c r="AD236" s="52">
        <f t="shared" ref="AD236" si="118">N230</f>
        <v>1</v>
      </c>
      <c r="AE236" s="52">
        <f t="shared" ref="AE236" si="119">O230</f>
        <v>0</v>
      </c>
      <c r="AF236" s="52">
        <f t="shared" ref="AF236" si="120">P230</f>
        <v>0</v>
      </c>
      <c r="AG236" s="52">
        <f t="shared" ref="AG236" si="121">Q230</f>
        <v>0</v>
      </c>
      <c r="AH236" s="52">
        <f t="shared" ref="AH236" si="122">L231</f>
        <v>1</v>
      </c>
      <c r="AI236" s="52">
        <f t="shared" ref="AI236" si="123">M231</f>
        <v>1</v>
      </c>
      <c r="AJ236" s="52">
        <f t="shared" ref="AJ236" si="124">N231</f>
        <v>1</v>
      </c>
      <c r="AK236" s="52">
        <f t="shared" ref="AK236" si="125">O231</f>
        <v>0</v>
      </c>
      <c r="AL236" s="52">
        <f t="shared" ref="AL236" si="126">P231</f>
        <v>0</v>
      </c>
      <c r="AM236" s="52">
        <f t="shared" ref="AM236" si="127">Q231</f>
        <v>1</v>
      </c>
      <c r="AN236" s="52">
        <f t="shared" ref="AN236" si="128">L232</f>
        <v>1</v>
      </c>
      <c r="AO236" s="52">
        <f t="shared" ref="AO236" si="129">M232</f>
        <v>0</v>
      </c>
      <c r="AP236" s="52">
        <f t="shared" ref="AP236" si="130">N232</f>
        <v>0</v>
      </c>
      <c r="AQ236" s="52">
        <f t="shared" ref="AQ236" si="131">O232</f>
        <v>0</v>
      </c>
      <c r="AR236" s="52">
        <f t="shared" ref="AR236" si="132">P232</f>
        <v>0</v>
      </c>
      <c r="AS236" s="52">
        <f t="shared" ref="AS236" si="133">Q232</f>
        <v>0</v>
      </c>
      <c r="AT236" s="52">
        <f t="shared" ref="AT236" si="134">L233</f>
        <v>1</v>
      </c>
      <c r="AU236" s="52">
        <f t="shared" ref="AU236" si="135">M233</f>
        <v>1</v>
      </c>
      <c r="AV236" s="52">
        <f t="shared" ref="AV236" si="136">N233</f>
        <v>0</v>
      </c>
      <c r="AW236" s="52">
        <f t="shared" ref="AW236" si="137">O233</f>
        <v>1</v>
      </c>
      <c r="AX236" s="52">
        <f t="shared" ref="AX236" si="138">P233</f>
        <v>1</v>
      </c>
      <c r="AY236" s="52">
        <f t="shared" ref="AY236" si="139">Q233</f>
        <v>0</v>
      </c>
    </row>
    <row r="238" spans="1:51" ht="9.9499999999999993" customHeight="1" x14ac:dyDescent="0.25">
      <c r="I238" s="38" t="s">
        <v>519</v>
      </c>
    </row>
    <row r="240" spans="1:51" ht="9.9499999999999993" customHeight="1" x14ac:dyDescent="0.25">
      <c r="L240" s="33" t="s">
        <v>557</v>
      </c>
      <c r="Q240" s="34" t="s">
        <v>558</v>
      </c>
    </row>
    <row r="241" spans="11:20" ht="9.9499999999999993" customHeight="1" x14ac:dyDescent="0.25">
      <c r="K241" s="59">
        <f>M208</f>
        <v>0</v>
      </c>
      <c r="L241" s="59">
        <f>N208</f>
        <v>0</v>
      </c>
      <c r="M241" s="59">
        <f>K208</f>
        <v>0</v>
      </c>
      <c r="N241" s="40">
        <f>L208</f>
        <v>0</v>
      </c>
      <c r="P241" s="59">
        <f>R208</f>
        <v>0</v>
      </c>
      <c r="Q241" s="59">
        <f>S208</f>
        <v>0</v>
      </c>
      <c r="R241" s="59">
        <f>P208</f>
        <v>0</v>
      </c>
      <c r="S241" s="40">
        <f>Q208</f>
        <v>1</v>
      </c>
    </row>
    <row r="242" spans="11:20" ht="9.9499999999999993" customHeight="1" x14ac:dyDescent="0.25">
      <c r="K242" s="59">
        <f t="shared" ref="K242:K247" si="140">M209</f>
        <v>0</v>
      </c>
      <c r="L242" s="59">
        <f t="shared" ref="L242:L247" si="141">N209</f>
        <v>0</v>
      </c>
      <c r="M242" s="59">
        <f t="shared" ref="M242:M247" si="142">K209</f>
        <v>0</v>
      </c>
      <c r="N242" s="40">
        <f t="shared" ref="N242:N247" si="143">L209</f>
        <v>0</v>
      </c>
      <c r="P242" s="59">
        <f t="shared" ref="P242:P247" si="144">R209</f>
        <v>0</v>
      </c>
      <c r="Q242" s="59">
        <f t="shared" ref="Q242:Q247" si="145">S209</f>
        <v>0</v>
      </c>
      <c r="R242" s="59">
        <f t="shared" ref="R242:R247" si="146">P209</f>
        <v>0</v>
      </c>
      <c r="S242" s="40">
        <f t="shared" ref="S242:S247" si="147">Q209</f>
        <v>1</v>
      </c>
    </row>
    <row r="243" spans="11:20" ht="9.9499999999999993" customHeight="1" x14ac:dyDescent="0.25">
      <c r="K243" s="59">
        <f t="shared" si="140"/>
        <v>1</v>
      </c>
      <c r="L243" s="59">
        <f t="shared" si="141"/>
        <v>1</v>
      </c>
      <c r="M243" s="59">
        <f t="shared" si="142"/>
        <v>1</v>
      </c>
      <c r="N243" s="40">
        <f t="shared" si="143"/>
        <v>0</v>
      </c>
      <c r="P243" s="59">
        <f t="shared" si="144"/>
        <v>1</v>
      </c>
      <c r="Q243" s="59">
        <f t="shared" si="145"/>
        <v>1</v>
      </c>
      <c r="R243" s="59">
        <f t="shared" si="146"/>
        <v>1</v>
      </c>
      <c r="S243" s="40">
        <f t="shared" si="147"/>
        <v>1</v>
      </c>
    </row>
    <row r="244" spans="11:20" ht="9.9499999999999993" customHeight="1" x14ac:dyDescent="0.25">
      <c r="K244" s="59">
        <f t="shared" si="140"/>
        <v>0</v>
      </c>
      <c r="L244" s="59">
        <f t="shared" si="141"/>
        <v>0</v>
      </c>
      <c r="M244" s="59">
        <f t="shared" si="142"/>
        <v>0</v>
      </c>
      <c r="N244" s="40">
        <f t="shared" si="143"/>
        <v>1</v>
      </c>
      <c r="P244" s="59">
        <f t="shared" si="144"/>
        <v>1</v>
      </c>
      <c r="Q244" s="59">
        <f t="shared" si="145"/>
        <v>0</v>
      </c>
      <c r="R244" s="59">
        <f t="shared" si="146"/>
        <v>1</v>
      </c>
      <c r="S244" s="40">
        <f t="shared" si="147"/>
        <v>1</v>
      </c>
    </row>
    <row r="245" spans="11:20" ht="9.9499999999999993" customHeight="1" x14ac:dyDescent="0.25">
      <c r="K245" s="59">
        <f t="shared" si="140"/>
        <v>0</v>
      </c>
      <c r="L245" s="59">
        <f t="shared" si="141"/>
        <v>1</v>
      </c>
      <c r="M245" s="59">
        <f t="shared" si="142"/>
        <v>0</v>
      </c>
      <c r="N245" s="40">
        <f t="shared" si="143"/>
        <v>0</v>
      </c>
      <c r="P245" s="59">
        <f t="shared" si="144"/>
        <v>0</v>
      </c>
      <c r="Q245" s="59">
        <f t="shared" si="145"/>
        <v>1</v>
      </c>
      <c r="R245" s="59">
        <f t="shared" si="146"/>
        <v>0</v>
      </c>
      <c r="S245" s="40">
        <f t="shared" si="147"/>
        <v>1</v>
      </c>
    </row>
    <row r="246" spans="11:20" ht="9.9499999999999993" customHeight="1" x14ac:dyDescent="0.25">
      <c r="K246" s="59">
        <f t="shared" si="140"/>
        <v>1</v>
      </c>
      <c r="L246" s="59">
        <f t="shared" si="141"/>
        <v>1</v>
      </c>
      <c r="M246" s="59">
        <f t="shared" si="142"/>
        <v>1</v>
      </c>
      <c r="N246" s="40">
        <f t="shared" si="143"/>
        <v>1</v>
      </c>
      <c r="P246" s="59">
        <f t="shared" si="144"/>
        <v>0</v>
      </c>
      <c r="Q246" s="59">
        <f t="shared" si="145"/>
        <v>1</v>
      </c>
      <c r="R246" s="59">
        <f t="shared" si="146"/>
        <v>0</v>
      </c>
      <c r="S246" s="40">
        <f t="shared" si="147"/>
        <v>1</v>
      </c>
    </row>
    <row r="247" spans="11:20" ht="12" customHeight="1" x14ac:dyDescent="0.25">
      <c r="K247" s="59">
        <f t="shared" si="140"/>
        <v>1</v>
      </c>
      <c r="L247" s="59">
        <f t="shared" si="141"/>
        <v>1</v>
      </c>
      <c r="M247" s="59">
        <f t="shared" si="142"/>
        <v>0</v>
      </c>
      <c r="N247" s="40">
        <f t="shared" si="143"/>
        <v>0</v>
      </c>
      <c r="P247" s="59">
        <f t="shared" si="144"/>
        <v>0</v>
      </c>
      <c r="Q247" s="59">
        <f t="shared" si="145"/>
        <v>0</v>
      </c>
      <c r="R247" s="59">
        <f t="shared" si="146"/>
        <v>0</v>
      </c>
      <c r="S247" s="40">
        <f t="shared" si="147"/>
        <v>1</v>
      </c>
    </row>
    <row r="249" spans="11:20" ht="9.9499999999999993" customHeight="1" x14ac:dyDescent="0.25">
      <c r="L249" s="21">
        <v>1</v>
      </c>
      <c r="M249" s="21">
        <v>2</v>
      </c>
      <c r="N249" s="21">
        <v>3</v>
      </c>
      <c r="O249" s="21">
        <v>4</v>
      </c>
      <c r="P249" s="21">
        <v>5</v>
      </c>
      <c r="Q249" s="21">
        <v>6</v>
      </c>
      <c r="R249" s="21">
        <v>7</v>
      </c>
      <c r="S249" s="21">
        <v>8</v>
      </c>
    </row>
    <row r="250" spans="11:20" ht="9.9499999999999993" customHeight="1" x14ac:dyDescent="0.25">
      <c r="K250" s="21">
        <v>1</v>
      </c>
      <c r="L250" s="60">
        <f>K241</f>
        <v>0</v>
      </c>
      <c r="M250" s="60">
        <f>L241</f>
        <v>0</v>
      </c>
      <c r="N250" s="60">
        <f>M241</f>
        <v>0</v>
      </c>
      <c r="O250" s="37">
        <f>N241</f>
        <v>0</v>
      </c>
      <c r="P250" s="60">
        <f>P241</f>
        <v>0</v>
      </c>
      <c r="Q250" s="60">
        <f>Q241</f>
        <v>0</v>
      </c>
      <c r="R250" s="60">
        <f>R241</f>
        <v>0</v>
      </c>
      <c r="S250" s="37">
        <f>S241</f>
        <v>1</v>
      </c>
      <c r="T250" s="21">
        <v>8</v>
      </c>
    </row>
    <row r="251" spans="11:20" ht="9.9499999999999993" customHeight="1" x14ac:dyDescent="0.25">
      <c r="K251" s="21">
        <v>9</v>
      </c>
      <c r="L251" s="60">
        <f t="shared" ref="L251:L256" si="148">K242</f>
        <v>0</v>
      </c>
      <c r="M251" s="60">
        <f t="shared" ref="M251:M256" si="149">L242</f>
        <v>0</v>
      </c>
      <c r="N251" s="60">
        <f t="shared" ref="N251:N256" si="150">M242</f>
        <v>0</v>
      </c>
      <c r="O251" s="37">
        <f t="shared" ref="O251:O256" si="151">N242</f>
        <v>0</v>
      </c>
      <c r="P251" s="60">
        <f t="shared" ref="P251:S251" si="152">P242</f>
        <v>0</v>
      </c>
      <c r="Q251" s="60">
        <f t="shared" si="152"/>
        <v>0</v>
      </c>
      <c r="R251" s="60">
        <f t="shared" si="152"/>
        <v>0</v>
      </c>
      <c r="S251" s="37">
        <f t="shared" si="152"/>
        <v>1</v>
      </c>
      <c r="T251" s="21">
        <v>16</v>
      </c>
    </row>
    <row r="252" spans="11:20" ht="9.9499999999999993" customHeight="1" x14ac:dyDescent="0.25">
      <c r="K252" s="21">
        <v>17</v>
      </c>
      <c r="L252" s="60">
        <f t="shared" si="148"/>
        <v>1</v>
      </c>
      <c r="M252" s="60">
        <f t="shared" si="149"/>
        <v>1</v>
      </c>
      <c r="N252" s="60">
        <f t="shared" si="150"/>
        <v>1</v>
      </c>
      <c r="O252" s="37">
        <f t="shared" si="151"/>
        <v>0</v>
      </c>
      <c r="P252" s="60">
        <f t="shared" ref="P252:S252" si="153">P243</f>
        <v>1</v>
      </c>
      <c r="Q252" s="60">
        <f t="shared" si="153"/>
        <v>1</v>
      </c>
      <c r="R252" s="60">
        <f t="shared" si="153"/>
        <v>1</v>
      </c>
      <c r="S252" s="37">
        <f t="shared" si="153"/>
        <v>1</v>
      </c>
      <c r="T252" s="21">
        <v>24</v>
      </c>
    </row>
    <row r="253" spans="11:20" ht="9.9499999999999993" customHeight="1" x14ac:dyDescent="0.25">
      <c r="K253" s="21">
        <v>25</v>
      </c>
      <c r="L253" s="60">
        <f t="shared" si="148"/>
        <v>0</v>
      </c>
      <c r="M253" s="60">
        <f t="shared" si="149"/>
        <v>0</v>
      </c>
      <c r="N253" s="60">
        <f t="shared" si="150"/>
        <v>0</v>
      </c>
      <c r="O253" s="37">
        <f t="shared" si="151"/>
        <v>1</v>
      </c>
      <c r="P253" s="60">
        <f t="shared" ref="P253:S253" si="154">P244</f>
        <v>1</v>
      </c>
      <c r="Q253" s="60">
        <f t="shared" si="154"/>
        <v>0</v>
      </c>
      <c r="R253" s="60">
        <f t="shared" si="154"/>
        <v>1</v>
      </c>
      <c r="S253" s="37">
        <f t="shared" si="154"/>
        <v>1</v>
      </c>
      <c r="T253" s="21">
        <v>32</v>
      </c>
    </row>
    <row r="254" spans="11:20" ht="9.9499999999999993" customHeight="1" x14ac:dyDescent="0.25">
      <c r="K254" s="21">
        <v>33</v>
      </c>
      <c r="L254" s="60">
        <f t="shared" si="148"/>
        <v>0</v>
      </c>
      <c r="M254" s="60">
        <f t="shared" si="149"/>
        <v>1</v>
      </c>
      <c r="N254" s="60">
        <f t="shared" si="150"/>
        <v>0</v>
      </c>
      <c r="O254" s="37">
        <f t="shared" si="151"/>
        <v>0</v>
      </c>
      <c r="P254" s="60">
        <f t="shared" ref="P254:S254" si="155">P245</f>
        <v>0</v>
      </c>
      <c r="Q254" s="60">
        <f t="shared" si="155"/>
        <v>1</v>
      </c>
      <c r="R254" s="60">
        <f t="shared" si="155"/>
        <v>0</v>
      </c>
      <c r="S254" s="37">
        <f t="shared" si="155"/>
        <v>1</v>
      </c>
      <c r="T254" s="21">
        <v>40</v>
      </c>
    </row>
    <row r="255" spans="11:20" ht="9.9499999999999993" customHeight="1" x14ac:dyDescent="0.25">
      <c r="K255" s="21">
        <v>41</v>
      </c>
      <c r="L255" s="60">
        <f t="shared" si="148"/>
        <v>1</v>
      </c>
      <c r="M255" s="60">
        <f t="shared" si="149"/>
        <v>1</v>
      </c>
      <c r="N255" s="60">
        <f t="shared" si="150"/>
        <v>1</v>
      </c>
      <c r="O255" s="37">
        <f t="shared" si="151"/>
        <v>1</v>
      </c>
      <c r="P255" s="60">
        <f t="shared" ref="P255:S255" si="156">P246</f>
        <v>0</v>
      </c>
      <c r="Q255" s="60">
        <f t="shared" si="156"/>
        <v>1</v>
      </c>
      <c r="R255" s="60">
        <f t="shared" si="156"/>
        <v>0</v>
      </c>
      <c r="S255" s="37">
        <f t="shared" si="156"/>
        <v>1</v>
      </c>
      <c r="T255" s="21">
        <v>48</v>
      </c>
    </row>
    <row r="256" spans="11:20" ht="9.9499999999999993" customHeight="1" x14ac:dyDescent="0.25">
      <c r="K256" s="21">
        <v>49</v>
      </c>
      <c r="L256" s="60">
        <f t="shared" si="148"/>
        <v>1</v>
      </c>
      <c r="M256" s="60">
        <f t="shared" si="149"/>
        <v>1</v>
      </c>
      <c r="N256" s="60">
        <f t="shared" si="150"/>
        <v>0</v>
      </c>
      <c r="O256" s="37">
        <f t="shared" si="151"/>
        <v>0</v>
      </c>
      <c r="P256" s="60">
        <f t="shared" ref="P256:S256" si="157">P247</f>
        <v>0</v>
      </c>
      <c r="Q256" s="60">
        <f t="shared" si="157"/>
        <v>0</v>
      </c>
      <c r="R256" s="60">
        <f t="shared" si="157"/>
        <v>0</v>
      </c>
      <c r="S256" s="37">
        <f t="shared" si="157"/>
        <v>1</v>
      </c>
      <c r="T256" s="21">
        <v>56</v>
      </c>
    </row>
    <row r="257" spans="1:51" ht="9.9499999999999993" customHeight="1" x14ac:dyDescent="0.25">
      <c r="D257" s="46" t="s">
        <v>514</v>
      </c>
    </row>
    <row r="258" spans="1:51" ht="9.9499999999999993" customHeight="1" x14ac:dyDescent="0.25">
      <c r="D258" s="21">
        <v>1</v>
      </c>
      <c r="E258" s="21">
        <v>2</v>
      </c>
      <c r="F258" s="21">
        <v>3</v>
      </c>
      <c r="G258" s="21">
        <v>4</v>
      </c>
      <c r="H258" s="21">
        <v>5</v>
      </c>
      <c r="I258" s="21">
        <v>6</v>
      </c>
      <c r="L258" s="21">
        <v>1</v>
      </c>
      <c r="M258" s="21">
        <v>2</v>
      </c>
      <c r="N258" s="21">
        <v>3</v>
      </c>
      <c r="O258" s="21">
        <v>4</v>
      </c>
      <c r="P258" s="21">
        <v>5</v>
      </c>
      <c r="Q258" s="21">
        <v>6</v>
      </c>
    </row>
    <row r="259" spans="1:51" ht="9.9499999999999993" customHeight="1" x14ac:dyDescent="0.25">
      <c r="C259" s="21">
        <v>1</v>
      </c>
      <c r="D259" s="29">
        <v>14</v>
      </c>
      <c r="E259" s="54">
        <v>17</v>
      </c>
      <c r="F259" s="29">
        <v>11</v>
      </c>
      <c r="G259" s="55">
        <v>24</v>
      </c>
      <c r="H259" s="29">
        <v>1</v>
      </c>
      <c r="I259" s="27">
        <v>5</v>
      </c>
      <c r="L259" s="39">
        <f>Q251</f>
        <v>0</v>
      </c>
      <c r="M259" s="39">
        <f>L252</f>
        <v>1</v>
      </c>
      <c r="N259" s="39">
        <f>N251</f>
        <v>0</v>
      </c>
      <c r="O259" s="39">
        <f>S252</f>
        <v>1</v>
      </c>
      <c r="P259" s="39">
        <f>L250</f>
        <v>0</v>
      </c>
      <c r="Q259" s="39">
        <f>P250</f>
        <v>0</v>
      </c>
      <c r="R259" s="21">
        <v>6</v>
      </c>
    </row>
    <row r="260" spans="1:51" ht="9.9499999999999993" customHeight="1" x14ac:dyDescent="0.25">
      <c r="C260" s="21">
        <v>2</v>
      </c>
      <c r="D260" s="29">
        <v>3</v>
      </c>
      <c r="E260" s="54">
        <v>28</v>
      </c>
      <c r="F260" s="29">
        <v>15</v>
      </c>
      <c r="G260" s="55">
        <v>6</v>
      </c>
      <c r="H260" s="29">
        <v>21</v>
      </c>
      <c r="I260" s="27">
        <v>10</v>
      </c>
      <c r="K260" s="21">
        <v>7</v>
      </c>
      <c r="L260" s="39">
        <f>N250</f>
        <v>0</v>
      </c>
      <c r="M260" s="39">
        <f>O253</f>
        <v>1</v>
      </c>
      <c r="N260" s="39">
        <f>R251</f>
        <v>0</v>
      </c>
      <c r="O260" s="39">
        <f>Q250</f>
        <v>0</v>
      </c>
      <c r="P260" s="39">
        <f>P252</f>
        <v>1</v>
      </c>
      <c r="Q260" s="39">
        <f>M251</f>
        <v>0</v>
      </c>
      <c r="R260" s="21">
        <v>12</v>
      </c>
    </row>
    <row r="261" spans="1:51" ht="9.9499999999999993" customHeight="1" x14ac:dyDescent="0.25">
      <c r="C261" s="21">
        <v>3</v>
      </c>
      <c r="D261" s="29">
        <v>23</v>
      </c>
      <c r="E261" s="54">
        <v>19</v>
      </c>
      <c r="F261" s="29">
        <v>12</v>
      </c>
      <c r="G261" s="55">
        <v>4</v>
      </c>
      <c r="H261" s="29">
        <v>26</v>
      </c>
      <c r="I261" s="27">
        <v>8</v>
      </c>
      <c r="K261" s="56">
        <v>13</v>
      </c>
      <c r="L261" s="22">
        <f>R252</f>
        <v>1</v>
      </c>
      <c r="M261" s="22">
        <f>N252</f>
        <v>1</v>
      </c>
      <c r="N261" s="22">
        <f>O251</f>
        <v>0</v>
      </c>
      <c r="O261" s="22">
        <f>O250</f>
        <v>0</v>
      </c>
      <c r="P261" s="22">
        <f>M253</f>
        <v>0</v>
      </c>
      <c r="Q261" s="22">
        <f>S250</f>
        <v>1</v>
      </c>
      <c r="R261" s="56">
        <v>18</v>
      </c>
    </row>
    <row r="262" spans="1:51" ht="9.9499999999999993" customHeight="1" x14ac:dyDescent="0.25">
      <c r="C262" s="21">
        <v>4</v>
      </c>
      <c r="D262" s="29">
        <v>16</v>
      </c>
      <c r="E262" s="54">
        <v>7</v>
      </c>
      <c r="F262" s="29">
        <v>27</v>
      </c>
      <c r="G262" s="55">
        <v>20</v>
      </c>
      <c r="H262" s="29">
        <v>13</v>
      </c>
      <c r="I262" s="27">
        <v>2</v>
      </c>
      <c r="K262" s="21">
        <v>19</v>
      </c>
      <c r="L262" s="39">
        <f>S251</f>
        <v>1</v>
      </c>
      <c r="M262" s="39">
        <f>R250</f>
        <v>0</v>
      </c>
      <c r="N262" s="39">
        <f>N253</f>
        <v>0</v>
      </c>
      <c r="O262" s="39">
        <f>O252</f>
        <v>0</v>
      </c>
      <c r="P262" s="39">
        <f>P251</f>
        <v>0</v>
      </c>
      <c r="Q262" s="39">
        <f>M250</f>
        <v>0</v>
      </c>
      <c r="R262" s="21">
        <v>24</v>
      </c>
    </row>
    <row r="263" spans="1:51" ht="9.9499999999999993" customHeight="1" x14ac:dyDescent="0.25">
      <c r="C263" s="21">
        <v>5</v>
      </c>
      <c r="D263" s="29">
        <v>41</v>
      </c>
      <c r="E263" s="54">
        <v>52</v>
      </c>
      <c r="F263" s="29">
        <v>31</v>
      </c>
      <c r="G263" s="55">
        <v>37</v>
      </c>
      <c r="H263" s="29">
        <v>47</v>
      </c>
      <c r="I263" s="27">
        <v>55</v>
      </c>
      <c r="K263" s="57">
        <v>25</v>
      </c>
      <c r="L263" s="58">
        <f>L255</f>
        <v>1</v>
      </c>
      <c r="M263" s="58">
        <f>O256</f>
        <v>0</v>
      </c>
      <c r="N263" s="58">
        <f>R253</f>
        <v>1</v>
      </c>
      <c r="O263" s="58">
        <f>P254</f>
        <v>0</v>
      </c>
      <c r="P263" s="58">
        <f>R255</f>
        <v>0</v>
      </c>
      <c r="Q263" s="58">
        <f>R256</f>
        <v>0</v>
      </c>
      <c r="R263" s="57">
        <v>30</v>
      </c>
    </row>
    <row r="264" spans="1:51" ht="9.9499999999999993" customHeight="1" x14ac:dyDescent="0.25">
      <c r="C264" s="21">
        <v>6</v>
      </c>
      <c r="D264" s="29">
        <v>30</v>
      </c>
      <c r="E264" s="54">
        <v>40</v>
      </c>
      <c r="F264" s="29">
        <v>51</v>
      </c>
      <c r="G264" s="55">
        <v>45</v>
      </c>
      <c r="H264" s="29">
        <v>33</v>
      </c>
      <c r="I264" s="27">
        <v>48</v>
      </c>
      <c r="K264" s="21">
        <v>31</v>
      </c>
      <c r="L264" s="39">
        <f>Q253</f>
        <v>0</v>
      </c>
      <c r="M264" s="39">
        <f>S254</f>
        <v>1</v>
      </c>
      <c r="N264" s="39">
        <f>N256</f>
        <v>0</v>
      </c>
      <c r="O264" s="39">
        <f>P255</f>
        <v>0</v>
      </c>
      <c r="P264" s="39">
        <f>L254</f>
        <v>0</v>
      </c>
      <c r="Q264" s="39">
        <f>S255</f>
        <v>1</v>
      </c>
      <c r="R264" s="21">
        <v>36</v>
      </c>
    </row>
    <row r="265" spans="1:51" ht="9.9499999999999993" customHeight="1" x14ac:dyDescent="0.25">
      <c r="C265" s="21">
        <v>7</v>
      </c>
      <c r="D265" s="29">
        <v>44</v>
      </c>
      <c r="E265" s="54">
        <v>49</v>
      </c>
      <c r="F265" s="29">
        <v>39</v>
      </c>
      <c r="G265" s="55">
        <v>56</v>
      </c>
      <c r="H265" s="29">
        <v>34</v>
      </c>
      <c r="I265" s="27">
        <v>53</v>
      </c>
      <c r="K265" s="50">
        <v>37</v>
      </c>
      <c r="L265" s="27">
        <f>O255</f>
        <v>1</v>
      </c>
      <c r="M265" s="27">
        <f>L256</f>
        <v>1</v>
      </c>
      <c r="N265" s="27">
        <f>R254</f>
        <v>0</v>
      </c>
      <c r="O265" s="27">
        <f>S256</f>
        <v>1</v>
      </c>
      <c r="P265" s="27">
        <f>M254</f>
        <v>1</v>
      </c>
      <c r="Q265" s="27">
        <f>P256</f>
        <v>0</v>
      </c>
      <c r="R265" s="50">
        <v>42</v>
      </c>
    </row>
    <row r="266" spans="1:51" ht="9.9499999999999993" customHeight="1" x14ac:dyDescent="0.25">
      <c r="C266" s="21">
        <v>8</v>
      </c>
      <c r="D266" s="29">
        <v>46</v>
      </c>
      <c r="E266" s="54">
        <v>42</v>
      </c>
      <c r="F266" s="29">
        <v>50</v>
      </c>
      <c r="G266" s="55">
        <v>36</v>
      </c>
      <c r="H266" s="29">
        <v>29</v>
      </c>
      <c r="I266" s="27">
        <v>32</v>
      </c>
      <c r="K266" s="21">
        <v>43</v>
      </c>
      <c r="L266" s="39">
        <f>Q255</f>
        <v>1</v>
      </c>
      <c r="M266" s="39">
        <f>M255</f>
        <v>1</v>
      </c>
      <c r="N266" s="39">
        <f>M256</f>
        <v>1</v>
      </c>
      <c r="O266" s="39">
        <f>O254</f>
        <v>0</v>
      </c>
      <c r="P266" s="39">
        <f>P253</f>
        <v>1</v>
      </c>
      <c r="Q266" s="39">
        <f>S253</f>
        <v>1</v>
      </c>
      <c r="R266" s="21">
        <v>48</v>
      </c>
    </row>
    <row r="268" spans="1:51" ht="9.9499999999999993" customHeight="1" x14ac:dyDescent="0.25">
      <c r="A268" s="51"/>
      <c r="B268" s="51" t="s">
        <v>559</v>
      </c>
      <c r="C268" s="51"/>
      <c r="D268" s="52">
        <v>1</v>
      </c>
      <c r="E268" s="52">
        <v>2</v>
      </c>
      <c r="F268" s="52">
        <v>3</v>
      </c>
      <c r="G268" s="52">
        <v>4</v>
      </c>
      <c r="H268" s="52">
        <v>5</v>
      </c>
      <c r="I268" s="52">
        <v>6</v>
      </c>
      <c r="J268" s="52">
        <v>7</v>
      </c>
      <c r="K268" s="52">
        <v>8</v>
      </c>
      <c r="L268" s="52">
        <v>9</v>
      </c>
      <c r="M268" s="52">
        <v>10</v>
      </c>
      <c r="N268" s="52">
        <v>11</v>
      </c>
      <c r="O268" s="52">
        <v>12</v>
      </c>
      <c r="P268" s="52">
        <v>13</v>
      </c>
      <c r="Q268" s="52">
        <v>14</v>
      </c>
      <c r="R268" s="52">
        <v>15</v>
      </c>
      <c r="S268" s="52">
        <v>16</v>
      </c>
      <c r="T268" s="52">
        <v>17</v>
      </c>
      <c r="U268" s="52">
        <v>18</v>
      </c>
      <c r="V268" s="52">
        <v>19</v>
      </c>
      <c r="W268" s="52">
        <v>20</v>
      </c>
      <c r="X268" s="52">
        <v>21</v>
      </c>
      <c r="Y268" s="52">
        <v>22</v>
      </c>
      <c r="Z268" s="52">
        <v>23</v>
      </c>
      <c r="AA268" s="52">
        <v>24</v>
      </c>
      <c r="AB268" s="52">
        <v>25</v>
      </c>
      <c r="AC268" s="52">
        <v>26</v>
      </c>
      <c r="AD268" s="52">
        <v>27</v>
      </c>
      <c r="AE268" s="52">
        <v>28</v>
      </c>
      <c r="AF268" s="52">
        <v>29</v>
      </c>
      <c r="AG268" s="52">
        <v>30</v>
      </c>
      <c r="AH268" s="52">
        <v>31</v>
      </c>
      <c r="AI268" s="52">
        <v>32</v>
      </c>
      <c r="AJ268" s="52">
        <v>33</v>
      </c>
      <c r="AK268" s="52">
        <v>34</v>
      </c>
      <c r="AL268" s="52">
        <v>35</v>
      </c>
      <c r="AM268" s="52">
        <v>36</v>
      </c>
      <c r="AN268" s="52">
        <v>37</v>
      </c>
      <c r="AO268" s="52">
        <v>38</v>
      </c>
      <c r="AP268" s="52">
        <v>39</v>
      </c>
      <c r="AQ268" s="52">
        <v>40</v>
      </c>
      <c r="AR268" s="52">
        <v>41</v>
      </c>
      <c r="AS268" s="52">
        <v>42</v>
      </c>
      <c r="AT268" s="52">
        <v>43</v>
      </c>
      <c r="AU268" s="52">
        <v>44</v>
      </c>
      <c r="AV268" s="52">
        <v>45</v>
      </c>
      <c r="AW268" s="52">
        <v>46</v>
      </c>
      <c r="AX268" s="52">
        <v>47</v>
      </c>
      <c r="AY268" s="52">
        <v>48</v>
      </c>
    </row>
    <row r="269" spans="1:51" ht="9.9499999999999993" customHeight="1" x14ac:dyDescent="0.25">
      <c r="D269" s="52">
        <f t="shared" ref="D269" si="158">L259</f>
        <v>0</v>
      </c>
      <c r="E269" s="52">
        <f t="shared" ref="E269" si="159">M259</f>
        <v>1</v>
      </c>
      <c r="F269" s="52">
        <f t="shared" ref="F269" si="160">N259</f>
        <v>0</v>
      </c>
      <c r="G269" s="52">
        <f t="shared" ref="G269" si="161">O259</f>
        <v>1</v>
      </c>
      <c r="H269" s="52">
        <f t="shared" ref="H269" si="162">P259</f>
        <v>0</v>
      </c>
      <c r="I269" s="52">
        <f t="shared" ref="I269" si="163">Q259</f>
        <v>0</v>
      </c>
      <c r="J269" s="52">
        <f t="shared" ref="J269" si="164">L260</f>
        <v>0</v>
      </c>
      <c r="K269" s="52">
        <f t="shared" ref="K269" si="165">M260</f>
        <v>1</v>
      </c>
      <c r="L269" s="52">
        <f t="shared" ref="L269" si="166">N260</f>
        <v>0</v>
      </c>
      <c r="M269" s="52">
        <f t="shared" ref="M269" si="167">O260</f>
        <v>0</v>
      </c>
      <c r="N269" s="52">
        <f t="shared" ref="N269" si="168">P260</f>
        <v>1</v>
      </c>
      <c r="O269" s="52">
        <f t="shared" ref="O269" si="169">Q260</f>
        <v>0</v>
      </c>
      <c r="P269" s="52">
        <f t="shared" ref="P269" si="170">L261</f>
        <v>1</v>
      </c>
      <c r="Q269" s="52">
        <f t="shared" ref="Q269" si="171">M261</f>
        <v>1</v>
      </c>
      <c r="R269" s="52">
        <f t="shared" ref="R269" si="172">N261</f>
        <v>0</v>
      </c>
      <c r="S269" s="52">
        <f t="shared" ref="S269" si="173">O261</f>
        <v>0</v>
      </c>
      <c r="T269" s="52">
        <f t="shared" ref="T269" si="174">P261</f>
        <v>0</v>
      </c>
      <c r="U269" s="52">
        <f t="shared" ref="U269" si="175">Q261</f>
        <v>1</v>
      </c>
      <c r="V269" s="52">
        <f t="shared" ref="V269" si="176">L262</f>
        <v>1</v>
      </c>
      <c r="W269" s="52">
        <f t="shared" ref="W269" si="177">M262</f>
        <v>0</v>
      </c>
      <c r="X269" s="52">
        <f t="shared" ref="X269" si="178">N262</f>
        <v>0</v>
      </c>
      <c r="Y269" s="52">
        <f t="shared" ref="Y269" si="179">O262</f>
        <v>0</v>
      </c>
      <c r="Z269" s="52">
        <f t="shared" ref="Z269" si="180">P262</f>
        <v>0</v>
      </c>
      <c r="AA269" s="52">
        <f t="shared" ref="AA269" si="181">Q262</f>
        <v>0</v>
      </c>
      <c r="AB269" s="52">
        <f t="shared" ref="AB269" si="182">L263</f>
        <v>1</v>
      </c>
      <c r="AC269" s="52">
        <f t="shared" ref="AC269" si="183">M263</f>
        <v>0</v>
      </c>
      <c r="AD269" s="52">
        <f t="shared" ref="AD269" si="184">N263</f>
        <v>1</v>
      </c>
      <c r="AE269" s="52">
        <f t="shared" ref="AE269" si="185">O263</f>
        <v>0</v>
      </c>
      <c r="AF269" s="52">
        <f t="shared" ref="AF269" si="186">P263</f>
        <v>0</v>
      </c>
      <c r="AG269" s="52">
        <f t="shared" ref="AG269" si="187">Q263</f>
        <v>0</v>
      </c>
      <c r="AH269" s="52">
        <f t="shared" ref="AH269" si="188">L264</f>
        <v>0</v>
      </c>
      <c r="AI269" s="52">
        <f t="shared" ref="AI269" si="189">M264</f>
        <v>1</v>
      </c>
      <c r="AJ269" s="52">
        <f t="shared" ref="AJ269" si="190">N264</f>
        <v>0</v>
      </c>
      <c r="AK269" s="52">
        <f t="shared" ref="AK269" si="191">O264</f>
        <v>0</v>
      </c>
      <c r="AL269" s="52">
        <f t="shared" ref="AL269" si="192">P264</f>
        <v>0</v>
      </c>
      <c r="AM269" s="52">
        <f t="shared" ref="AM269" si="193">Q264</f>
        <v>1</v>
      </c>
      <c r="AN269" s="52">
        <f t="shared" ref="AN269" si="194">L265</f>
        <v>1</v>
      </c>
      <c r="AO269" s="52">
        <f t="shared" ref="AO269" si="195">M265</f>
        <v>1</v>
      </c>
      <c r="AP269" s="52">
        <f t="shared" ref="AP269" si="196">N265</f>
        <v>0</v>
      </c>
      <c r="AQ269" s="52">
        <f t="shared" ref="AQ269" si="197">O265</f>
        <v>1</v>
      </c>
      <c r="AR269" s="52">
        <f t="shared" ref="AR269" si="198">P265</f>
        <v>1</v>
      </c>
      <c r="AS269" s="52">
        <f t="shared" ref="AS269" si="199">Q265</f>
        <v>0</v>
      </c>
      <c r="AT269" s="52">
        <f t="shared" ref="AT269" si="200">L266</f>
        <v>1</v>
      </c>
      <c r="AU269" s="52">
        <f t="shared" ref="AU269" si="201">M266</f>
        <v>1</v>
      </c>
      <c r="AV269" s="52">
        <f t="shared" ref="AV269" si="202">N266</f>
        <v>1</v>
      </c>
      <c r="AW269" s="52">
        <f t="shared" ref="AW269" si="203">O266</f>
        <v>0</v>
      </c>
      <c r="AX269" s="52">
        <f t="shared" ref="AX269" si="204">P266</f>
        <v>1</v>
      </c>
      <c r="AY269" s="52">
        <f t="shared" ref="AY269" si="205">Q266</f>
        <v>1</v>
      </c>
    </row>
    <row r="272" spans="1:51" ht="9.9499999999999993" customHeight="1" x14ac:dyDescent="0.25">
      <c r="I272" s="38" t="s">
        <v>519</v>
      </c>
    </row>
    <row r="274" spans="11:20" ht="9.9499999999999993" customHeight="1" x14ac:dyDescent="0.25">
      <c r="L274" s="33" t="s">
        <v>560</v>
      </c>
      <c r="Q274" s="34" t="s">
        <v>561</v>
      </c>
    </row>
    <row r="275" spans="11:20" ht="9.9499999999999993" customHeight="1" x14ac:dyDescent="0.25">
      <c r="K275" s="59">
        <f>M241</f>
        <v>0</v>
      </c>
      <c r="L275" s="40">
        <f>N241</f>
        <v>0</v>
      </c>
      <c r="M275" s="59">
        <f>K241</f>
        <v>0</v>
      </c>
      <c r="N275" s="59">
        <f>L241</f>
        <v>0</v>
      </c>
      <c r="P275" s="59">
        <f>R241</f>
        <v>0</v>
      </c>
      <c r="Q275" s="40">
        <f>S241</f>
        <v>1</v>
      </c>
      <c r="R275" s="59">
        <f>P241</f>
        <v>0</v>
      </c>
      <c r="S275" s="59">
        <f>Q241</f>
        <v>0</v>
      </c>
    </row>
    <row r="276" spans="11:20" ht="9.9499999999999993" customHeight="1" x14ac:dyDescent="0.25">
      <c r="K276" s="59">
        <f t="shared" ref="K276:K281" si="206">M242</f>
        <v>0</v>
      </c>
      <c r="L276" s="40">
        <f t="shared" ref="L276:L281" si="207">N242</f>
        <v>0</v>
      </c>
      <c r="M276" s="59">
        <f t="shared" ref="M276:M281" si="208">K242</f>
        <v>0</v>
      </c>
      <c r="N276" s="59">
        <f t="shared" ref="N276:N281" si="209">L242</f>
        <v>0</v>
      </c>
      <c r="P276" s="59">
        <f t="shared" ref="P276:P281" si="210">R242</f>
        <v>0</v>
      </c>
      <c r="Q276" s="40">
        <f t="shared" ref="Q276:Q281" si="211">S242</f>
        <v>1</v>
      </c>
      <c r="R276" s="59">
        <f t="shared" ref="R276:R281" si="212">P242</f>
        <v>0</v>
      </c>
      <c r="S276" s="59">
        <f t="shared" ref="S276:S281" si="213">Q242</f>
        <v>0</v>
      </c>
    </row>
    <row r="277" spans="11:20" ht="9.9499999999999993" customHeight="1" x14ac:dyDescent="0.25">
      <c r="K277" s="59">
        <f t="shared" si="206"/>
        <v>1</v>
      </c>
      <c r="L277" s="40">
        <f t="shared" si="207"/>
        <v>0</v>
      </c>
      <c r="M277" s="59">
        <f t="shared" si="208"/>
        <v>1</v>
      </c>
      <c r="N277" s="59">
        <f t="shared" si="209"/>
        <v>1</v>
      </c>
      <c r="P277" s="59">
        <f t="shared" si="210"/>
        <v>1</v>
      </c>
      <c r="Q277" s="40">
        <f t="shared" si="211"/>
        <v>1</v>
      </c>
      <c r="R277" s="59">
        <f t="shared" si="212"/>
        <v>1</v>
      </c>
      <c r="S277" s="59">
        <f t="shared" si="213"/>
        <v>1</v>
      </c>
    </row>
    <row r="278" spans="11:20" ht="9.9499999999999993" customHeight="1" x14ac:dyDescent="0.25">
      <c r="K278" s="59">
        <f t="shared" si="206"/>
        <v>0</v>
      </c>
      <c r="L278" s="40">
        <f t="shared" si="207"/>
        <v>1</v>
      </c>
      <c r="M278" s="59">
        <f t="shared" si="208"/>
        <v>0</v>
      </c>
      <c r="N278" s="59">
        <f t="shared" si="209"/>
        <v>0</v>
      </c>
      <c r="P278" s="59">
        <f t="shared" si="210"/>
        <v>1</v>
      </c>
      <c r="Q278" s="40">
        <f t="shared" si="211"/>
        <v>1</v>
      </c>
      <c r="R278" s="59">
        <f t="shared" si="212"/>
        <v>1</v>
      </c>
      <c r="S278" s="59">
        <f t="shared" si="213"/>
        <v>0</v>
      </c>
    </row>
    <row r="279" spans="11:20" ht="9.9499999999999993" customHeight="1" x14ac:dyDescent="0.25">
      <c r="K279" s="59">
        <f t="shared" si="206"/>
        <v>0</v>
      </c>
      <c r="L279" s="40">
        <f t="shared" si="207"/>
        <v>0</v>
      </c>
      <c r="M279" s="59">
        <f t="shared" si="208"/>
        <v>0</v>
      </c>
      <c r="N279" s="59">
        <f t="shared" si="209"/>
        <v>1</v>
      </c>
      <c r="P279" s="59">
        <f t="shared" si="210"/>
        <v>0</v>
      </c>
      <c r="Q279" s="40">
        <f t="shared" si="211"/>
        <v>1</v>
      </c>
      <c r="R279" s="59">
        <f t="shared" si="212"/>
        <v>0</v>
      </c>
      <c r="S279" s="59">
        <f t="shared" si="213"/>
        <v>1</v>
      </c>
    </row>
    <row r="280" spans="11:20" ht="9.9499999999999993" customHeight="1" x14ac:dyDescent="0.25">
      <c r="K280" s="59">
        <f t="shared" si="206"/>
        <v>1</v>
      </c>
      <c r="L280" s="40">
        <f t="shared" si="207"/>
        <v>1</v>
      </c>
      <c r="M280" s="59">
        <f t="shared" si="208"/>
        <v>1</v>
      </c>
      <c r="N280" s="59">
        <f t="shared" si="209"/>
        <v>1</v>
      </c>
      <c r="P280" s="59">
        <f t="shared" si="210"/>
        <v>0</v>
      </c>
      <c r="Q280" s="40">
        <f t="shared" si="211"/>
        <v>1</v>
      </c>
      <c r="R280" s="59">
        <f t="shared" si="212"/>
        <v>0</v>
      </c>
      <c r="S280" s="59">
        <f t="shared" si="213"/>
        <v>1</v>
      </c>
    </row>
    <row r="281" spans="11:20" ht="9.9499999999999993" customHeight="1" x14ac:dyDescent="0.25">
      <c r="K281" s="59">
        <f t="shared" si="206"/>
        <v>0</v>
      </c>
      <c r="L281" s="40">
        <f t="shared" si="207"/>
        <v>0</v>
      </c>
      <c r="M281" s="59">
        <f t="shared" si="208"/>
        <v>1</v>
      </c>
      <c r="N281" s="59">
        <f t="shared" si="209"/>
        <v>1</v>
      </c>
      <c r="P281" s="59">
        <f t="shared" si="210"/>
        <v>0</v>
      </c>
      <c r="Q281" s="40">
        <f t="shared" si="211"/>
        <v>1</v>
      </c>
      <c r="R281" s="59">
        <f t="shared" si="212"/>
        <v>0</v>
      </c>
      <c r="S281" s="59">
        <f t="shared" si="213"/>
        <v>0</v>
      </c>
    </row>
    <row r="283" spans="11:20" ht="9.9499999999999993" customHeight="1" x14ac:dyDescent="0.25">
      <c r="L283" s="21">
        <v>1</v>
      </c>
      <c r="M283" s="21">
        <v>2</v>
      </c>
      <c r="N283" s="21">
        <v>3</v>
      </c>
      <c r="O283" s="21">
        <v>4</v>
      </c>
      <c r="P283" s="21">
        <v>5</v>
      </c>
      <c r="Q283" s="21">
        <v>6</v>
      </c>
      <c r="R283" s="21">
        <v>7</v>
      </c>
      <c r="S283" s="21">
        <v>8</v>
      </c>
    </row>
    <row r="284" spans="11:20" ht="9.9499999999999993" customHeight="1" x14ac:dyDescent="0.25">
      <c r="K284" s="21">
        <v>1</v>
      </c>
      <c r="L284" s="60">
        <f>K275</f>
        <v>0</v>
      </c>
      <c r="M284" s="37">
        <f>L275</f>
        <v>0</v>
      </c>
      <c r="N284" s="60">
        <f>M275</f>
        <v>0</v>
      </c>
      <c r="O284" s="60">
        <f>N275</f>
        <v>0</v>
      </c>
      <c r="P284" s="60">
        <f>P275</f>
        <v>0</v>
      </c>
      <c r="Q284" s="37">
        <f>Q275</f>
        <v>1</v>
      </c>
      <c r="R284" s="60">
        <f>R275</f>
        <v>0</v>
      </c>
      <c r="S284" s="60">
        <f>S275</f>
        <v>0</v>
      </c>
      <c r="T284" s="21">
        <v>8</v>
      </c>
    </row>
    <row r="285" spans="11:20" ht="9.9499999999999993" customHeight="1" x14ac:dyDescent="0.25">
      <c r="K285" s="21">
        <v>9</v>
      </c>
      <c r="L285" s="60">
        <f t="shared" ref="L285:L290" si="214">K276</f>
        <v>0</v>
      </c>
      <c r="M285" s="37">
        <f t="shared" ref="M285:M290" si="215">L276</f>
        <v>0</v>
      </c>
      <c r="N285" s="60">
        <f t="shared" ref="N285:N290" si="216">M276</f>
        <v>0</v>
      </c>
      <c r="O285" s="60">
        <f t="shared" ref="O285:O290" si="217">N276</f>
        <v>0</v>
      </c>
      <c r="P285" s="60">
        <f t="shared" ref="P285:S285" si="218">P276</f>
        <v>0</v>
      </c>
      <c r="Q285" s="37">
        <f t="shared" si="218"/>
        <v>1</v>
      </c>
      <c r="R285" s="60">
        <f t="shared" si="218"/>
        <v>0</v>
      </c>
      <c r="S285" s="60">
        <f t="shared" si="218"/>
        <v>0</v>
      </c>
      <c r="T285" s="21">
        <v>16</v>
      </c>
    </row>
    <row r="286" spans="11:20" ht="9.9499999999999993" customHeight="1" x14ac:dyDescent="0.25">
      <c r="K286" s="21">
        <v>17</v>
      </c>
      <c r="L286" s="60">
        <f t="shared" si="214"/>
        <v>1</v>
      </c>
      <c r="M286" s="37">
        <f t="shared" si="215"/>
        <v>0</v>
      </c>
      <c r="N286" s="60">
        <f t="shared" si="216"/>
        <v>1</v>
      </c>
      <c r="O286" s="60">
        <f t="shared" si="217"/>
        <v>1</v>
      </c>
      <c r="P286" s="60">
        <f t="shared" ref="P286:S286" si="219">P277</f>
        <v>1</v>
      </c>
      <c r="Q286" s="37">
        <f t="shared" si="219"/>
        <v>1</v>
      </c>
      <c r="R286" s="60">
        <f t="shared" si="219"/>
        <v>1</v>
      </c>
      <c r="S286" s="60">
        <f t="shared" si="219"/>
        <v>1</v>
      </c>
      <c r="T286" s="21">
        <v>24</v>
      </c>
    </row>
    <row r="287" spans="11:20" ht="9.9499999999999993" customHeight="1" x14ac:dyDescent="0.25">
      <c r="K287" s="21">
        <v>25</v>
      </c>
      <c r="L287" s="60">
        <f t="shared" si="214"/>
        <v>0</v>
      </c>
      <c r="M287" s="37">
        <f t="shared" si="215"/>
        <v>1</v>
      </c>
      <c r="N287" s="60">
        <f t="shared" si="216"/>
        <v>0</v>
      </c>
      <c r="O287" s="60">
        <f t="shared" si="217"/>
        <v>0</v>
      </c>
      <c r="P287" s="60">
        <f t="shared" ref="P287:S287" si="220">P278</f>
        <v>1</v>
      </c>
      <c r="Q287" s="37">
        <f t="shared" si="220"/>
        <v>1</v>
      </c>
      <c r="R287" s="60">
        <f t="shared" si="220"/>
        <v>1</v>
      </c>
      <c r="S287" s="60">
        <f t="shared" si="220"/>
        <v>0</v>
      </c>
      <c r="T287" s="21">
        <v>32</v>
      </c>
    </row>
    <row r="288" spans="11:20" ht="9.9499999999999993" customHeight="1" x14ac:dyDescent="0.25">
      <c r="K288" s="21">
        <v>33</v>
      </c>
      <c r="L288" s="60">
        <f t="shared" si="214"/>
        <v>0</v>
      </c>
      <c r="M288" s="37">
        <f t="shared" si="215"/>
        <v>0</v>
      </c>
      <c r="N288" s="60">
        <f t="shared" si="216"/>
        <v>0</v>
      </c>
      <c r="O288" s="60">
        <f t="shared" si="217"/>
        <v>1</v>
      </c>
      <c r="P288" s="60">
        <f t="shared" ref="P288:S288" si="221">P279</f>
        <v>0</v>
      </c>
      <c r="Q288" s="37">
        <f t="shared" si="221"/>
        <v>1</v>
      </c>
      <c r="R288" s="60">
        <f t="shared" si="221"/>
        <v>0</v>
      </c>
      <c r="S288" s="60">
        <f t="shared" si="221"/>
        <v>1</v>
      </c>
      <c r="T288" s="21">
        <v>40</v>
      </c>
    </row>
    <row r="289" spans="1:51" ht="9.9499999999999993" customHeight="1" x14ac:dyDescent="0.25">
      <c r="K289" s="21">
        <v>41</v>
      </c>
      <c r="L289" s="60">
        <f t="shared" si="214"/>
        <v>1</v>
      </c>
      <c r="M289" s="37">
        <f t="shared" si="215"/>
        <v>1</v>
      </c>
      <c r="N289" s="60">
        <f t="shared" si="216"/>
        <v>1</v>
      </c>
      <c r="O289" s="60">
        <f t="shared" si="217"/>
        <v>1</v>
      </c>
      <c r="P289" s="60">
        <f t="shared" ref="P289:S289" si="222">P280</f>
        <v>0</v>
      </c>
      <c r="Q289" s="37">
        <f t="shared" si="222"/>
        <v>1</v>
      </c>
      <c r="R289" s="60">
        <f t="shared" si="222"/>
        <v>0</v>
      </c>
      <c r="S289" s="60">
        <f t="shared" si="222"/>
        <v>1</v>
      </c>
      <c r="T289" s="21">
        <v>48</v>
      </c>
    </row>
    <row r="290" spans="1:51" ht="9.9499999999999993" customHeight="1" x14ac:dyDescent="0.25">
      <c r="K290" s="21">
        <v>49</v>
      </c>
      <c r="L290" s="60">
        <f t="shared" si="214"/>
        <v>0</v>
      </c>
      <c r="M290" s="37">
        <f t="shared" si="215"/>
        <v>0</v>
      </c>
      <c r="N290" s="60">
        <f t="shared" si="216"/>
        <v>1</v>
      </c>
      <c r="O290" s="60">
        <f t="shared" si="217"/>
        <v>1</v>
      </c>
      <c r="P290" s="60">
        <f t="shared" ref="P290:S290" si="223">P281</f>
        <v>0</v>
      </c>
      <c r="Q290" s="37">
        <f t="shared" si="223"/>
        <v>1</v>
      </c>
      <c r="R290" s="60">
        <f t="shared" si="223"/>
        <v>0</v>
      </c>
      <c r="S290" s="60">
        <f t="shared" si="223"/>
        <v>0</v>
      </c>
      <c r="T290" s="21">
        <v>56</v>
      </c>
    </row>
    <row r="291" spans="1:51" ht="9.9499999999999993" customHeight="1" x14ac:dyDescent="0.25">
      <c r="D291" s="46" t="s">
        <v>514</v>
      </c>
    </row>
    <row r="292" spans="1:51" ht="9.9499999999999993" customHeight="1" x14ac:dyDescent="0.25">
      <c r="D292" s="21">
        <v>1</v>
      </c>
      <c r="E292" s="21">
        <v>2</v>
      </c>
      <c r="F292" s="21">
        <v>3</v>
      </c>
      <c r="G292" s="21">
        <v>4</v>
      </c>
      <c r="H292" s="21">
        <v>5</v>
      </c>
      <c r="I292" s="21">
        <v>6</v>
      </c>
      <c r="L292" s="21">
        <v>1</v>
      </c>
      <c r="M292" s="21">
        <v>2</v>
      </c>
      <c r="N292" s="21">
        <v>3</v>
      </c>
      <c r="O292" s="21">
        <v>4</v>
      </c>
      <c r="P292" s="21">
        <v>5</v>
      </c>
      <c r="Q292" s="21">
        <v>6</v>
      </c>
    </row>
    <row r="293" spans="1:51" ht="9.9499999999999993" customHeight="1" x14ac:dyDescent="0.25">
      <c r="C293" s="21">
        <v>1</v>
      </c>
      <c r="D293" s="29">
        <v>14</v>
      </c>
      <c r="E293" s="54">
        <v>17</v>
      </c>
      <c r="F293" s="29">
        <v>11</v>
      </c>
      <c r="G293" s="55">
        <v>24</v>
      </c>
      <c r="H293" s="29">
        <v>1</v>
      </c>
      <c r="I293" s="27">
        <v>5</v>
      </c>
      <c r="L293" s="39">
        <f>Q285</f>
        <v>1</v>
      </c>
      <c r="M293" s="39">
        <f>L286</f>
        <v>1</v>
      </c>
      <c r="N293" s="39">
        <f>N285</f>
        <v>0</v>
      </c>
      <c r="O293" s="39">
        <f>S286</f>
        <v>1</v>
      </c>
      <c r="P293" s="39">
        <f>L284</f>
        <v>0</v>
      </c>
      <c r="Q293" s="39">
        <f>P284</f>
        <v>0</v>
      </c>
      <c r="R293" s="21">
        <v>6</v>
      </c>
    </row>
    <row r="294" spans="1:51" ht="9.9499999999999993" customHeight="1" x14ac:dyDescent="0.25">
      <c r="C294" s="21">
        <v>2</v>
      </c>
      <c r="D294" s="29">
        <v>3</v>
      </c>
      <c r="E294" s="54">
        <v>28</v>
      </c>
      <c r="F294" s="29">
        <v>15</v>
      </c>
      <c r="G294" s="55">
        <v>6</v>
      </c>
      <c r="H294" s="29">
        <v>21</v>
      </c>
      <c r="I294" s="27">
        <v>10</v>
      </c>
      <c r="K294" s="21">
        <v>7</v>
      </c>
      <c r="L294" s="39">
        <f>N284</f>
        <v>0</v>
      </c>
      <c r="M294" s="39">
        <f>O287</f>
        <v>0</v>
      </c>
      <c r="N294" s="39">
        <f>R285</f>
        <v>0</v>
      </c>
      <c r="O294" s="39">
        <f>Q284</f>
        <v>1</v>
      </c>
      <c r="P294" s="39">
        <f>P286</f>
        <v>1</v>
      </c>
      <c r="Q294" s="39">
        <f>M285</f>
        <v>0</v>
      </c>
      <c r="R294" s="21">
        <v>12</v>
      </c>
    </row>
    <row r="295" spans="1:51" ht="9.9499999999999993" customHeight="1" x14ac:dyDescent="0.25">
      <c r="C295" s="21">
        <v>3</v>
      </c>
      <c r="D295" s="29">
        <v>23</v>
      </c>
      <c r="E295" s="54">
        <v>19</v>
      </c>
      <c r="F295" s="29">
        <v>12</v>
      </c>
      <c r="G295" s="55">
        <v>4</v>
      </c>
      <c r="H295" s="29">
        <v>26</v>
      </c>
      <c r="I295" s="27">
        <v>8</v>
      </c>
      <c r="K295" s="56">
        <v>13</v>
      </c>
      <c r="L295" s="22">
        <f>R286</f>
        <v>1</v>
      </c>
      <c r="M295" s="22">
        <f>N286</f>
        <v>1</v>
      </c>
      <c r="N295" s="22">
        <f>O285</f>
        <v>0</v>
      </c>
      <c r="O295" s="22">
        <f>O284</f>
        <v>0</v>
      </c>
      <c r="P295" s="22">
        <f>M287</f>
        <v>1</v>
      </c>
      <c r="Q295" s="22">
        <f>S284</f>
        <v>0</v>
      </c>
      <c r="R295" s="56">
        <v>18</v>
      </c>
    </row>
    <row r="296" spans="1:51" ht="9.9499999999999993" customHeight="1" x14ac:dyDescent="0.25">
      <c r="C296" s="21">
        <v>4</v>
      </c>
      <c r="D296" s="29">
        <v>16</v>
      </c>
      <c r="E296" s="54">
        <v>7</v>
      </c>
      <c r="F296" s="29">
        <v>27</v>
      </c>
      <c r="G296" s="55">
        <v>20</v>
      </c>
      <c r="H296" s="29">
        <v>13</v>
      </c>
      <c r="I296" s="27">
        <v>2</v>
      </c>
      <c r="K296" s="21">
        <v>19</v>
      </c>
      <c r="L296" s="39">
        <f>S285</f>
        <v>0</v>
      </c>
      <c r="M296" s="39">
        <f>R284</f>
        <v>0</v>
      </c>
      <c r="N296" s="39">
        <f>N287</f>
        <v>0</v>
      </c>
      <c r="O296" s="39">
        <f>O286</f>
        <v>1</v>
      </c>
      <c r="P296" s="39">
        <f>P285</f>
        <v>0</v>
      </c>
      <c r="Q296" s="39">
        <f>M284</f>
        <v>0</v>
      </c>
      <c r="R296" s="21">
        <v>24</v>
      </c>
    </row>
    <row r="297" spans="1:51" ht="9.9499999999999993" customHeight="1" x14ac:dyDescent="0.25">
      <c r="C297" s="21">
        <v>5</v>
      </c>
      <c r="D297" s="29">
        <v>41</v>
      </c>
      <c r="E297" s="54">
        <v>52</v>
      </c>
      <c r="F297" s="29">
        <v>31</v>
      </c>
      <c r="G297" s="55">
        <v>37</v>
      </c>
      <c r="H297" s="29">
        <v>47</v>
      </c>
      <c r="I297" s="27">
        <v>55</v>
      </c>
      <c r="K297" s="57">
        <v>25</v>
      </c>
      <c r="L297" s="58">
        <f>L289</f>
        <v>1</v>
      </c>
      <c r="M297" s="58">
        <f>O290</f>
        <v>1</v>
      </c>
      <c r="N297" s="58">
        <f>R287</f>
        <v>1</v>
      </c>
      <c r="O297" s="58">
        <f>P288</f>
        <v>0</v>
      </c>
      <c r="P297" s="58">
        <f>R289</f>
        <v>0</v>
      </c>
      <c r="Q297" s="58">
        <f>R290</f>
        <v>0</v>
      </c>
      <c r="R297" s="57">
        <v>30</v>
      </c>
    </row>
    <row r="298" spans="1:51" ht="9.9499999999999993" customHeight="1" x14ac:dyDescent="0.25">
      <c r="C298" s="21">
        <v>6</v>
      </c>
      <c r="D298" s="29">
        <v>30</v>
      </c>
      <c r="E298" s="54">
        <v>40</v>
      </c>
      <c r="F298" s="29">
        <v>51</v>
      </c>
      <c r="G298" s="55">
        <v>45</v>
      </c>
      <c r="H298" s="29">
        <v>33</v>
      </c>
      <c r="I298" s="27">
        <v>48</v>
      </c>
      <c r="K298" s="21">
        <v>31</v>
      </c>
      <c r="L298" s="39">
        <f>Q287</f>
        <v>1</v>
      </c>
      <c r="M298" s="39">
        <f>S288</f>
        <v>1</v>
      </c>
      <c r="N298" s="39">
        <f>N290</f>
        <v>1</v>
      </c>
      <c r="O298" s="39">
        <f>P289</f>
        <v>0</v>
      </c>
      <c r="P298" s="39">
        <f>L288</f>
        <v>0</v>
      </c>
      <c r="Q298" s="39">
        <f>S289</f>
        <v>1</v>
      </c>
      <c r="R298" s="21">
        <v>36</v>
      </c>
    </row>
    <row r="299" spans="1:51" ht="9.9499999999999993" customHeight="1" x14ac:dyDescent="0.25">
      <c r="C299" s="21">
        <v>7</v>
      </c>
      <c r="D299" s="29">
        <v>44</v>
      </c>
      <c r="E299" s="54">
        <v>49</v>
      </c>
      <c r="F299" s="29">
        <v>39</v>
      </c>
      <c r="G299" s="55">
        <v>56</v>
      </c>
      <c r="H299" s="29">
        <v>34</v>
      </c>
      <c r="I299" s="27">
        <v>53</v>
      </c>
      <c r="K299" s="50">
        <v>37</v>
      </c>
      <c r="L299" s="27">
        <f>O289</f>
        <v>1</v>
      </c>
      <c r="M299" s="27">
        <f>L290</f>
        <v>0</v>
      </c>
      <c r="N299" s="27">
        <f>R288</f>
        <v>0</v>
      </c>
      <c r="O299" s="27">
        <f>S290</f>
        <v>0</v>
      </c>
      <c r="P299" s="27">
        <f>M288</f>
        <v>0</v>
      </c>
      <c r="Q299" s="27">
        <f>P290</f>
        <v>0</v>
      </c>
      <c r="R299" s="50">
        <v>42</v>
      </c>
    </row>
    <row r="300" spans="1:51" ht="9.9499999999999993" customHeight="1" x14ac:dyDescent="0.25">
      <c r="C300" s="21">
        <v>8</v>
      </c>
      <c r="D300" s="29">
        <v>46</v>
      </c>
      <c r="E300" s="54">
        <v>42</v>
      </c>
      <c r="F300" s="29">
        <v>50</v>
      </c>
      <c r="G300" s="55">
        <v>36</v>
      </c>
      <c r="H300" s="29">
        <v>29</v>
      </c>
      <c r="I300" s="27">
        <v>32</v>
      </c>
      <c r="K300" s="21">
        <v>43</v>
      </c>
      <c r="L300" s="39">
        <f>Q289</f>
        <v>1</v>
      </c>
      <c r="M300" s="39">
        <f>M289</f>
        <v>1</v>
      </c>
      <c r="N300" s="39">
        <f>M290</f>
        <v>0</v>
      </c>
      <c r="O300" s="39">
        <f>O288</f>
        <v>1</v>
      </c>
      <c r="P300" s="39">
        <f>P287</f>
        <v>1</v>
      </c>
      <c r="Q300" s="39">
        <f>S287</f>
        <v>0</v>
      </c>
      <c r="R300" s="21">
        <v>48</v>
      </c>
    </row>
    <row r="302" spans="1:51" ht="9.9499999999999993" customHeight="1" x14ac:dyDescent="0.25">
      <c r="A302" s="51"/>
      <c r="B302" s="51" t="s">
        <v>562</v>
      </c>
      <c r="C302" s="51"/>
      <c r="D302" s="52">
        <v>1</v>
      </c>
      <c r="E302" s="52">
        <v>2</v>
      </c>
      <c r="F302" s="52">
        <v>3</v>
      </c>
      <c r="G302" s="52">
        <v>4</v>
      </c>
      <c r="H302" s="52">
        <v>5</v>
      </c>
      <c r="I302" s="52">
        <v>6</v>
      </c>
      <c r="J302" s="52">
        <v>7</v>
      </c>
      <c r="K302" s="52">
        <v>8</v>
      </c>
      <c r="L302" s="52">
        <v>9</v>
      </c>
      <c r="M302" s="52">
        <v>10</v>
      </c>
      <c r="N302" s="52">
        <v>11</v>
      </c>
      <c r="O302" s="52">
        <v>12</v>
      </c>
      <c r="P302" s="52">
        <v>13</v>
      </c>
      <c r="Q302" s="52">
        <v>14</v>
      </c>
      <c r="R302" s="52">
        <v>15</v>
      </c>
      <c r="S302" s="52">
        <v>16</v>
      </c>
      <c r="T302" s="52">
        <v>17</v>
      </c>
      <c r="U302" s="52">
        <v>18</v>
      </c>
      <c r="V302" s="52">
        <v>19</v>
      </c>
      <c r="W302" s="52">
        <v>20</v>
      </c>
      <c r="X302" s="52">
        <v>21</v>
      </c>
      <c r="Y302" s="52">
        <v>22</v>
      </c>
      <c r="Z302" s="52">
        <v>23</v>
      </c>
      <c r="AA302" s="52">
        <v>24</v>
      </c>
      <c r="AB302" s="52">
        <v>25</v>
      </c>
      <c r="AC302" s="52">
        <v>26</v>
      </c>
      <c r="AD302" s="52">
        <v>27</v>
      </c>
      <c r="AE302" s="52">
        <v>28</v>
      </c>
      <c r="AF302" s="52">
        <v>29</v>
      </c>
      <c r="AG302" s="52">
        <v>30</v>
      </c>
      <c r="AH302" s="52">
        <v>31</v>
      </c>
      <c r="AI302" s="52">
        <v>32</v>
      </c>
      <c r="AJ302" s="52">
        <v>33</v>
      </c>
      <c r="AK302" s="52">
        <v>34</v>
      </c>
      <c r="AL302" s="52">
        <v>35</v>
      </c>
      <c r="AM302" s="52">
        <v>36</v>
      </c>
      <c r="AN302" s="52">
        <v>37</v>
      </c>
      <c r="AO302" s="52">
        <v>38</v>
      </c>
      <c r="AP302" s="52">
        <v>39</v>
      </c>
      <c r="AQ302" s="52">
        <v>40</v>
      </c>
      <c r="AR302" s="52">
        <v>41</v>
      </c>
      <c r="AS302" s="52">
        <v>42</v>
      </c>
      <c r="AT302" s="52">
        <v>43</v>
      </c>
      <c r="AU302" s="52">
        <v>44</v>
      </c>
      <c r="AV302" s="52">
        <v>45</v>
      </c>
      <c r="AW302" s="52">
        <v>46</v>
      </c>
      <c r="AX302" s="52">
        <v>47</v>
      </c>
      <c r="AY302" s="52">
        <v>48</v>
      </c>
    </row>
    <row r="303" spans="1:51" ht="9.9499999999999993" customHeight="1" x14ac:dyDescent="0.25">
      <c r="D303" s="52">
        <f t="shared" ref="D303" si="224">L293</f>
        <v>1</v>
      </c>
      <c r="E303" s="52">
        <f t="shared" ref="E303" si="225">M293</f>
        <v>1</v>
      </c>
      <c r="F303" s="52">
        <f t="shared" ref="F303" si="226">N293</f>
        <v>0</v>
      </c>
      <c r="G303" s="52">
        <f t="shared" ref="G303" si="227">O293</f>
        <v>1</v>
      </c>
      <c r="H303" s="52">
        <f t="shared" ref="H303" si="228">P293</f>
        <v>0</v>
      </c>
      <c r="I303" s="52">
        <f t="shared" ref="I303" si="229">Q293</f>
        <v>0</v>
      </c>
      <c r="J303" s="52">
        <f t="shared" ref="J303" si="230">L294</f>
        <v>0</v>
      </c>
      <c r="K303" s="52">
        <f t="shared" ref="K303" si="231">M294</f>
        <v>0</v>
      </c>
      <c r="L303" s="52">
        <f t="shared" ref="L303" si="232">N294</f>
        <v>0</v>
      </c>
      <c r="M303" s="52">
        <f t="shared" ref="M303" si="233">O294</f>
        <v>1</v>
      </c>
      <c r="N303" s="52">
        <f t="shared" ref="N303" si="234">P294</f>
        <v>1</v>
      </c>
      <c r="O303" s="52">
        <f t="shared" ref="O303" si="235">Q294</f>
        <v>0</v>
      </c>
      <c r="P303" s="52">
        <f t="shared" ref="P303" si="236">L295</f>
        <v>1</v>
      </c>
      <c r="Q303" s="52">
        <f t="shared" ref="Q303" si="237">M295</f>
        <v>1</v>
      </c>
      <c r="R303" s="52">
        <f t="shared" ref="R303" si="238">N295</f>
        <v>0</v>
      </c>
      <c r="S303" s="52">
        <f t="shared" ref="S303" si="239">O295</f>
        <v>0</v>
      </c>
      <c r="T303" s="52">
        <f t="shared" ref="T303" si="240">P295</f>
        <v>1</v>
      </c>
      <c r="U303" s="52">
        <f t="shared" ref="U303" si="241">Q295</f>
        <v>0</v>
      </c>
      <c r="V303" s="52">
        <f t="shared" ref="V303" si="242">L296</f>
        <v>0</v>
      </c>
      <c r="W303" s="52">
        <f t="shared" ref="W303" si="243">M296</f>
        <v>0</v>
      </c>
      <c r="X303" s="52">
        <f t="shared" ref="X303" si="244">N296</f>
        <v>0</v>
      </c>
      <c r="Y303" s="52">
        <f t="shared" ref="Y303" si="245">O296</f>
        <v>1</v>
      </c>
      <c r="Z303" s="52">
        <f t="shared" ref="Z303" si="246">P296</f>
        <v>0</v>
      </c>
      <c r="AA303" s="52">
        <f t="shared" ref="AA303" si="247">Q296</f>
        <v>0</v>
      </c>
      <c r="AB303" s="52">
        <f t="shared" ref="AB303" si="248">L297</f>
        <v>1</v>
      </c>
      <c r="AC303" s="52">
        <f t="shared" ref="AC303" si="249">M297</f>
        <v>1</v>
      </c>
      <c r="AD303" s="52">
        <f t="shared" ref="AD303" si="250">N297</f>
        <v>1</v>
      </c>
      <c r="AE303" s="52">
        <f t="shared" ref="AE303" si="251">O297</f>
        <v>0</v>
      </c>
      <c r="AF303" s="52">
        <f t="shared" ref="AF303" si="252">P297</f>
        <v>0</v>
      </c>
      <c r="AG303" s="52">
        <f t="shared" ref="AG303" si="253">Q297</f>
        <v>0</v>
      </c>
      <c r="AH303" s="52">
        <f t="shared" ref="AH303" si="254">L298</f>
        <v>1</v>
      </c>
      <c r="AI303" s="52">
        <f t="shared" ref="AI303" si="255">M298</f>
        <v>1</v>
      </c>
      <c r="AJ303" s="52">
        <f t="shared" ref="AJ303" si="256">N298</f>
        <v>1</v>
      </c>
      <c r="AK303" s="52">
        <f t="shared" ref="AK303" si="257">O298</f>
        <v>0</v>
      </c>
      <c r="AL303" s="52">
        <f t="shared" ref="AL303" si="258">P298</f>
        <v>0</v>
      </c>
      <c r="AM303" s="52">
        <f t="shared" ref="AM303" si="259">Q298</f>
        <v>1</v>
      </c>
      <c r="AN303" s="52">
        <f t="shared" ref="AN303" si="260">L299</f>
        <v>1</v>
      </c>
      <c r="AO303" s="52">
        <f t="shared" ref="AO303" si="261">M299</f>
        <v>0</v>
      </c>
      <c r="AP303" s="52">
        <f t="shared" ref="AP303" si="262">N299</f>
        <v>0</v>
      </c>
      <c r="AQ303" s="52">
        <f t="shared" ref="AQ303" si="263">O299</f>
        <v>0</v>
      </c>
      <c r="AR303" s="52">
        <f t="shared" ref="AR303" si="264">P299</f>
        <v>0</v>
      </c>
      <c r="AS303" s="52">
        <f t="shared" ref="AS303" si="265">Q299</f>
        <v>0</v>
      </c>
      <c r="AT303" s="52">
        <f t="shared" ref="AT303" si="266">L300</f>
        <v>1</v>
      </c>
      <c r="AU303" s="52">
        <f t="shared" ref="AU303" si="267">M300</f>
        <v>1</v>
      </c>
      <c r="AV303" s="52">
        <f t="shared" ref="AV303" si="268">N300</f>
        <v>0</v>
      </c>
      <c r="AW303" s="52">
        <f t="shared" ref="AW303" si="269">O300</f>
        <v>1</v>
      </c>
      <c r="AX303" s="52">
        <f t="shared" ref="AX303" si="270">P300</f>
        <v>1</v>
      </c>
      <c r="AY303" s="52">
        <f t="shared" ref="AY303" si="271">Q300</f>
        <v>0</v>
      </c>
    </row>
    <row r="306" spans="9:20" ht="9.9499999999999993" customHeight="1" x14ac:dyDescent="0.25">
      <c r="I306" s="38" t="s">
        <v>510</v>
      </c>
    </row>
    <row r="311" spans="9:20" ht="9.9499999999999993" customHeight="1" x14ac:dyDescent="0.25">
      <c r="L311" s="33" t="s">
        <v>563</v>
      </c>
      <c r="Q311" s="34" t="s">
        <v>564</v>
      </c>
    </row>
    <row r="312" spans="9:20" ht="9.9499999999999993" customHeight="1" x14ac:dyDescent="0.25">
      <c r="K312" s="40">
        <f>L275</f>
        <v>0</v>
      </c>
      <c r="L312" s="59">
        <f>M275</f>
        <v>0</v>
      </c>
      <c r="M312" s="59">
        <f>N275</f>
        <v>0</v>
      </c>
      <c r="N312" s="59">
        <f>K275</f>
        <v>0</v>
      </c>
      <c r="O312" s="113"/>
      <c r="P312" s="40">
        <f>Q275</f>
        <v>1</v>
      </c>
      <c r="Q312" s="59">
        <f>R275</f>
        <v>0</v>
      </c>
      <c r="R312" s="59">
        <f>S275</f>
        <v>0</v>
      </c>
      <c r="S312" s="59">
        <f>P275</f>
        <v>0</v>
      </c>
      <c r="T312" s="113"/>
    </row>
    <row r="313" spans="9:20" ht="9.9499999999999993" customHeight="1" x14ac:dyDescent="0.25">
      <c r="K313" s="40">
        <f t="shared" ref="K313:K318" si="272">L276</f>
        <v>0</v>
      </c>
      <c r="L313" s="59">
        <f t="shared" ref="L313:L318" si="273">M276</f>
        <v>0</v>
      </c>
      <c r="M313" s="59">
        <f t="shared" ref="M313:M318" si="274">N276</f>
        <v>0</v>
      </c>
      <c r="N313" s="59">
        <f t="shared" ref="N313:N318" si="275">K276</f>
        <v>0</v>
      </c>
      <c r="O313" s="113"/>
      <c r="P313" s="40">
        <f t="shared" ref="P313:Q318" si="276">Q276</f>
        <v>1</v>
      </c>
      <c r="Q313" s="59">
        <f t="shared" si="276"/>
        <v>0</v>
      </c>
      <c r="R313" s="59">
        <f t="shared" ref="R313:R318" si="277">S276</f>
        <v>0</v>
      </c>
      <c r="S313" s="59">
        <f t="shared" ref="S313:S318" si="278">P276</f>
        <v>0</v>
      </c>
      <c r="T313" s="113"/>
    </row>
    <row r="314" spans="9:20" ht="9.9499999999999993" customHeight="1" x14ac:dyDescent="0.25">
      <c r="K314" s="40">
        <f t="shared" si="272"/>
        <v>0</v>
      </c>
      <c r="L314" s="59">
        <f t="shared" si="273"/>
        <v>1</v>
      </c>
      <c r="M314" s="59">
        <f t="shared" si="274"/>
        <v>1</v>
      </c>
      <c r="N314" s="59">
        <f t="shared" si="275"/>
        <v>1</v>
      </c>
      <c r="O314" s="113"/>
      <c r="P314" s="40">
        <f t="shared" si="276"/>
        <v>1</v>
      </c>
      <c r="Q314" s="59">
        <f t="shared" si="276"/>
        <v>1</v>
      </c>
      <c r="R314" s="59">
        <f t="shared" si="277"/>
        <v>1</v>
      </c>
      <c r="S314" s="59">
        <f t="shared" si="278"/>
        <v>1</v>
      </c>
      <c r="T314" s="113"/>
    </row>
    <row r="315" spans="9:20" ht="9.9499999999999993" customHeight="1" x14ac:dyDescent="0.25">
      <c r="K315" s="40">
        <f t="shared" si="272"/>
        <v>1</v>
      </c>
      <c r="L315" s="59">
        <f t="shared" si="273"/>
        <v>0</v>
      </c>
      <c r="M315" s="59">
        <f t="shared" si="274"/>
        <v>0</v>
      </c>
      <c r="N315" s="59">
        <f t="shared" si="275"/>
        <v>0</v>
      </c>
      <c r="O315" s="113"/>
      <c r="P315" s="40">
        <f t="shared" si="276"/>
        <v>1</v>
      </c>
      <c r="Q315" s="59">
        <f t="shared" si="276"/>
        <v>1</v>
      </c>
      <c r="R315" s="59">
        <f t="shared" si="277"/>
        <v>0</v>
      </c>
      <c r="S315" s="59">
        <f t="shared" si="278"/>
        <v>1</v>
      </c>
      <c r="T315" s="113"/>
    </row>
    <row r="316" spans="9:20" ht="9.9499999999999993" customHeight="1" x14ac:dyDescent="0.25">
      <c r="K316" s="40">
        <f t="shared" si="272"/>
        <v>0</v>
      </c>
      <c r="L316" s="59">
        <f t="shared" si="273"/>
        <v>0</v>
      </c>
      <c r="M316" s="59">
        <f t="shared" si="274"/>
        <v>1</v>
      </c>
      <c r="N316" s="59">
        <f t="shared" si="275"/>
        <v>0</v>
      </c>
      <c r="O316" s="113"/>
      <c r="P316" s="40">
        <f t="shared" si="276"/>
        <v>1</v>
      </c>
      <c r="Q316" s="59">
        <f t="shared" si="276"/>
        <v>0</v>
      </c>
      <c r="R316" s="59">
        <f t="shared" si="277"/>
        <v>1</v>
      </c>
      <c r="S316" s="59">
        <f t="shared" si="278"/>
        <v>0</v>
      </c>
      <c r="T316" s="113"/>
    </row>
    <row r="317" spans="9:20" ht="9.9499999999999993" customHeight="1" x14ac:dyDescent="0.25">
      <c r="K317" s="40">
        <f t="shared" si="272"/>
        <v>1</v>
      </c>
      <c r="L317" s="59">
        <f t="shared" si="273"/>
        <v>1</v>
      </c>
      <c r="M317" s="59">
        <f t="shared" si="274"/>
        <v>1</v>
      </c>
      <c r="N317" s="59">
        <f t="shared" si="275"/>
        <v>1</v>
      </c>
      <c r="O317" s="113"/>
      <c r="P317" s="40">
        <f t="shared" si="276"/>
        <v>1</v>
      </c>
      <c r="Q317" s="59">
        <f t="shared" si="276"/>
        <v>0</v>
      </c>
      <c r="R317" s="59">
        <f t="shared" si="277"/>
        <v>1</v>
      </c>
      <c r="S317" s="59">
        <f t="shared" si="278"/>
        <v>0</v>
      </c>
      <c r="T317" s="113"/>
    </row>
    <row r="318" spans="9:20" ht="9.9499999999999993" customHeight="1" x14ac:dyDescent="0.25">
      <c r="K318" s="40">
        <f t="shared" si="272"/>
        <v>0</v>
      </c>
      <c r="L318" s="59">
        <f t="shared" si="273"/>
        <v>1</v>
      </c>
      <c r="M318" s="59">
        <f t="shared" si="274"/>
        <v>1</v>
      </c>
      <c r="N318" s="59">
        <f t="shared" si="275"/>
        <v>0</v>
      </c>
      <c r="O318" s="113"/>
      <c r="P318" s="40">
        <f t="shared" si="276"/>
        <v>1</v>
      </c>
      <c r="Q318" s="59">
        <f t="shared" si="276"/>
        <v>0</v>
      </c>
      <c r="R318" s="59">
        <f t="shared" si="277"/>
        <v>0</v>
      </c>
      <c r="S318" s="59">
        <f t="shared" si="278"/>
        <v>0</v>
      </c>
      <c r="T318" s="113"/>
    </row>
    <row r="319" spans="9:20" ht="9.9499999999999993" customHeight="1" x14ac:dyDescent="0.25">
      <c r="L319" s="113"/>
      <c r="M319" s="113"/>
      <c r="N319" s="113"/>
      <c r="O319" s="113"/>
      <c r="P319" s="113"/>
      <c r="Q319" s="113"/>
      <c r="R319" s="113"/>
      <c r="S319" s="113"/>
      <c r="T319" s="113"/>
    </row>
    <row r="320" spans="9:20" ht="9.9499999999999993" customHeight="1" x14ac:dyDescent="0.25">
      <c r="L320" s="113">
        <v>1</v>
      </c>
      <c r="M320" s="113">
        <v>2</v>
      </c>
      <c r="N320" s="113">
        <v>3</v>
      </c>
      <c r="O320" s="113">
        <v>4</v>
      </c>
      <c r="P320" s="113">
        <v>5</v>
      </c>
      <c r="Q320" s="113">
        <v>6</v>
      </c>
      <c r="R320" s="113">
        <v>7</v>
      </c>
      <c r="S320" s="113">
        <v>8</v>
      </c>
      <c r="T320" s="113"/>
    </row>
    <row r="321" spans="3:20" ht="9.9499999999999993" customHeight="1" x14ac:dyDescent="0.25">
      <c r="K321" s="21">
        <v>1</v>
      </c>
      <c r="L321" s="37">
        <f>K312</f>
        <v>0</v>
      </c>
      <c r="M321" s="60">
        <f>L312</f>
        <v>0</v>
      </c>
      <c r="N321" s="60">
        <f>M312</f>
        <v>0</v>
      </c>
      <c r="O321" s="60">
        <f>N312</f>
        <v>0</v>
      </c>
      <c r="P321" s="37">
        <f>P312</f>
        <v>1</v>
      </c>
      <c r="Q321" s="60">
        <f>Q312</f>
        <v>0</v>
      </c>
      <c r="R321" s="60">
        <f>R312</f>
        <v>0</v>
      </c>
      <c r="S321" s="60">
        <f>S312</f>
        <v>0</v>
      </c>
      <c r="T321" s="113">
        <v>8</v>
      </c>
    </row>
    <row r="322" spans="3:20" ht="9.9499999999999993" customHeight="1" x14ac:dyDescent="0.25">
      <c r="K322" s="21">
        <v>9</v>
      </c>
      <c r="L322" s="37">
        <f t="shared" ref="L322:L327" si="279">K313</f>
        <v>0</v>
      </c>
      <c r="M322" s="60">
        <f t="shared" ref="M322:M327" si="280">L313</f>
        <v>0</v>
      </c>
      <c r="N322" s="60">
        <f t="shared" ref="N322:N327" si="281">M313</f>
        <v>0</v>
      </c>
      <c r="O322" s="60">
        <f t="shared" ref="O322:O327" si="282">N313</f>
        <v>0</v>
      </c>
      <c r="P322" s="37">
        <f t="shared" ref="P322:S322" si="283">P313</f>
        <v>1</v>
      </c>
      <c r="Q322" s="60">
        <f t="shared" si="283"/>
        <v>0</v>
      </c>
      <c r="R322" s="60">
        <f t="shared" si="283"/>
        <v>0</v>
      </c>
      <c r="S322" s="60">
        <f t="shared" si="283"/>
        <v>0</v>
      </c>
      <c r="T322" s="113">
        <v>16</v>
      </c>
    </row>
    <row r="323" spans="3:20" ht="9.9499999999999993" customHeight="1" x14ac:dyDescent="0.25">
      <c r="K323" s="21">
        <v>17</v>
      </c>
      <c r="L323" s="37">
        <f t="shared" si="279"/>
        <v>0</v>
      </c>
      <c r="M323" s="60">
        <f t="shared" si="280"/>
        <v>1</v>
      </c>
      <c r="N323" s="60">
        <f t="shared" si="281"/>
        <v>1</v>
      </c>
      <c r="O323" s="60">
        <f t="shared" si="282"/>
        <v>1</v>
      </c>
      <c r="P323" s="37">
        <f t="shared" ref="P323:S323" si="284">P314</f>
        <v>1</v>
      </c>
      <c r="Q323" s="60">
        <f t="shared" si="284"/>
        <v>1</v>
      </c>
      <c r="R323" s="60">
        <f t="shared" si="284"/>
        <v>1</v>
      </c>
      <c r="S323" s="60">
        <f t="shared" si="284"/>
        <v>1</v>
      </c>
      <c r="T323" s="113">
        <v>24</v>
      </c>
    </row>
    <row r="324" spans="3:20" ht="9.9499999999999993" customHeight="1" x14ac:dyDescent="0.25">
      <c r="K324" s="21">
        <v>25</v>
      </c>
      <c r="L324" s="37">
        <f t="shared" si="279"/>
        <v>1</v>
      </c>
      <c r="M324" s="60">
        <f t="shared" si="280"/>
        <v>0</v>
      </c>
      <c r="N324" s="60">
        <f t="shared" si="281"/>
        <v>0</v>
      </c>
      <c r="O324" s="60">
        <f t="shared" si="282"/>
        <v>0</v>
      </c>
      <c r="P324" s="37">
        <f t="shared" ref="P324:S324" si="285">P315</f>
        <v>1</v>
      </c>
      <c r="Q324" s="60">
        <f t="shared" si="285"/>
        <v>1</v>
      </c>
      <c r="R324" s="60">
        <f t="shared" si="285"/>
        <v>0</v>
      </c>
      <c r="S324" s="60">
        <f t="shared" si="285"/>
        <v>1</v>
      </c>
      <c r="T324" s="113">
        <v>32</v>
      </c>
    </row>
    <row r="325" spans="3:20" ht="9.9499999999999993" customHeight="1" x14ac:dyDescent="0.25">
      <c r="K325" s="21">
        <v>33</v>
      </c>
      <c r="L325" s="37">
        <f t="shared" si="279"/>
        <v>0</v>
      </c>
      <c r="M325" s="60">
        <f t="shared" si="280"/>
        <v>0</v>
      </c>
      <c r="N325" s="60">
        <f t="shared" si="281"/>
        <v>1</v>
      </c>
      <c r="O325" s="60">
        <f t="shared" si="282"/>
        <v>0</v>
      </c>
      <c r="P325" s="37">
        <f t="shared" ref="P325:S325" si="286">P316</f>
        <v>1</v>
      </c>
      <c r="Q325" s="60">
        <f t="shared" si="286"/>
        <v>0</v>
      </c>
      <c r="R325" s="60">
        <f t="shared" si="286"/>
        <v>1</v>
      </c>
      <c r="S325" s="60">
        <f t="shared" si="286"/>
        <v>0</v>
      </c>
      <c r="T325" s="113">
        <v>40</v>
      </c>
    </row>
    <row r="326" spans="3:20" ht="9.9499999999999993" customHeight="1" x14ac:dyDescent="0.25">
      <c r="K326" s="21">
        <v>41</v>
      </c>
      <c r="L326" s="37">
        <f t="shared" si="279"/>
        <v>1</v>
      </c>
      <c r="M326" s="60">
        <f t="shared" si="280"/>
        <v>1</v>
      </c>
      <c r="N326" s="60">
        <f t="shared" si="281"/>
        <v>1</v>
      </c>
      <c r="O326" s="60">
        <f t="shared" si="282"/>
        <v>1</v>
      </c>
      <c r="P326" s="37">
        <f t="shared" ref="P326:S326" si="287">P317</f>
        <v>1</v>
      </c>
      <c r="Q326" s="60">
        <f t="shared" si="287"/>
        <v>0</v>
      </c>
      <c r="R326" s="60">
        <f t="shared" si="287"/>
        <v>1</v>
      </c>
      <c r="S326" s="60">
        <f t="shared" si="287"/>
        <v>0</v>
      </c>
      <c r="T326" s="113">
        <v>48</v>
      </c>
    </row>
    <row r="327" spans="3:20" ht="9.9499999999999993" customHeight="1" x14ac:dyDescent="0.25">
      <c r="K327" s="21">
        <v>49</v>
      </c>
      <c r="L327" s="37">
        <f t="shared" si="279"/>
        <v>0</v>
      </c>
      <c r="M327" s="60">
        <f t="shared" si="280"/>
        <v>1</v>
      </c>
      <c r="N327" s="60">
        <f t="shared" si="281"/>
        <v>1</v>
      </c>
      <c r="O327" s="60">
        <f t="shared" si="282"/>
        <v>0</v>
      </c>
      <c r="P327" s="37">
        <f t="shared" ref="P327:S327" si="288">P318</f>
        <v>1</v>
      </c>
      <c r="Q327" s="60">
        <f t="shared" si="288"/>
        <v>0</v>
      </c>
      <c r="R327" s="60">
        <f t="shared" si="288"/>
        <v>0</v>
      </c>
      <c r="S327" s="60">
        <f t="shared" si="288"/>
        <v>0</v>
      </c>
      <c r="T327" s="113">
        <v>56</v>
      </c>
    </row>
    <row r="328" spans="3:20" ht="9.9499999999999993" customHeight="1" x14ac:dyDescent="0.25">
      <c r="D328" s="46" t="s">
        <v>514</v>
      </c>
    </row>
    <row r="329" spans="3:20" ht="9.9499999999999993" customHeight="1" x14ac:dyDescent="0.25">
      <c r="D329" s="21">
        <v>1</v>
      </c>
      <c r="E329" s="21">
        <v>2</v>
      </c>
      <c r="F329" s="21">
        <v>3</v>
      </c>
      <c r="G329" s="21">
        <v>4</v>
      </c>
      <c r="H329" s="21">
        <v>5</v>
      </c>
      <c r="I329" s="21">
        <v>6</v>
      </c>
      <c r="L329" s="21">
        <v>1</v>
      </c>
      <c r="M329" s="21">
        <v>2</v>
      </c>
      <c r="N329" s="21">
        <v>3</v>
      </c>
      <c r="O329" s="21">
        <v>4</v>
      </c>
      <c r="P329" s="21">
        <v>5</v>
      </c>
      <c r="Q329" s="21">
        <v>6</v>
      </c>
    </row>
    <row r="330" spans="3:20" ht="9.9499999999999993" customHeight="1" x14ac:dyDescent="0.25">
      <c r="C330" s="21">
        <v>1</v>
      </c>
      <c r="D330" s="29">
        <v>14</v>
      </c>
      <c r="E330" s="54">
        <v>17</v>
      </c>
      <c r="F330" s="29">
        <v>11</v>
      </c>
      <c r="G330" s="55">
        <v>24</v>
      </c>
      <c r="H330" s="29">
        <v>1</v>
      </c>
      <c r="I330" s="27">
        <v>5</v>
      </c>
      <c r="L330" s="39">
        <f>Q322</f>
        <v>0</v>
      </c>
      <c r="M330" s="39">
        <f>L323</f>
        <v>0</v>
      </c>
      <c r="N330" s="39">
        <f>N322</f>
        <v>0</v>
      </c>
      <c r="O330" s="39">
        <f>S323</f>
        <v>1</v>
      </c>
      <c r="P330" s="39">
        <f>L321</f>
        <v>0</v>
      </c>
      <c r="Q330" s="39">
        <f>P321</f>
        <v>1</v>
      </c>
      <c r="R330" s="21">
        <v>6</v>
      </c>
    </row>
    <row r="331" spans="3:20" ht="9.9499999999999993" customHeight="1" x14ac:dyDescent="0.25">
      <c r="C331" s="21">
        <v>2</v>
      </c>
      <c r="D331" s="29">
        <v>3</v>
      </c>
      <c r="E331" s="54">
        <v>28</v>
      </c>
      <c r="F331" s="29">
        <v>15</v>
      </c>
      <c r="G331" s="55">
        <v>6</v>
      </c>
      <c r="H331" s="29">
        <v>21</v>
      </c>
      <c r="I331" s="27">
        <v>10</v>
      </c>
      <c r="K331" s="21">
        <v>7</v>
      </c>
      <c r="L331" s="39">
        <f>N321</f>
        <v>0</v>
      </c>
      <c r="M331" s="39">
        <f>O324</f>
        <v>0</v>
      </c>
      <c r="N331" s="39">
        <f>R322</f>
        <v>0</v>
      </c>
      <c r="O331" s="39">
        <f>Q321</f>
        <v>0</v>
      </c>
      <c r="P331" s="39">
        <f>P323</f>
        <v>1</v>
      </c>
      <c r="Q331" s="39">
        <f>M322</f>
        <v>0</v>
      </c>
      <c r="R331" s="21">
        <v>12</v>
      </c>
    </row>
    <row r="332" spans="3:20" ht="9.9499999999999993" customHeight="1" x14ac:dyDescent="0.25">
      <c r="C332" s="21">
        <v>3</v>
      </c>
      <c r="D332" s="29">
        <v>23</v>
      </c>
      <c r="E332" s="54">
        <v>19</v>
      </c>
      <c r="F332" s="29">
        <v>12</v>
      </c>
      <c r="G332" s="55">
        <v>4</v>
      </c>
      <c r="H332" s="29">
        <v>26</v>
      </c>
      <c r="I332" s="27">
        <v>8</v>
      </c>
      <c r="K332" s="56">
        <v>13</v>
      </c>
      <c r="L332" s="22">
        <f>R323</f>
        <v>1</v>
      </c>
      <c r="M332" s="22">
        <f>N323</f>
        <v>1</v>
      </c>
      <c r="N332" s="22">
        <f>O322</f>
        <v>0</v>
      </c>
      <c r="O332" s="22">
        <f>O321</f>
        <v>0</v>
      </c>
      <c r="P332" s="22">
        <f>M324</f>
        <v>0</v>
      </c>
      <c r="Q332" s="22">
        <f>S321</f>
        <v>0</v>
      </c>
      <c r="R332" s="56">
        <v>18</v>
      </c>
    </row>
    <row r="333" spans="3:20" ht="9.9499999999999993" customHeight="1" x14ac:dyDescent="0.25">
      <c r="C333" s="21">
        <v>4</v>
      </c>
      <c r="D333" s="29">
        <v>16</v>
      </c>
      <c r="E333" s="54">
        <v>7</v>
      </c>
      <c r="F333" s="29">
        <v>27</v>
      </c>
      <c r="G333" s="55">
        <v>20</v>
      </c>
      <c r="H333" s="29">
        <v>13</v>
      </c>
      <c r="I333" s="27">
        <v>2</v>
      </c>
      <c r="K333" s="21">
        <v>19</v>
      </c>
      <c r="L333" s="39">
        <f>S322</f>
        <v>0</v>
      </c>
      <c r="M333" s="39">
        <f>R321</f>
        <v>0</v>
      </c>
      <c r="N333" s="39">
        <f>N324</f>
        <v>0</v>
      </c>
      <c r="O333" s="39">
        <f>O323</f>
        <v>1</v>
      </c>
      <c r="P333" s="39">
        <f>P322</f>
        <v>1</v>
      </c>
      <c r="Q333" s="39">
        <f>M321</f>
        <v>0</v>
      </c>
      <c r="R333" s="21">
        <v>24</v>
      </c>
    </row>
    <row r="334" spans="3:20" ht="9.9499999999999993" customHeight="1" x14ac:dyDescent="0.25">
      <c r="C334" s="21">
        <v>5</v>
      </c>
      <c r="D334" s="29">
        <v>41</v>
      </c>
      <c r="E334" s="54">
        <v>52</v>
      </c>
      <c r="F334" s="29">
        <v>31</v>
      </c>
      <c r="G334" s="55">
        <v>37</v>
      </c>
      <c r="H334" s="29">
        <v>47</v>
      </c>
      <c r="I334" s="27">
        <v>55</v>
      </c>
      <c r="K334" s="57">
        <v>25</v>
      </c>
      <c r="L334" s="58">
        <f>L326</f>
        <v>1</v>
      </c>
      <c r="M334" s="58">
        <f>O327</f>
        <v>0</v>
      </c>
      <c r="N334" s="58">
        <f>R324</f>
        <v>0</v>
      </c>
      <c r="O334" s="58">
        <f>P325</f>
        <v>1</v>
      </c>
      <c r="P334" s="58">
        <f>R326</f>
        <v>1</v>
      </c>
      <c r="Q334" s="58">
        <f>R327</f>
        <v>0</v>
      </c>
      <c r="R334" s="57">
        <v>30</v>
      </c>
    </row>
    <row r="335" spans="3:20" ht="9.9499999999999993" customHeight="1" x14ac:dyDescent="0.25">
      <c r="C335" s="21">
        <v>6</v>
      </c>
      <c r="D335" s="29">
        <v>30</v>
      </c>
      <c r="E335" s="54">
        <v>40</v>
      </c>
      <c r="F335" s="29">
        <v>51</v>
      </c>
      <c r="G335" s="55">
        <v>45</v>
      </c>
      <c r="H335" s="29">
        <v>33</v>
      </c>
      <c r="I335" s="27">
        <v>48</v>
      </c>
      <c r="K335" s="21">
        <v>31</v>
      </c>
      <c r="L335" s="39">
        <f>Q324</f>
        <v>1</v>
      </c>
      <c r="M335" s="39">
        <f>S325</f>
        <v>0</v>
      </c>
      <c r="N335" s="39">
        <f>N327</f>
        <v>1</v>
      </c>
      <c r="O335" s="39">
        <f>P326</f>
        <v>1</v>
      </c>
      <c r="P335" s="39">
        <f>L325</f>
        <v>0</v>
      </c>
      <c r="Q335" s="39">
        <f>S326</f>
        <v>0</v>
      </c>
      <c r="R335" s="21">
        <v>36</v>
      </c>
    </row>
    <row r="336" spans="3:20" ht="9.9499999999999993" customHeight="1" x14ac:dyDescent="0.25">
      <c r="C336" s="21">
        <v>7</v>
      </c>
      <c r="D336" s="29">
        <v>44</v>
      </c>
      <c r="E336" s="54">
        <v>49</v>
      </c>
      <c r="F336" s="29">
        <v>39</v>
      </c>
      <c r="G336" s="55">
        <v>56</v>
      </c>
      <c r="H336" s="29">
        <v>34</v>
      </c>
      <c r="I336" s="27">
        <v>53</v>
      </c>
      <c r="K336" s="50">
        <v>37</v>
      </c>
      <c r="L336" s="27">
        <f>O326</f>
        <v>1</v>
      </c>
      <c r="M336" s="27">
        <f>L327</f>
        <v>0</v>
      </c>
      <c r="N336" s="27">
        <f>R325</f>
        <v>1</v>
      </c>
      <c r="O336" s="27">
        <f>S327</f>
        <v>0</v>
      </c>
      <c r="P336" s="27">
        <f>M325</f>
        <v>0</v>
      </c>
      <c r="Q336" s="27">
        <f>P327</f>
        <v>1</v>
      </c>
      <c r="R336" s="50">
        <v>42</v>
      </c>
    </row>
    <row r="337" spans="1:51" ht="9.9499999999999993" customHeight="1" x14ac:dyDescent="0.25">
      <c r="C337" s="21">
        <v>8</v>
      </c>
      <c r="D337" s="29">
        <v>46</v>
      </c>
      <c r="E337" s="54">
        <v>42</v>
      </c>
      <c r="F337" s="29">
        <v>50</v>
      </c>
      <c r="G337" s="55">
        <v>36</v>
      </c>
      <c r="H337" s="29">
        <v>29</v>
      </c>
      <c r="I337" s="27">
        <v>32</v>
      </c>
      <c r="K337" s="21">
        <v>43</v>
      </c>
      <c r="L337" s="39">
        <f>Q326</f>
        <v>0</v>
      </c>
      <c r="M337" s="39">
        <f>M326</f>
        <v>1</v>
      </c>
      <c r="N337" s="39">
        <f>M327</f>
        <v>1</v>
      </c>
      <c r="O337" s="39">
        <f>O325</f>
        <v>0</v>
      </c>
      <c r="P337" s="39">
        <f>P324</f>
        <v>1</v>
      </c>
      <c r="Q337" s="39">
        <f>S324</f>
        <v>1</v>
      </c>
      <c r="R337" s="21">
        <v>48</v>
      </c>
    </row>
    <row r="339" spans="1:51" ht="9.9499999999999993" customHeight="1" x14ac:dyDescent="0.25">
      <c r="A339" s="51"/>
      <c r="B339" s="51" t="s">
        <v>565</v>
      </c>
      <c r="C339" s="51"/>
      <c r="D339" s="52">
        <v>1</v>
      </c>
      <c r="E339" s="52">
        <v>2</v>
      </c>
      <c r="F339" s="52">
        <v>3</v>
      </c>
      <c r="G339" s="52">
        <v>4</v>
      </c>
      <c r="H339" s="52">
        <v>5</v>
      </c>
      <c r="I339" s="52">
        <v>6</v>
      </c>
      <c r="J339" s="52">
        <v>7</v>
      </c>
      <c r="K339" s="52">
        <v>8</v>
      </c>
      <c r="L339" s="52">
        <v>9</v>
      </c>
      <c r="M339" s="52">
        <v>10</v>
      </c>
      <c r="N339" s="52">
        <v>11</v>
      </c>
      <c r="O339" s="52">
        <v>12</v>
      </c>
      <c r="P339" s="52">
        <v>13</v>
      </c>
      <c r="Q339" s="52">
        <v>14</v>
      </c>
      <c r="R339" s="52">
        <v>15</v>
      </c>
      <c r="S339" s="52">
        <v>16</v>
      </c>
      <c r="T339" s="52">
        <v>17</v>
      </c>
      <c r="U339" s="52">
        <v>18</v>
      </c>
      <c r="V339" s="52">
        <v>19</v>
      </c>
      <c r="W339" s="52">
        <v>20</v>
      </c>
      <c r="X339" s="52">
        <v>21</v>
      </c>
      <c r="Y339" s="52">
        <v>22</v>
      </c>
      <c r="Z339" s="52">
        <v>23</v>
      </c>
      <c r="AA339" s="52">
        <v>24</v>
      </c>
      <c r="AB339" s="52">
        <v>25</v>
      </c>
      <c r="AC339" s="52">
        <v>26</v>
      </c>
      <c r="AD339" s="52">
        <v>27</v>
      </c>
      <c r="AE339" s="52">
        <v>28</v>
      </c>
      <c r="AF339" s="52">
        <v>29</v>
      </c>
      <c r="AG339" s="52">
        <v>30</v>
      </c>
      <c r="AH339" s="52">
        <v>31</v>
      </c>
      <c r="AI339" s="52">
        <v>32</v>
      </c>
      <c r="AJ339" s="52">
        <v>33</v>
      </c>
      <c r="AK339" s="52">
        <v>34</v>
      </c>
      <c r="AL339" s="52">
        <v>35</v>
      </c>
      <c r="AM339" s="52">
        <v>36</v>
      </c>
      <c r="AN339" s="52">
        <v>37</v>
      </c>
      <c r="AO339" s="52">
        <v>38</v>
      </c>
      <c r="AP339" s="52">
        <v>39</v>
      </c>
      <c r="AQ339" s="52">
        <v>40</v>
      </c>
      <c r="AR339" s="52">
        <v>41</v>
      </c>
      <c r="AS339" s="52">
        <v>42</v>
      </c>
      <c r="AT339" s="52">
        <v>43</v>
      </c>
      <c r="AU339" s="52">
        <v>44</v>
      </c>
      <c r="AV339" s="52">
        <v>45</v>
      </c>
      <c r="AW339" s="52">
        <v>46</v>
      </c>
      <c r="AX339" s="52">
        <v>47</v>
      </c>
      <c r="AY339" s="52">
        <v>48</v>
      </c>
    </row>
    <row r="340" spans="1:51" ht="9.9499999999999993" customHeight="1" x14ac:dyDescent="0.25">
      <c r="D340" s="52">
        <f t="shared" ref="D340" si="289">L330</f>
        <v>0</v>
      </c>
      <c r="E340" s="52">
        <f t="shared" ref="E340" si="290">M330</f>
        <v>0</v>
      </c>
      <c r="F340" s="52">
        <f t="shared" ref="F340" si="291">N330</f>
        <v>0</v>
      </c>
      <c r="G340" s="52">
        <f t="shared" ref="G340" si="292">O330</f>
        <v>1</v>
      </c>
      <c r="H340" s="52">
        <f t="shared" ref="H340" si="293">P330</f>
        <v>0</v>
      </c>
      <c r="I340" s="52">
        <f t="shared" ref="I340" si="294">Q330</f>
        <v>1</v>
      </c>
      <c r="J340" s="52">
        <f t="shared" ref="J340" si="295">L331</f>
        <v>0</v>
      </c>
      <c r="K340" s="52">
        <f t="shared" ref="K340" si="296">M331</f>
        <v>0</v>
      </c>
      <c r="L340" s="52">
        <f t="shared" ref="L340" si="297">N331</f>
        <v>0</v>
      </c>
      <c r="M340" s="52">
        <f t="shared" ref="M340" si="298">O331</f>
        <v>0</v>
      </c>
      <c r="N340" s="52">
        <f t="shared" ref="N340" si="299">P331</f>
        <v>1</v>
      </c>
      <c r="O340" s="52">
        <f t="shared" ref="O340" si="300">Q331</f>
        <v>0</v>
      </c>
      <c r="P340" s="52">
        <f t="shared" ref="P340" si="301">L332</f>
        <v>1</v>
      </c>
      <c r="Q340" s="52">
        <f t="shared" ref="Q340" si="302">M332</f>
        <v>1</v>
      </c>
      <c r="R340" s="52">
        <f t="shared" ref="R340" si="303">N332</f>
        <v>0</v>
      </c>
      <c r="S340" s="52">
        <f t="shared" ref="S340" si="304">O332</f>
        <v>0</v>
      </c>
      <c r="T340" s="52">
        <f t="shared" ref="T340" si="305">P332</f>
        <v>0</v>
      </c>
      <c r="U340" s="52">
        <f t="shared" ref="U340" si="306">Q332</f>
        <v>0</v>
      </c>
      <c r="V340" s="52">
        <f t="shared" ref="V340" si="307">L333</f>
        <v>0</v>
      </c>
      <c r="W340" s="52">
        <f t="shared" ref="W340" si="308">M333</f>
        <v>0</v>
      </c>
      <c r="X340" s="52">
        <f t="shared" ref="X340" si="309">N333</f>
        <v>0</v>
      </c>
      <c r="Y340" s="52">
        <f t="shared" ref="Y340" si="310">O333</f>
        <v>1</v>
      </c>
      <c r="Z340" s="52">
        <f t="shared" ref="Z340" si="311">P333</f>
        <v>1</v>
      </c>
      <c r="AA340" s="52">
        <f t="shared" ref="AA340" si="312">Q333</f>
        <v>0</v>
      </c>
      <c r="AB340" s="52">
        <f t="shared" ref="AB340" si="313">L334</f>
        <v>1</v>
      </c>
      <c r="AC340" s="52">
        <f t="shared" ref="AC340" si="314">M334</f>
        <v>0</v>
      </c>
      <c r="AD340" s="52">
        <f t="shared" ref="AD340" si="315">N334</f>
        <v>0</v>
      </c>
      <c r="AE340" s="52">
        <f t="shared" ref="AE340" si="316">O334</f>
        <v>1</v>
      </c>
      <c r="AF340" s="52">
        <f t="shared" ref="AF340" si="317">P334</f>
        <v>1</v>
      </c>
      <c r="AG340" s="52">
        <f t="shared" ref="AG340" si="318">Q334</f>
        <v>0</v>
      </c>
      <c r="AH340" s="52">
        <f t="shared" ref="AH340" si="319">L335</f>
        <v>1</v>
      </c>
      <c r="AI340" s="52">
        <f t="shared" ref="AI340" si="320">M335</f>
        <v>0</v>
      </c>
      <c r="AJ340" s="52">
        <f t="shared" ref="AJ340" si="321">N335</f>
        <v>1</v>
      </c>
      <c r="AK340" s="52">
        <f t="shared" ref="AK340" si="322">O335</f>
        <v>1</v>
      </c>
      <c r="AL340" s="52">
        <f t="shared" ref="AL340" si="323">P335</f>
        <v>0</v>
      </c>
      <c r="AM340" s="52">
        <f t="shared" ref="AM340" si="324">Q335</f>
        <v>0</v>
      </c>
      <c r="AN340" s="52">
        <f t="shared" ref="AN340" si="325">L336</f>
        <v>1</v>
      </c>
      <c r="AO340" s="52">
        <f t="shared" ref="AO340" si="326">M336</f>
        <v>0</v>
      </c>
      <c r="AP340" s="52">
        <f t="shared" ref="AP340" si="327">N336</f>
        <v>1</v>
      </c>
      <c r="AQ340" s="52">
        <f t="shared" ref="AQ340" si="328">O336</f>
        <v>0</v>
      </c>
      <c r="AR340" s="52">
        <f t="shared" ref="AR340" si="329">P336</f>
        <v>0</v>
      </c>
      <c r="AS340" s="52">
        <f t="shared" ref="AS340" si="330">Q336</f>
        <v>1</v>
      </c>
      <c r="AT340" s="52">
        <f t="shared" ref="AT340" si="331">L337</f>
        <v>0</v>
      </c>
      <c r="AU340" s="52">
        <f t="shared" ref="AU340" si="332">M337</f>
        <v>1</v>
      </c>
      <c r="AV340" s="52">
        <f t="shared" ref="AV340" si="333">N337</f>
        <v>1</v>
      </c>
      <c r="AW340" s="52">
        <f t="shared" ref="AW340" si="334">O337</f>
        <v>0</v>
      </c>
      <c r="AX340" s="52">
        <f t="shared" ref="AX340" si="335">P337</f>
        <v>1</v>
      </c>
      <c r="AY340" s="52">
        <f t="shared" ref="AY340" si="336">Q337</f>
        <v>1</v>
      </c>
    </row>
    <row r="342" spans="1:51" ht="9.9499999999999993" customHeight="1" x14ac:dyDescent="0.25">
      <c r="G342" s="38" t="s">
        <v>519</v>
      </c>
    </row>
    <row r="346" spans="1:51" ht="9.9499999999999993" customHeight="1" x14ac:dyDescent="0.25">
      <c r="L346" s="33" t="s">
        <v>566</v>
      </c>
      <c r="Q346" s="34" t="s">
        <v>567</v>
      </c>
    </row>
    <row r="347" spans="1:51" ht="9.9499999999999993" customHeight="1" x14ac:dyDescent="0.25">
      <c r="K347" s="59">
        <f>M312</f>
        <v>0</v>
      </c>
      <c r="L347" s="59">
        <f>N312</f>
        <v>0</v>
      </c>
      <c r="M347" s="40">
        <f>K312</f>
        <v>0</v>
      </c>
      <c r="N347" s="59">
        <f>L312</f>
        <v>0</v>
      </c>
      <c r="O347" s="113"/>
      <c r="P347" s="59">
        <f>R312</f>
        <v>0</v>
      </c>
      <c r="Q347" s="59">
        <f>S312</f>
        <v>0</v>
      </c>
      <c r="R347" s="40">
        <f>P312</f>
        <v>1</v>
      </c>
      <c r="S347" s="59">
        <f>Q312</f>
        <v>0</v>
      </c>
      <c r="T347" s="113"/>
      <c r="U347" s="113"/>
      <c r="V347" s="113"/>
    </row>
    <row r="348" spans="1:51" ht="9.9499999999999993" customHeight="1" x14ac:dyDescent="0.25">
      <c r="K348" s="59">
        <f t="shared" ref="K348:K353" si="337">M313</f>
        <v>0</v>
      </c>
      <c r="L348" s="59">
        <f t="shared" ref="L348:L353" si="338">N313</f>
        <v>0</v>
      </c>
      <c r="M348" s="40">
        <f t="shared" ref="M348:M353" si="339">K313</f>
        <v>0</v>
      </c>
      <c r="N348" s="59">
        <f t="shared" ref="N348:N353" si="340">L313</f>
        <v>0</v>
      </c>
      <c r="O348" s="113"/>
      <c r="P348" s="59">
        <f t="shared" ref="P348:P353" si="341">R313</f>
        <v>0</v>
      </c>
      <c r="Q348" s="59">
        <f t="shared" ref="Q348:Q353" si="342">S313</f>
        <v>0</v>
      </c>
      <c r="R348" s="40">
        <f t="shared" ref="R348:R353" si="343">P313</f>
        <v>1</v>
      </c>
      <c r="S348" s="59">
        <f t="shared" ref="S348:S353" si="344">Q313</f>
        <v>0</v>
      </c>
      <c r="T348" s="113"/>
      <c r="U348" s="113"/>
      <c r="V348" s="113"/>
    </row>
    <row r="349" spans="1:51" ht="9.9499999999999993" customHeight="1" x14ac:dyDescent="0.25">
      <c r="K349" s="59">
        <f t="shared" si="337"/>
        <v>1</v>
      </c>
      <c r="L349" s="59">
        <f t="shared" si="338"/>
        <v>1</v>
      </c>
      <c r="M349" s="40">
        <f t="shared" si="339"/>
        <v>0</v>
      </c>
      <c r="N349" s="59">
        <f t="shared" si="340"/>
        <v>1</v>
      </c>
      <c r="O349" s="113"/>
      <c r="P349" s="59">
        <f t="shared" si="341"/>
        <v>1</v>
      </c>
      <c r="Q349" s="59">
        <f t="shared" si="342"/>
        <v>1</v>
      </c>
      <c r="R349" s="40">
        <f t="shared" si="343"/>
        <v>1</v>
      </c>
      <c r="S349" s="59">
        <f t="shared" si="344"/>
        <v>1</v>
      </c>
      <c r="T349" s="113"/>
      <c r="U349" s="113"/>
      <c r="V349" s="113"/>
    </row>
    <row r="350" spans="1:51" ht="9.9499999999999993" customHeight="1" x14ac:dyDescent="0.25">
      <c r="K350" s="59">
        <f t="shared" si="337"/>
        <v>0</v>
      </c>
      <c r="L350" s="59">
        <f t="shared" si="338"/>
        <v>0</v>
      </c>
      <c r="M350" s="40">
        <f t="shared" si="339"/>
        <v>1</v>
      </c>
      <c r="N350" s="59">
        <f t="shared" si="340"/>
        <v>0</v>
      </c>
      <c r="O350" s="113"/>
      <c r="P350" s="59">
        <f t="shared" si="341"/>
        <v>0</v>
      </c>
      <c r="Q350" s="59">
        <f t="shared" si="342"/>
        <v>1</v>
      </c>
      <c r="R350" s="40">
        <f t="shared" si="343"/>
        <v>1</v>
      </c>
      <c r="S350" s="59">
        <f t="shared" si="344"/>
        <v>1</v>
      </c>
      <c r="T350" s="113"/>
      <c r="U350" s="113"/>
      <c r="V350" s="113"/>
    </row>
    <row r="351" spans="1:51" ht="9.9499999999999993" customHeight="1" x14ac:dyDescent="0.25">
      <c r="K351" s="59">
        <f t="shared" si="337"/>
        <v>1</v>
      </c>
      <c r="L351" s="59">
        <f t="shared" si="338"/>
        <v>0</v>
      </c>
      <c r="M351" s="40">
        <f t="shared" si="339"/>
        <v>0</v>
      </c>
      <c r="N351" s="59">
        <f t="shared" si="340"/>
        <v>0</v>
      </c>
      <c r="O351" s="113"/>
      <c r="P351" s="59">
        <f t="shared" si="341"/>
        <v>1</v>
      </c>
      <c r="Q351" s="59">
        <f t="shared" si="342"/>
        <v>0</v>
      </c>
      <c r="R351" s="40">
        <f t="shared" si="343"/>
        <v>1</v>
      </c>
      <c r="S351" s="59">
        <f t="shared" si="344"/>
        <v>0</v>
      </c>
      <c r="T351" s="113"/>
      <c r="U351" s="113"/>
      <c r="V351" s="113"/>
    </row>
    <row r="352" spans="1:51" ht="9.9499999999999993" customHeight="1" x14ac:dyDescent="0.25">
      <c r="K352" s="59">
        <f t="shared" si="337"/>
        <v>1</v>
      </c>
      <c r="L352" s="59">
        <f t="shared" si="338"/>
        <v>1</v>
      </c>
      <c r="M352" s="40">
        <f t="shared" si="339"/>
        <v>1</v>
      </c>
      <c r="N352" s="59">
        <f t="shared" si="340"/>
        <v>1</v>
      </c>
      <c r="O352" s="113"/>
      <c r="P352" s="59">
        <f t="shared" si="341"/>
        <v>1</v>
      </c>
      <c r="Q352" s="59">
        <f t="shared" si="342"/>
        <v>0</v>
      </c>
      <c r="R352" s="40">
        <f t="shared" si="343"/>
        <v>1</v>
      </c>
      <c r="S352" s="59">
        <f t="shared" si="344"/>
        <v>0</v>
      </c>
      <c r="T352" s="113"/>
      <c r="U352" s="113"/>
      <c r="V352" s="113"/>
    </row>
    <row r="353" spans="3:22" ht="9.9499999999999993" customHeight="1" x14ac:dyDescent="0.25">
      <c r="K353" s="59">
        <f t="shared" si="337"/>
        <v>1</v>
      </c>
      <c r="L353" s="59">
        <f t="shared" si="338"/>
        <v>0</v>
      </c>
      <c r="M353" s="40">
        <f t="shared" si="339"/>
        <v>0</v>
      </c>
      <c r="N353" s="59">
        <f t="shared" si="340"/>
        <v>1</v>
      </c>
      <c r="O353" s="113"/>
      <c r="P353" s="59">
        <f t="shared" si="341"/>
        <v>0</v>
      </c>
      <c r="Q353" s="59">
        <f t="shared" si="342"/>
        <v>0</v>
      </c>
      <c r="R353" s="40">
        <f t="shared" si="343"/>
        <v>1</v>
      </c>
      <c r="S353" s="59">
        <f t="shared" si="344"/>
        <v>0</v>
      </c>
      <c r="T353" s="113"/>
      <c r="U353" s="113"/>
      <c r="V353" s="113"/>
    </row>
    <row r="354" spans="3:22" ht="9.9499999999999993" customHeight="1" x14ac:dyDescent="0.25"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</row>
    <row r="355" spans="3:22" ht="9.9499999999999993" customHeight="1" x14ac:dyDescent="0.25">
      <c r="K355" s="113"/>
      <c r="L355" s="113">
        <v>1</v>
      </c>
      <c r="M355" s="113">
        <v>2</v>
      </c>
      <c r="N355" s="113">
        <v>3</v>
      </c>
      <c r="O355" s="113">
        <v>4</v>
      </c>
      <c r="P355" s="113">
        <v>5</v>
      </c>
      <c r="Q355" s="113">
        <v>6</v>
      </c>
      <c r="R355" s="113">
        <v>7</v>
      </c>
      <c r="S355" s="113">
        <v>8</v>
      </c>
      <c r="T355" s="113"/>
      <c r="U355" s="113"/>
      <c r="V355" s="113"/>
    </row>
    <row r="356" spans="3:22" ht="9.9499999999999993" customHeight="1" x14ac:dyDescent="0.25">
      <c r="K356" s="113">
        <v>1</v>
      </c>
      <c r="L356" s="60">
        <f>K347</f>
        <v>0</v>
      </c>
      <c r="M356" s="60">
        <f>L347</f>
        <v>0</v>
      </c>
      <c r="N356" s="37">
        <f>M347</f>
        <v>0</v>
      </c>
      <c r="O356" s="60">
        <f>N347</f>
        <v>0</v>
      </c>
      <c r="P356" s="60">
        <f>P347</f>
        <v>0</v>
      </c>
      <c r="Q356" s="60">
        <f>Q347</f>
        <v>0</v>
      </c>
      <c r="R356" s="37">
        <f>R347</f>
        <v>1</v>
      </c>
      <c r="S356" s="60">
        <f>S347</f>
        <v>0</v>
      </c>
      <c r="T356" s="113">
        <v>8</v>
      </c>
      <c r="U356" s="113"/>
      <c r="V356" s="113"/>
    </row>
    <row r="357" spans="3:22" ht="9.9499999999999993" customHeight="1" x14ac:dyDescent="0.25">
      <c r="K357" s="113">
        <v>9</v>
      </c>
      <c r="L357" s="60">
        <f t="shared" ref="L357:L362" si="345">K348</f>
        <v>0</v>
      </c>
      <c r="M357" s="60">
        <f t="shared" ref="M357:M362" si="346">L348</f>
        <v>0</v>
      </c>
      <c r="N357" s="37">
        <f t="shared" ref="N357:N362" si="347">M348</f>
        <v>0</v>
      </c>
      <c r="O357" s="60">
        <f t="shared" ref="O357:O362" si="348">N348</f>
        <v>0</v>
      </c>
      <c r="P357" s="60">
        <f t="shared" ref="P357:S357" si="349">P348</f>
        <v>0</v>
      </c>
      <c r="Q357" s="60">
        <f t="shared" si="349"/>
        <v>0</v>
      </c>
      <c r="R357" s="37">
        <f t="shared" si="349"/>
        <v>1</v>
      </c>
      <c r="S357" s="60">
        <f t="shared" si="349"/>
        <v>0</v>
      </c>
      <c r="T357" s="113">
        <v>16</v>
      </c>
      <c r="U357" s="113"/>
      <c r="V357" s="113"/>
    </row>
    <row r="358" spans="3:22" ht="9.9499999999999993" customHeight="1" x14ac:dyDescent="0.25">
      <c r="K358" s="113">
        <v>17</v>
      </c>
      <c r="L358" s="60">
        <f t="shared" si="345"/>
        <v>1</v>
      </c>
      <c r="M358" s="60">
        <f t="shared" si="346"/>
        <v>1</v>
      </c>
      <c r="N358" s="37">
        <f t="shared" si="347"/>
        <v>0</v>
      </c>
      <c r="O358" s="60">
        <f t="shared" si="348"/>
        <v>1</v>
      </c>
      <c r="P358" s="60">
        <f t="shared" ref="P358:S358" si="350">P349</f>
        <v>1</v>
      </c>
      <c r="Q358" s="60">
        <f t="shared" si="350"/>
        <v>1</v>
      </c>
      <c r="R358" s="37">
        <f t="shared" si="350"/>
        <v>1</v>
      </c>
      <c r="S358" s="60">
        <f t="shared" si="350"/>
        <v>1</v>
      </c>
      <c r="T358" s="113">
        <v>24</v>
      </c>
      <c r="U358" s="113"/>
      <c r="V358" s="113"/>
    </row>
    <row r="359" spans="3:22" ht="9.9499999999999993" customHeight="1" x14ac:dyDescent="0.25">
      <c r="K359" s="113">
        <v>25</v>
      </c>
      <c r="L359" s="60">
        <f t="shared" si="345"/>
        <v>0</v>
      </c>
      <c r="M359" s="60">
        <f t="shared" si="346"/>
        <v>0</v>
      </c>
      <c r="N359" s="37">
        <f t="shared" si="347"/>
        <v>1</v>
      </c>
      <c r="O359" s="60">
        <f t="shared" si="348"/>
        <v>0</v>
      </c>
      <c r="P359" s="60">
        <f t="shared" ref="P359:S359" si="351">P350</f>
        <v>0</v>
      </c>
      <c r="Q359" s="60">
        <f t="shared" si="351"/>
        <v>1</v>
      </c>
      <c r="R359" s="37">
        <f t="shared" si="351"/>
        <v>1</v>
      </c>
      <c r="S359" s="60">
        <f t="shared" si="351"/>
        <v>1</v>
      </c>
      <c r="T359" s="113">
        <v>32</v>
      </c>
      <c r="U359" s="113"/>
      <c r="V359" s="113"/>
    </row>
    <row r="360" spans="3:22" ht="9.9499999999999993" customHeight="1" x14ac:dyDescent="0.25">
      <c r="K360" s="113">
        <v>33</v>
      </c>
      <c r="L360" s="60">
        <f t="shared" si="345"/>
        <v>1</v>
      </c>
      <c r="M360" s="60">
        <f t="shared" si="346"/>
        <v>0</v>
      </c>
      <c r="N360" s="37">
        <f t="shared" si="347"/>
        <v>0</v>
      </c>
      <c r="O360" s="60">
        <f t="shared" si="348"/>
        <v>0</v>
      </c>
      <c r="P360" s="60">
        <f t="shared" ref="P360:S360" si="352">P351</f>
        <v>1</v>
      </c>
      <c r="Q360" s="60">
        <f t="shared" si="352"/>
        <v>0</v>
      </c>
      <c r="R360" s="37">
        <f t="shared" si="352"/>
        <v>1</v>
      </c>
      <c r="S360" s="60">
        <f t="shared" si="352"/>
        <v>0</v>
      </c>
      <c r="T360" s="113">
        <v>40</v>
      </c>
      <c r="U360" s="113"/>
      <c r="V360" s="113"/>
    </row>
    <row r="361" spans="3:22" ht="9.9499999999999993" customHeight="1" x14ac:dyDescent="0.25">
      <c r="K361" s="113">
        <v>41</v>
      </c>
      <c r="L361" s="60">
        <f t="shared" si="345"/>
        <v>1</v>
      </c>
      <c r="M361" s="60">
        <f t="shared" si="346"/>
        <v>1</v>
      </c>
      <c r="N361" s="37">
        <f t="shared" si="347"/>
        <v>1</v>
      </c>
      <c r="O361" s="60">
        <f t="shared" si="348"/>
        <v>1</v>
      </c>
      <c r="P361" s="60">
        <f t="shared" ref="P361:S361" si="353">P352</f>
        <v>1</v>
      </c>
      <c r="Q361" s="60">
        <f t="shared" si="353"/>
        <v>0</v>
      </c>
      <c r="R361" s="37">
        <f t="shared" si="353"/>
        <v>1</v>
      </c>
      <c r="S361" s="60">
        <f t="shared" si="353"/>
        <v>0</v>
      </c>
      <c r="T361" s="113">
        <v>48</v>
      </c>
      <c r="U361" s="113"/>
      <c r="V361" s="113"/>
    </row>
    <row r="362" spans="3:22" ht="9.9499999999999993" customHeight="1" x14ac:dyDescent="0.25">
      <c r="K362" s="113">
        <v>49</v>
      </c>
      <c r="L362" s="60">
        <f t="shared" si="345"/>
        <v>1</v>
      </c>
      <c r="M362" s="60">
        <f t="shared" si="346"/>
        <v>0</v>
      </c>
      <c r="N362" s="37">
        <f t="shared" si="347"/>
        <v>0</v>
      </c>
      <c r="O362" s="60">
        <f t="shared" si="348"/>
        <v>1</v>
      </c>
      <c r="P362" s="60">
        <f t="shared" ref="P362:S362" si="354">P353</f>
        <v>0</v>
      </c>
      <c r="Q362" s="60">
        <f t="shared" si="354"/>
        <v>0</v>
      </c>
      <c r="R362" s="37">
        <f t="shared" si="354"/>
        <v>1</v>
      </c>
      <c r="S362" s="60">
        <f t="shared" si="354"/>
        <v>0</v>
      </c>
      <c r="T362" s="113">
        <v>56</v>
      </c>
      <c r="U362" s="113"/>
      <c r="V362" s="113"/>
    </row>
    <row r="363" spans="3:22" ht="9.9499999999999993" customHeight="1" x14ac:dyDescent="0.25">
      <c r="D363" s="46" t="s">
        <v>514</v>
      </c>
      <c r="U363" s="113"/>
      <c r="V363" s="113"/>
    </row>
    <row r="364" spans="3:22" ht="9.9499999999999993" customHeight="1" x14ac:dyDescent="0.25">
      <c r="D364" s="21">
        <v>1</v>
      </c>
      <c r="E364" s="21">
        <v>2</v>
      </c>
      <c r="F364" s="21">
        <v>3</v>
      </c>
      <c r="G364" s="21">
        <v>4</v>
      </c>
      <c r="H364" s="21">
        <v>5</v>
      </c>
      <c r="I364" s="21">
        <v>6</v>
      </c>
      <c r="L364" s="21">
        <v>1</v>
      </c>
      <c r="M364" s="21">
        <v>2</v>
      </c>
      <c r="N364" s="21">
        <v>3</v>
      </c>
      <c r="O364" s="21">
        <v>4</v>
      </c>
      <c r="P364" s="21">
        <v>5</v>
      </c>
      <c r="Q364" s="21">
        <v>6</v>
      </c>
    </row>
    <row r="365" spans="3:22" ht="9.9499999999999993" customHeight="1" x14ac:dyDescent="0.25">
      <c r="C365" s="21">
        <v>1</v>
      </c>
      <c r="D365" s="29">
        <v>14</v>
      </c>
      <c r="E365" s="54">
        <v>17</v>
      </c>
      <c r="F365" s="29">
        <v>11</v>
      </c>
      <c r="G365" s="55">
        <v>24</v>
      </c>
      <c r="H365" s="29">
        <v>1</v>
      </c>
      <c r="I365" s="27">
        <v>5</v>
      </c>
      <c r="L365" s="39">
        <f>Q357</f>
        <v>0</v>
      </c>
      <c r="M365" s="39">
        <f>L358</f>
        <v>1</v>
      </c>
      <c r="N365" s="39">
        <f>N357</f>
        <v>0</v>
      </c>
      <c r="O365" s="39">
        <f>S358</f>
        <v>1</v>
      </c>
      <c r="P365" s="39">
        <f>L356</f>
        <v>0</v>
      </c>
      <c r="Q365" s="39">
        <f>P356</f>
        <v>0</v>
      </c>
      <c r="R365" s="21">
        <v>6</v>
      </c>
    </row>
    <row r="366" spans="3:22" ht="9.9499999999999993" customHeight="1" x14ac:dyDescent="0.25">
      <c r="C366" s="21">
        <v>2</v>
      </c>
      <c r="D366" s="29">
        <v>3</v>
      </c>
      <c r="E366" s="54">
        <v>28</v>
      </c>
      <c r="F366" s="29">
        <v>15</v>
      </c>
      <c r="G366" s="55">
        <v>6</v>
      </c>
      <c r="H366" s="29">
        <v>21</v>
      </c>
      <c r="I366" s="27">
        <v>10</v>
      </c>
      <c r="K366" s="21">
        <v>7</v>
      </c>
      <c r="L366" s="39">
        <f>N356</f>
        <v>0</v>
      </c>
      <c r="M366" s="39">
        <f>O359</f>
        <v>0</v>
      </c>
      <c r="N366" s="39">
        <f>R357</f>
        <v>1</v>
      </c>
      <c r="O366" s="39">
        <f>Q356</f>
        <v>0</v>
      </c>
      <c r="P366" s="39">
        <f>P358</f>
        <v>1</v>
      </c>
      <c r="Q366" s="39">
        <f>M357</f>
        <v>0</v>
      </c>
      <c r="R366" s="21">
        <v>12</v>
      </c>
    </row>
    <row r="367" spans="3:22" ht="9.9499999999999993" customHeight="1" x14ac:dyDescent="0.25">
      <c r="C367" s="21">
        <v>3</v>
      </c>
      <c r="D367" s="29">
        <v>23</v>
      </c>
      <c r="E367" s="54">
        <v>19</v>
      </c>
      <c r="F367" s="29">
        <v>12</v>
      </c>
      <c r="G367" s="55">
        <v>4</v>
      </c>
      <c r="H367" s="29">
        <v>26</v>
      </c>
      <c r="I367" s="27">
        <v>8</v>
      </c>
      <c r="K367" s="56">
        <v>13</v>
      </c>
      <c r="L367" s="22">
        <f>R358</f>
        <v>1</v>
      </c>
      <c r="M367" s="22">
        <f>N358</f>
        <v>0</v>
      </c>
      <c r="N367" s="22">
        <f>O357</f>
        <v>0</v>
      </c>
      <c r="O367" s="22">
        <f>O356</f>
        <v>0</v>
      </c>
      <c r="P367" s="22">
        <f>M359</f>
        <v>0</v>
      </c>
      <c r="Q367" s="22">
        <f>S356</f>
        <v>0</v>
      </c>
      <c r="R367" s="56">
        <v>18</v>
      </c>
    </row>
    <row r="368" spans="3:22" ht="9.9499999999999993" customHeight="1" x14ac:dyDescent="0.25">
      <c r="C368" s="21">
        <v>4</v>
      </c>
      <c r="D368" s="29">
        <v>16</v>
      </c>
      <c r="E368" s="54">
        <v>7</v>
      </c>
      <c r="F368" s="29">
        <v>27</v>
      </c>
      <c r="G368" s="55">
        <v>20</v>
      </c>
      <c r="H368" s="29">
        <v>13</v>
      </c>
      <c r="I368" s="27">
        <v>2</v>
      </c>
      <c r="K368" s="21">
        <v>19</v>
      </c>
      <c r="L368" s="39">
        <f>S357</f>
        <v>0</v>
      </c>
      <c r="M368" s="39">
        <f>R356</f>
        <v>1</v>
      </c>
      <c r="N368" s="39">
        <f>N359</f>
        <v>1</v>
      </c>
      <c r="O368" s="39">
        <f>O358</f>
        <v>1</v>
      </c>
      <c r="P368" s="39">
        <f>P357</f>
        <v>0</v>
      </c>
      <c r="Q368" s="39">
        <f>M356</f>
        <v>0</v>
      </c>
      <c r="R368" s="21">
        <v>24</v>
      </c>
    </row>
    <row r="369" spans="1:51" ht="9.9499999999999993" customHeight="1" x14ac:dyDescent="0.25">
      <c r="C369" s="21">
        <v>5</v>
      </c>
      <c r="D369" s="29">
        <v>41</v>
      </c>
      <c r="E369" s="54">
        <v>52</v>
      </c>
      <c r="F369" s="29">
        <v>31</v>
      </c>
      <c r="G369" s="55">
        <v>37</v>
      </c>
      <c r="H369" s="29">
        <v>47</v>
      </c>
      <c r="I369" s="27">
        <v>55</v>
      </c>
      <c r="K369" s="57">
        <v>25</v>
      </c>
      <c r="L369" s="58">
        <f>L361</f>
        <v>1</v>
      </c>
      <c r="M369" s="58">
        <f>O362</f>
        <v>1</v>
      </c>
      <c r="N369" s="58">
        <f>R359</f>
        <v>1</v>
      </c>
      <c r="O369" s="58">
        <f>P360</f>
        <v>1</v>
      </c>
      <c r="P369" s="58">
        <f>R361</f>
        <v>1</v>
      </c>
      <c r="Q369" s="58">
        <f>R362</f>
        <v>1</v>
      </c>
      <c r="R369" s="57">
        <v>30</v>
      </c>
    </row>
    <row r="370" spans="1:51" ht="9.9499999999999993" customHeight="1" x14ac:dyDescent="0.25">
      <c r="C370" s="21">
        <v>6</v>
      </c>
      <c r="D370" s="29">
        <v>30</v>
      </c>
      <c r="E370" s="54">
        <v>40</v>
      </c>
      <c r="F370" s="29">
        <v>51</v>
      </c>
      <c r="G370" s="55">
        <v>45</v>
      </c>
      <c r="H370" s="29">
        <v>33</v>
      </c>
      <c r="I370" s="27">
        <v>48</v>
      </c>
      <c r="K370" s="21">
        <v>31</v>
      </c>
      <c r="L370" s="39">
        <f>Q359</f>
        <v>1</v>
      </c>
      <c r="M370" s="39">
        <f>S360</f>
        <v>0</v>
      </c>
      <c r="N370" s="39">
        <f>N362</f>
        <v>0</v>
      </c>
      <c r="O370" s="39">
        <f>P361</f>
        <v>1</v>
      </c>
      <c r="P370" s="39">
        <f>L360</f>
        <v>1</v>
      </c>
      <c r="Q370" s="39">
        <f>S361</f>
        <v>0</v>
      </c>
      <c r="R370" s="21">
        <v>36</v>
      </c>
    </row>
    <row r="371" spans="1:51" ht="9.9499999999999993" customHeight="1" x14ac:dyDescent="0.25">
      <c r="C371" s="21">
        <v>7</v>
      </c>
      <c r="D371" s="29">
        <v>44</v>
      </c>
      <c r="E371" s="54">
        <v>49</v>
      </c>
      <c r="F371" s="29">
        <v>39</v>
      </c>
      <c r="G371" s="55">
        <v>56</v>
      </c>
      <c r="H371" s="29">
        <v>34</v>
      </c>
      <c r="I371" s="27">
        <v>53</v>
      </c>
      <c r="K371" s="50">
        <v>37</v>
      </c>
      <c r="L371" s="27">
        <f>O361</f>
        <v>1</v>
      </c>
      <c r="M371" s="27">
        <f>L362</f>
        <v>1</v>
      </c>
      <c r="N371" s="27">
        <f>R360</f>
        <v>1</v>
      </c>
      <c r="O371" s="27">
        <f>S362</f>
        <v>0</v>
      </c>
      <c r="P371" s="27">
        <f>M360</f>
        <v>0</v>
      </c>
      <c r="Q371" s="27">
        <f>P362</f>
        <v>0</v>
      </c>
      <c r="R371" s="50">
        <v>42</v>
      </c>
    </row>
    <row r="372" spans="1:51" ht="9.9499999999999993" customHeight="1" x14ac:dyDescent="0.25">
      <c r="C372" s="21">
        <v>8</v>
      </c>
      <c r="D372" s="29">
        <v>46</v>
      </c>
      <c r="E372" s="54">
        <v>42</v>
      </c>
      <c r="F372" s="29">
        <v>50</v>
      </c>
      <c r="G372" s="55">
        <v>36</v>
      </c>
      <c r="H372" s="29">
        <v>29</v>
      </c>
      <c r="I372" s="27">
        <v>32</v>
      </c>
      <c r="K372" s="21">
        <v>43</v>
      </c>
      <c r="L372" s="39">
        <f>Q361</f>
        <v>0</v>
      </c>
      <c r="M372" s="39">
        <f>M361</f>
        <v>1</v>
      </c>
      <c r="N372" s="39">
        <f>M362</f>
        <v>0</v>
      </c>
      <c r="O372" s="39">
        <f>O360</f>
        <v>0</v>
      </c>
      <c r="P372" s="39">
        <f>P359</f>
        <v>0</v>
      </c>
      <c r="Q372" s="39">
        <f>S359</f>
        <v>1</v>
      </c>
      <c r="R372" s="21">
        <v>48</v>
      </c>
    </row>
    <row r="374" spans="1:51" ht="9.9499999999999993" customHeight="1" x14ac:dyDescent="0.25">
      <c r="A374" s="51"/>
      <c r="B374" s="51" t="s">
        <v>568</v>
      </c>
      <c r="C374" s="51"/>
      <c r="D374" s="52">
        <v>1</v>
      </c>
      <c r="E374" s="52">
        <v>2</v>
      </c>
      <c r="F374" s="52">
        <v>3</v>
      </c>
      <c r="G374" s="52">
        <v>4</v>
      </c>
      <c r="H374" s="52">
        <v>5</v>
      </c>
      <c r="I374" s="52">
        <v>6</v>
      </c>
      <c r="J374" s="52">
        <v>7</v>
      </c>
      <c r="K374" s="52">
        <v>8</v>
      </c>
      <c r="L374" s="52">
        <v>9</v>
      </c>
      <c r="M374" s="52">
        <v>10</v>
      </c>
      <c r="N374" s="52">
        <v>11</v>
      </c>
      <c r="O374" s="52">
        <v>12</v>
      </c>
      <c r="P374" s="52">
        <v>13</v>
      </c>
      <c r="Q374" s="52">
        <v>14</v>
      </c>
      <c r="R374" s="52">
        <v>15</v>
      </c>
      <c r="S374" s="52">
        <v>16</v>
      </c>
      <c r="T374" s="52">
        <v>17</v>
      </c>
      <c r="U374" s="52">
        <v>18</v>
      </c>
      <c r="V374" s="52">
        <v>19</v>
      </c>
      <c r="W374" s="52">
        <v>20</v>
      </c>
      <c r="X374" s="52">
        <v>21</v>
      </c>
      <c r="Y374" s="52">
        <v>22</v>
      </c>
      <c r="Z374" s="52">
        <v>23</v>
      </c>
      <c r="AA374" s="52">
        <v>24</v>
      </c>
      <c r="AB374" s="52">
        <v>25</v>
      </c>
      <c r="AC374" s="52">
        <v>26</v>
      </c>
      <c r="AD374" s="52">
        <v>27</v>
      </c>
      <c r="AE374" s="52">
        <v>28</v>
      </c>
      <c r="AF374" s="52">
        <v>29</v>
      </c>
      <c r="AG374" s="52">
        <v>30</v>
      </c>
      <c r="AH374" s="52">
        <v>31</v>
      </c>
      <c r="AI374" s="52">
        <v>32</v>
      </c>
      <c r="AJ374" s="52">
        <v>33</v>
      </c>
      <c r="AK374" s="52">
        <v>34</v>
      </c>
      <c r="AL374" s="52">
        <v>35</v>
      </c>
      <c r="AM374" s="52">
        <v>36</v>
      </c>
      <c r="AN374" s="52">
        <v>37</v>
      </c>
      <c r="AO374" s="52">
        <v>38</v>
      </c>
      <c r="AP374" s="52">
        <v>39</v>
      </c>
      <c r="AQ374" s="52">
        <v>40</v>
      </c>
      <c r="AR374" s="52">
        <v>41</v>
      </c>
      <c r="AS374" s="52">
        <v>42</v>
      </c>
      <c r="AT374" s="52">
        <v>43</v>
      </c>
      <c r="AU374" s="52">
        <v>44</v>
      </c>
      <c r="AV374" s="52">
        <v>45</v>
      </c>
      <c r="AW374" s="52">
        <v>46</v>
      </c>
      <c r="AX374" s="52">
        <v>47</v>
      </c>
      <c r="AY374" s="52">
        <v>48</v>
      </c>
    </row>
    <row r="375" spans="1:51" ht="9.9499999999999993" customHeight="1" x14ac:dyDescent="0.25">
      <c r="D375" s="52">
        <f t="shared" ref="D375" si="355">L365</f>
        <v>0</v>
      </c>
      <c r="E375" s="52">
        <f t="shared" ref="E375" si="356">M365</f>
        <v>1</v>
      </c>
      <c r="F375" s="52">
        <f t="shared" ref="F375" si="357">N365</f>
        <v>0</v>
      </c>
      <c r="G375" s="52">
        <f t="shared" ref="G375" si="358">O365</f>
        <v>1</v>
      </c>
      <c r="H375" s="52">
        <f t="shared" ref="H375" si="359">P365</f>
        <v>0</v>
      </c>
      <c r="I375" s="52">
        <f t="shared" ref="I375" si="360">Q365</f>
        <v>0</v>
      </c>
      <c r="J375" s="52">
        <f t="shared" ref="J375" si="361">L366</f>
        <v>0</v>
      </c>
      <c r="K375" s="52">
        <f t="shared" ref="K375" si="362">M366</f>
        <v>0</v>
      </c>
      <c r="L375" s="52">
        <f t="shared" ref="L375" si="363">N366</f>
        <v>1</v>
      </c>
      <c r="M375" s="52">
        <f t="shared" ref="M375" si="364">O366</f>
        <v>0</v>
      </c>
      <c r="N375" s="52">
        <f t="shared" ref="N375" si="365">P366</f>
        <v>1</v>
      </c>
      <c r="O375" s="52">
        <f t="shared" ref="O375" si="366">Q366</f>
        <v>0</v>
      </c>
      <c r="P375" s="52">
        <f t="shared" ref="P375" si="367">L367</f>
        <v>1</v>
      </c>
      <c r="Q375" s="52">
        <f t="shared" ref="Q375" si="368">M367</f>
        <v>0</v>
      </c>
      <c r="R375" s="52">
        <f t="shared" ref="R375" si="369">N367</f>
        <v>0</v>
      </c>
      <c r="S375" s="52">
        <f t="shared" ref="S375" si="370">O367</f>
        <v>0</v>
      </c>
      <c r="T375" s="52">
        <f t="shared" ref="T375" si="371">P367</f>
        <v>0</v>
      </c>
      <c r="U375" s="52">
        <f t="shared" ref="U375" si="372">Q367</f>
        <v>0</v>
      </c>
      <c r="V375" s="52">
        <f t="shared" ref="V375" si="373">L368</f>
        <v>0</v>
      </c>
      <c r="W375" s="52">
        <f t="shared" ref="W375" si="374">M368</f>
        <v>1</v>
      </c>
      <c r="X375" s="52">
        <f t="shared" ref="X375" si="375">N368</f>
        <v>1</v>
      </c>
      <c r="Y375" s="52">
        <f t="shared" ref="Y375" si="376">O368</f>
        <v>1</v>
      </c>
      <c r="Z375" s="52">
        <f t="shared" ref="Z375" si="377">P368</f>
        <v>0</v>
      </c>
      <c r="AA375" s="52">
        <f t="shared" ref="AA375" si="378">Q368</f>
        <v>0</v>
      </c>
      <c r="AB375" s="52">
        <f t="shared" ref="AB375" si="379">L369</f>
        <v>1</v>
      </c>
      <c r="AC375" s="52">
        <f t="shared" ref="AC375" si="380">M369</f>
        <v>1</v>
      </c>
      <c r="AD375" s="52">
        <f t="shared" ref="AD375" si="381">N369</f>
        <v>1</v>
      </c>
      <c r="AE375" s="52">
        <f t="shared" ref="AE375" si="382">O369</f>
        <v>1</v>
      </c>
      <c r="AF375" s="52">
        <f t="shared" ref="AF375" si="383">P369</f>
        <v>1</v>
      </c>
      <c r="AG375" s="52">
        <f t="shared" ref="AG375" si="384">Q369</f>
        <v>1</v>
      </c>
      <c r="AH375" s="52">
        <f t="shared" ref="AH375" si="385">L370</f>
        <v>1</v>
      </c>
      <c r="AI375" s="52">
        <f t="shared" ref="AI375" si="386">M370</f>
        <v>0</v>
      </c>
      <c r="AJ375" s="52">
        <f t="shared" ref="AJ375" si="387">N370</f>
        <v>0</v>
      </c>
      <c r="AK375" s="52">
        <f t="shared" ref="AK375" si="388">O370</f>
        <v>1</v>
      </c>
      <c r="AL375" s="52">
        <f t="shared" ref="AL375" si="389">P370</f>
        <v>1</v>
      </c>
      <c r="AM375" s="52">
        <f t="shared" ref="AM375" si="390">Q370</f>
        <v>0</v>
      </c>
      <c r="AN375" s="52">
        <f t="shared" ref="AN375" si="391">L371</f>
        <v>1</v>
      </c>
      <c r="AO375" s="52">
        <f t="shared" ref="AO375" si="392">M371</f>
        <v>1</v>
      </c>
      <c r="AP375" s="52">
        <f t="shared" ref="AP375" si="393">N371</f>
        <v>1</v>
      </c>
      <c r="AQ375" s="52">
        <f t="shared" ref="AQ375" si="394">O371</f>
        <v>0</v>
      </c>
      <c r="AR375" s="52">
        <f t="shared" ref="AR375" si="395">P371</f>
        <v>0</v>
      </c>
      <c r="AS375" s="52">
        <f t="shared" ref="AS375" si="396">Q371</f>
        <v>0</v>
      </c>
      <c r="AT375" s="52">
        <f t="shared" ref="AT375" si="397">L372</f>
        <v>0</v>
      </c>
      <c r="AU375" s="52">
        <f t="shared" ref="AU375" si="398">M372</f>
        <v>1</v>
      </c>
      <c r="AV375" s="52">
        <f t="shared" ref="AV375" si="399">N372</f>
        <v>0</v>
      </c>
      <c r="AW375" s="52">
        <f t="shared" ref="AW375" si="400">O372</f>
        <v>0</v>
      </c>
      <c r="AX375" s="52">
        <f t="shared" ref="AX375" si="401">P372</f>
        <v>0</v>
      </c>
      <c r="AY375" s="52">
        <f t="shared" ref="AY375" si="402">Q372</f>
        <v>1</v>
      </c>
    </row>
    <row r="377" spans="1:51" ht="9.9499999999999993" customHeight="1" x14ac:dyDescent="0.25">
      <c r="G377" s="38" t="s">
        <v>519</v>
      </c>
    </row>
    <row r="381" spans="1:51" ht="9.9499999999999993" customHeight="1" x14ac:dyDescent="0.25">
      <c r="L381" s="33" t="s">
        <v>569</v>
      </c>
      <c r="Q381" s="34" t="s">
        <v>570</v>
      </c>
    </row>
    <row r="382" spans="1:51" ht="9.9499999999999993" customHeight="1" x14ac:dyDescent="0.25">
      <c r="K382" s="40">
        <f>M347</f>
        <v>0</v>
      </c>
      <c r="L382" s="59">
        <f>N347</f>
        <v>0</v>
      </c>
      <c r="M382" s="59">
        <f>K347</f>
        <v>0</v>
      </c>
      <c r="N382" s="59">
        <f>L347</f>
        <v>0</v>
      </c>
      <c r="O382" s="113"/>
      <c r="P382" s="40">
        <f>R347</f>
        <v>1</v>
      </c>
      <c r="Q382" s="59">
        <f>S347</f>
        <v>0</v>
      </c>
      <c r="R382" s="59">
        <f>P347</f>
        <v>0</v>
      </c>
      <c r="S382" s="59">
        <f>Q347</f>
        <v>0</v>
      </c>
      <c r="T382" s="113"/>
      <c r="U382" s="113"/>
      <c r="V382" s="113"/>
    </row>
    <row r="383" spans="1:51" ht="9.9499999999999993" customHeight="1" x14ac:dyDescent="0.25">
      <c r="K383" s="40">
        <f t="shared" ref="K383:K388" si="403">M348</f>
        <v>0</v>
      </c>
      <c r="L383" s="59">
        <f t="shared" ref="L383:L388" si="404">N348</f>
        <v>0</v>
      </c>
      <c r="M383" s="59">
        <f t="shared" ref="M383:M388" si="405">K348</f>
        <v>0</v>
      </c>
      <c r="N383" s="59">
        <f t="shared" ref="N383:N388" si="406">L348</f>
        <v>0</v>
      </c>
      <c r="O383" s="113"/>
      <c r="P383" s="40">
        <f t="shared" ref="P383:P388" si="407">R348</f>
        <v>1</v>
      </c>
      <c r="Q383" s="59">
        <f t="shared" ref="Q383:Q388" si="408">S348</f>
        <v>0</v>
      </c>
      <c r="R383" s="59">
        <f t="shared" ref="R383:R388" si="409">P348</f>
        <v>0</v>
      </c>
      <c r="S383" s="59">
        <f t="shared" ref="S383:S388" si="410">Q348</f>
        <v>0</v>
      </c>
      <c r="T383" s="113"/>
      <c r="U383" s="113"/>
      <c r="V383" s="113"/>
    </row>
    <row r="384" spans="1:51" ht="9.9499999999999993" customHeight="1" x14ac:dyDescent="0.25">
      <c r="K384" s="40">
        <f t="shared" si="403"/>
        <v>0</v>
      </c>
      <c r="L384" s="59">
        <f t="shared" si="404"/>
        <v>1</v>
      </c>
      <c r="M384" s="59">
        <f t="shared" si="405"/>
        <v>1</v>
      </c>
      <c r="N384" s="59">
        <f t="shared" si="406"/>
        <v>1</v>
      </c>
      <c r="O384" s="113"/>
      <c r="P384" s="40">
        <f t="shared" si="407"/>
        <v>1</v>
      </c>
      <c r="Q384" s="59">
        <f t="shared" si="408"/>
        <v>1</v>
      </c>
      <c r="R384" s="59">
        <f t="shared" si="409"/>
        <v>1</v>
      </c>
      <c r="S384" s="59">
        <f t="shared" si="410"/>
        <v>1</v>
      </c>
      <c r="T384" s="113"/>
      <c r="U384" s="113"/>
      <c r="V384" s="113"/>
    </row>
    <row r="385" spans="3:22" ht="9.9499999999999993" customHeight="1" x14ac:dyDescent="0.25">
      <c r="K385" s="40">
        <f t="shared" si="403"/>
        <v>1</v>
      </c>
      <c r="L385" s="59">
        <f t="shared" si="404"/>
        <v>0</v>
      </c>
      <c r="M385" s="59">
        <f t="shared" si="405"/>
        <v>0</v>
      </c>
      <c r="N385" s="59">
        <f t="shared" si="406"/>
        <v>0</v>
      </c>
      <c r="O385" s="113"/>
      <c r="P385" s="40">
        <f t="shared" si="407"/>
        <v>1</v>
      </c>
      <c r="Q385" s="59">
        <f t="shared" si="408"/>
        <v>1</v>
      </c>
      <c r="R385" s="59">
        <f t="shared" si="409"/>
        <v>0</v>
      </c>
      <c r="S385" s="59">
        <f t="shared" si="410"/>
        <v>1</v>
      </c>
      <c r="T385" s="113"/>
      <c r="U385" s="113"/>
      <c r="V385" s="113"/>
    </row>
    <row r="386" spans="3:22" ht="9.9499999999999993" customHeight="1" x14ac:dyDescent="0.25">
      <c r="K386" s="40">
        <f t="shared" si="403"/>
        <v>0</v>
      </c>
      <c r="L386" s="59">
        <f t="shared" si="404"/>
        <v>0</v>
      </c>
      <c r="M386" s="59">
        <f t="shared" si="405"/>
        <v>1</v>
      </c>
      <c r="N386" s="59">
        <f t="shared" si="406"/>
        <v>0</v>
      </c>
      <c r="O386" s="113"/>
      <c r="P386" s="40">
        <f t="shared" si="407"/>
        <v>1</v>
      </c>
      <c r="Q386" s="59">
        <f t="shared" si="408"/>
        <v>0</v>
      </c>
      <c r="R386" s="59">
        <f t="shared" si="409"/>
        <v>1</v>
      </c>
      <c r="S386" s="59">
        <f t="shared" si="410"/>
        <v>0</v>
      </c>
      <c r="T386" s="113"/>
      <c r="U386" s="113"/>
      <c r="V386" s="113"/>
    </row>
    <row r="387" spans="3:22" ht="9.9499999999999993" customHeight="1" x14ac:dyDescent="0.25">
      <c r="K387" s="40">
        <f t="shared" si="403"/>
        <v>1</v>
      </c>
      <c r="L387" s="59">
        <f t="shared" si="404"/>
        <v>1</v>
      </c>
      <c r="M387" s="59">
        <f t="shared" si="405"/>
        <v>1</v>
      </c>
      <c r="N387" s="59">
        <f t="shared" si="406"/>
        <v>1</v>
      </c>
      <c r="O387" s="113"/>
      <c r="P387" s="40">
        <f t="shared" si="407"/>
        <v>1</v>
      </c>
      <c r="Q387" s="59">
        <f t="shared" si="408"/>
        <v>0</v>
      </c>
      <c r="R387" s="59">
        <f t="shared" si="409"/>
        <v>1</v>
      </c>
      <c r="S387" s="59">
        <f t="shared" si="410"/>
        <v>0</v>
      </c>
      <c r="T387" s="113"/>
      <c r="U387" s="113"/>
      <c r="V387" s="113"/>
    </row>
    <row r="388" spans="3:22" ht="9.9499999999999993" customHeight="1" x14ac:dyDescent="0.25">
      <c r="K388" s="40">
        <f t="shared" si="403"/>
        <v>0</v>
      </c>
      <c r="L388" s="59">
        <f t="shared" si="404"/>
        <v>1</v>
      </c>
      <c r="M388" s="59">
        <f t="shared" si="405"/>
        <v>1</v>
      </c>
      <c r="N388" s="59">
        <f t="shared" si="406"/>
        <v>0</v>
      </c>
      <c r="O388" s="113"/>
      <c r="P388" s="40">
        <f t="shared" si="407"/>
        <v>1</v>
      </c>
      <c r="Q388" s="59">
        <f t="shared" si="408"/>
        <v>0</v>
      </c>
      <c r="R388" s="59">
        <f t="shared" si="409"/>
        <v>0</v>
      </c>
      <c r="S388" s="59">
        <f t="shared" si="410"/>
        <v>0</v>
      </c>
      <c r="T388" s="113"/>
      <c r="U388" s="113"/>
      <c r="V388" s="113"/>
    </row>
    <row r="389" spans="3:22" ht="9.9499999999999993" customHeight="1" x14ac:dyDescent="0.25"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</row>
    <row r="390" spans="3:22" ht="9.9499999999999993" customHeight="1" x14ac:dyDescent="0.25">
      <c r="K390" s="113"/>
      <c r="L390" s="113">
        <v>1</v>
      </c>
      <c r="M390" s="113">
        <v>2</v>
      </c>
      <c r="N390" s="113">
        <v>3</v>
      </c>
      <c r="O390" s="113">
        <v>4</v>
      </c>
      <c r="P390" s="113">
        <v>5</v>
      </c>
      <c r="Q390" s="113">
        <v>6</v>
      </c>
      <c r="R390" s="113">
        <v>7</v>
      </c>
      <c r="S390" s="113">
        <v>8</v>
      </c>
      <c r="T390" s="113"/>
      <c r="U390" s="113"/>
      <c r="V390" s="113"/>
    </row>
    <row r="391" spans="3:22" ht="9.9499999999999993" customHeight="1" x14ac:dyDescent="0.25">
      <c r="K391" s="113">
        <v>1</v>
      </c>
      <c r="L391" s="37">
        <f>K382</f>
        <v>0</v>
      </c>
      <c r="M391" s="60">
        <f>L382</f>
        <v>0</v>
      </c>
      <c r="N391" s="60">
        <f>M382</f>
        <v>0</v>
      </c>
      <c r="O391" s="60">
        <f>N382</f>
        <v>0</v>
      </c>
      <c r="P391" s="37">
        <f>P382</f>
        <v>1</v>
      </c>
      <c r="Q391" s="60">
        <f>Q382</f>
        <v>0</v>
      </c>
      <c r="R391" s="60">
        <f>R382</f>
        <v>0</v>
      </c>
      <c r="S391" s="60">
        <f>S382</f>
        <v>0</v>
      </c>
      <c r="T391" s="113">
        <v>8</v>
      </c>
      <c r="U391" s="113"/>
      <c r="V391" s="113"/>
    </row>
    <row r="392" spans="3:22" ht="9.9499999999999993" customHeight="1" x14ac:dyDescent="0.25">
      <c r="K392" s="113">
        <v>9</v>
      </c>
      <c r="L392" s="37">
        <f t="shared" ref="L392:L397" si="411">K383</f>
        <v>0</v>
      </c>
      <c r="M392" s="60">
        <f t="shared" ref="M392:M397" si="412">L383</f>
        <v>0</v>
      </c>
      <c r="N392" s="60">
        <f t="shared" ref="N392:N397" si="413">M383</f>
        <v>0</v>
      </c>
      <c r="O392" s="60">
        <f t="shared" ref="O392:O397" si="414">N383</f>
        <v>0</v>
      </c>
      <c r="P392" s="37">
        <f t="shared" ref="P392:S392" si="415">P383</f>
        <v>1</v>
      </c>
      <c r="Q392" s="60">
        <f t="shared" si="415"/>
        <v>0</v>
      </c>
      <c r="R392" s="60">
        <f t="shared" si="415"/>
        <v>0</v>
      </c>
      <c r="S392" s="60">
        <f t="shared" si="415"/>
        <v>0</v>
      </c>
      <c r="T392" s="113">
        <v>16</v>
      </c>
      <c r="U392" s="113"/>
      <c r="V392" s="113"/>
    </row>
    <row r="393" spans="3:22" ht="9.9499999999999993" customHeight="1" x14ac:dyDescent="0.25">
      <c r="K393" s="113">
        <v>17</v>
      </c>
      <c r="L393" s="37">
        <f t="shared" si="411"/>
        <v>0</v>
      </c>
      <c r="M393" s="60">
        <f t="shared" si="412"/>
        <v>1</v>
      </c>
      <c r="N393" s="60">
        <f t="shared" si="413"/>
        <v>1</v>
      </c>
      <c r="O393" s="60">
        <f t="shared" si="414"/>
        <v>1</v>
      </c>
      <c r="P393" s="37">
        <f t="shared" ref="P393:S393" si="416">P384</f>
        <v>1</v>
      </c>
      <c r="Q393" s="60">
        <f t="shared" si="416"/>
        <v>1</v>
      </c>
      <c r="R393" s="60">
        <f t="shared" si="416"/>
        <v>1</v>
      </c>
      <c r="S393" s="60">
        <f t="shared" si="416"/>
        <v>1</v>
      </c>
      <c r="T393" s="113">
        <v>24</v>
      </c>
      <c r="U393" s="113"/>
      <c r="V393" s="113"/>
    </row>
    <row r="394" spans="3:22" ht="9.9499999999999993" customHeight="1" x14ac:dyDescent="0.25">
      <c r="K394" s="113">
        <v>25</v>
      </c>
      <c r="L394" s="37">
        <f t="shared" si="411"/>
        <v>1</v>
      </c>
      <c r="M394" s="60">
        <f t="shared" si="412"/>
        <v>0</v>
      </c>
      <c r="N394" s="60">
        <f t="shared" si="413"/>
        <v>0</v>
      </c>
      <c r="O394" s="60">
        <f t="shared" si="414"/>
        <v>0</v>
      </c>
      <c r="P394" s="37">
        <f t="shared" ref="P394:S394" si="417">P385</f>
        <v>1</v>
      </c>
      <c r="Q394" s="60">
        <f t="shared" si="417"/>
        <v>1</v>
      </c>
      <c r="R394" s="60">
        <f t="shared" si="417"/>
        <v>0</v>
      </c>
      <c r="S394" s="60">
        <f t="shared" si="417"/>
        <v>1</v>
      </c>
      <c r="T394" s="113">
        <v>32</v>
      </c>
      <c r="U394" s="113"/>
      <c r="V394" s="113"/>
    </row>
    <row r="395" spans="3:22" ht="9.9499999999999993" customHeight="1" x14ac:dyDescent="0.25">
      <c r="K395" s="113">
        <v>33</v>
      </c>
      <c r="L395" s="37">
        <f t="shared" si="411"/>
        <v>0</v>
      </c>
      <c r="M395" s="60">
        <f t="shared" si="412"/>
        <v>0</v>
      </c>
      <c r="N395" s="60">
        <f t="shared" si="413"/>
        <v>1</v>
      </c>
      <c r="O395" s="60">
        <f t="shared" si="414"/>
        <v>0</v>
      </c>
      <c r="P395" s="37">
        <f t="shared" ref="P395:S395" si="418">P386</f>
        <v>1</v>
      </c>
      <c r="Q395" s="60">
        <f t="shared" si="418"/>
        <v>0</v>
      </c>
      <c r="R395" s="60">
        <f t="shared" si="418"/>
        <v>1</v>
      </c>
      <c r="S395" s="60">
        <f t="shared" si="418"/>
        <v>0</v>
      </c>
      <c r="T395" s="113">
        <v>40</v>
      </c>
      <c r="U395" s="113"/>
      <c r="V395" s="113"/>
    </row>
    <row r="396" spans="3:22" ht="9.9499999999999993" customHeight="1" x14ac:dyDescent="0.25">
      <c r="K396" s="113">
        <v>41</v>
      </c>
      <c r="L396" s="37">
        <f t="shared" si="411"/>
        <v>1</v>
      </c>
      <c r="M396" s="60">
        <f t="shared" si="412"/>
        <v>1</v>
      </c>
      <c r="N396" s="60">
        <f t="shared" si="413"/>
        <v>1</v>
      </c>
      <c r="O396" s="60">
        <f t="shared" si="414"/>
        <v>1</v>
      </c>
      <c r="P396" s="37">
        <f t="shared" ref="P396:S396" si="419">P387</f>
        <v>1</v>
      </c>
      <c r="Q396" s="60">
        <f t="shared" si="419"/>
        <v>0</v>
      </c>
      <c r="R396" s="60">
        <f t="shared" si="419"/>
        <v>1</v>
      </c>
      <c r="S396" s="60">
        <f t="shared" si="419"/>
        <v>0</v>
      </c>
      <c r="T396" s="113">
        <v>48</v>
      </c>
      <c r="U396" s="113"/>
      <c r="V396" s="113"/>
    </row>
    <row r="397" spans="3:22" ht="9.9499999999999993" customHeight="1" x14ac:dyDescent="0.25">
      <c r="K397" s="113">
        <v>49</v>
      </c>
      <c r="L397" s="37">
        <f t="shared" si="411"/>
        <v>0</v>
      </c>
      <c r="M397" s="60">
        <f t="shared" si="412"/>
        <v>1</v>
      </c>
      <c r="N397" s="60">
        <f t="shared" si="413"/>
        <v>1</v>
      </c>
      <c r="O397" s="60">
        <f t="shared" si="414"/>
        <v>0</v>
      </c>
      <c r="P397" s="37">
        <f t="shared" ref="P397:S397" si="420">P388</f>
        <v>1</v>
      </c>
      <c r="Q397" s="60">
        <f t="shared" si="420"/>
        <v>0</v>
      </c>
      <c r="R397" s="60">
        <f t="shared" si="420"/>
        <v>0</v>
      </c>
      <c r="S397" s="60">
        <f t="shared" si="420"/>
        <v>0</v>
      </c>
      <c r="T397" s="113">
        <v>56</v>
      </c>
      <c r="U397" s="113"/>
      <c r="V397" s="113"/>
    </row>
    <row r="398" spans="3:22" ht="9.9499999999999993" customHeight="1" x14ac:dyDescent="0.25">
      <c r="D398" s="46" t="s">
        <v>514</v>
      </c>
      <c r="U398" s="113"/>
      <c r="V398" s="113"/>
    </row>
    <row r="399" spans="3:22" ht="9.9499999999999993" customHeight="1" x14ac:dyDescent="0.25">
      <c r="D399" s="21">
        <v>1</v>
      </c>
      <c r="E399" s="21">
        <v>2</v>
      </c>
      <c r="F399" s="21">
        <v>3</v>
      </c>
      <c r="G399" s="21">
        <v>4</v>
      </c>
      <c r="H399" s="21">
        <v>5</v>
      </c>
      <c r="I399" s="21">
        <v>6</v>
      </c>
      <c r="L399" s="21">
        <v>1</v>
      </c>
      <c r="M399" s="21">
        <v>2</v>
      </c>
      <c r="N399" s="21">
        <v>3</v>
      </c>
      <c r="O399" s="21">
        <v>4</v>
      </c>
      <c r="P399" s="21">
        <v>5</v>
      </c>
      <c r="Q399" s="21">
        <v>6</v>
      </c>
    </row>
    <row r="400" spans="3:22" ht="9.9499999999999993" customHeight="1" x14ac:dyDescent="0.25">
      <c r="C400" s="21">
        <v>1</v>
      </c>
      <c r="D400" s="29">
        <v>14</v>
      </c>
      <c r="E400" s="54">
        <v>17</v>
      </c>
      <c r="F400" s="29">
        <v>11</v>
      </c>
      <c r="G400" s="55">
        <v>24</v>
      </c>
      <c r="H400" s="29">
        <v>1</v>
      </c>
      <c r="I400" s="27">
        <v>5</v>
      </c>
      <c r="L400" s="39">
        <f>Q392</f>
        <v>0</v>
      </c>
      <c r="M400" s="39">
        <f>L393</f>
        <v>0</v>
      </c>
      <c r="N400" s="39">
        <f>N392</f>
        <v>0</v>
      </c>
      <c r="O400" s="39">
        <f>S393</f>
        <v>1</v>
      </c>
      <c r="P400" s="39">
        <f>L391</f>
        <v>0</v>
      </c>
      <c r="Q400" s="39">
        <f>P391</f>
        <v>1</v>
      </c>
      <c r="R400" s="21">
        <v>6</v>
      </c>
    </row>
    <row r="401" spans="1:51" ht="9.9499999999999993" customHeight="1" x14ac:dyDescent="0.25">
      <c r="C401" s="21">
        <v>2</v>
      </c>
      <c r="D401" s="29">
        <v>3</v>
      </c>
      <c r="E401" s="54">
        <v>28</v>
      </c>
      <c r="F401" s="29">
        <v>15</v>
      </c>
      <c r="G401" s="55">
        <v>6</v>
      </c>
      <c r="H401" s="29">
        <v>21</v>
      </c>
      <c r="I401" s="27">
        <v>10</v>
      </c>
      <c r="K401" s="21">
        <v>7</v>
      </c>
      <c r="L401" s="39">
        <f>N391</f>
        <v>0</v>
      </c>
      <c r="M401" s="39">
        <f>O394</f>
        <v>0</v>
      </c>
      <c r="N401" s="39">
        <f>R392</f>
        <v>0</v>
      </c>
      <c r="O401" s="39">
        <f>Q391</f>
        <v>0</v>
      </c>
      <c r="P401" s="39">
        <f>P393</f>
        <v>1</v>
      </c>
      <c r="Q401" s="39">
        <f>M392</f>
        <v>0</v>
      </c>
      <c r="R401" s="21">
        <v>12</v>
      </c>
    </row>
    <row r="402" spans="1:51" ht="9.9499999999999993" customHeight="1" x14ac:dyDescent="0.25">
      <c r="C402" s="21">
        <v>3</v>
      </c>
      <c r="D402" s="29">
        <v>23</v>
      </c>
      <c r="E402" s="54">
        <v>19</v>
      </c>
      <c r="F402" s="29">
        <v>12</v>
      </c>
      <c r="G402" s="55">
        <v>4</v>
      </c>
      <c r="H402" s="29">
        <v>26</v>
      </c>
      <c r="I402" s="27">
        <v>8</v>
      </c>
      <c r="K402" s="56">
        <v>13</v>
      </c>
      <c r="L402" s="22">
        <f>R393</f>
        <v>1</v>
      </c>
      <c r="M402" s="22">
        <f>N393</f>
        <v>1</v>
      </c>
      <c r="N402" s="22">
        <f>O392</f>
        <v>0</v>
      </c>
      <c r="O402" s="22">
        <f>O391</f>
        <v>0</v>
      </c>
      <c r="P402" s="22">
        <f>M394</f>
        <v>0</v>
      </c>
      <c r="Q402" s="22">
        <f>S391</f>
        <v>0</v>
      </c>
      <c r="R402" s="56">
        <v>18</v>
      </c>
    </row>
    <row r="403" spans="1:51" ht="9.9499999999999993" customHeight="1" x14ac:dyDescent="0.25">
      <c r="C403" s="21">
        <v>4</v>
      </c>
      <c r="D403" s="29">
        <v>16</v>
      </c>
      <c r="E403" s="54">
        <v>7</v>
      </c>
      <c r="F403" s="29">
        <v>27</v>
      </c>
      <c r="G403" s="55">
        <v>20</v>
      </c>
      <c r="H403" s="29">
        <v>13</v>
      </c>
      <c r="I403" s="27">
        <v>2</v>
      </c>
      <c r="K403" s="21">
        <v>19</v>
      </c>
      <c r="L403" s="39">
        <f>S392</f>
        <v>0</v>
      </c>
      <c r="M403" s="39">
        <f>R391</f>
        <v>0</v>
      </c>
      <c r="N403" s="39">
        <f>N394</f>
        <v>0</v>
      </c>
      <c r="O403" s="39">
        <f>O393</f>
        <v>1</v>
      </c>
      <c r="P403" s="39">
        <f>P392</f>
        <v>1</v>
      </c>
      <c r="Q403" s="39">
        <f>M391</f>
        <v>0</v>
      </c>
      <c r="R403" s="21">
        <v>24</v>
      </c>
    </row>
    <row r="404" spans="1:51" ht="9.9499999999999993" customHeight="1" x14ac:dyDescent="0.25">
      <c r="C404" s="21">
        <v>5</v>
      </c>
      <c r="D404" s="29">
        <v>41</v>
      </c>
      <c r="E404" s="54">
        <v>52</v>
      </c>
      <c r="F404" s="29">
        <v>31</v>
      </c>
      <c r="G404" s="55">
        <v>37</v>
      </c>
      <c r="H404" s="29">
        <v>47</v>
      </c>
      <c r="I404" s="27">
        <v>55</v>
      </c>
      <c r="K404" s="57">
        <v>25</v>
      </c>
      <c r="L404" s="58">
        <f>L396</f>
        <v>1</v>
      </c>
      <c r="M404" s="58">
        <f>O397</f>
        <v>0</v>
      </c>
      <c r="N404" s="58">
        <f>R394</f>
        <v>0</v>
      </c>
      <c r="O404" s="58">
        <f>P395</f>
        <v>1</v>
      </c>
      <c r="P404" s="58">
        <f>R396</f>
        <v>1</v>
      </c>
      <c r="Q404" s="58">
        <f>R397</f>
        <v>0</v>
      </c>
      <c r="R404" s="57">
        <v>30</v>
      </c>
    </row>
    <row r="405" spans="1:51" ht="9.9499999999999993" customHeight="1" x14ac:dyDescent="0.25">
      <c r="C405" s="21">
        <v>6</v>
      </c>
      <c r="D405" s="29">
        <v>30</v>
      </c>
      <c r="E405" s="54">
        <v>40</v>
      </c>
      <c r="F405" s="29">
        <v>51</v>
      </c>
      <c r="G405" s="55">
        <v>45</v>
      </c>
      <c r="H405" s="29">
        <v>33</v>
      </c>
      <c r="I405" s="27">
        <v>48</v>
      </c>
      <c r="K405" s="21">
        <v>31</v>
      </c>
      <c r="L405" s="39">
        <f>Q394</f>
        <v>1</v>
      </c>
      <c r="M405" s="39">
        <f>S395</f>
        <v>0</v>
      </c>
      <c r="N405" s="39">
        <f>N397</f>
        <v>1</v>
      </c>
      <c r="O405" s="39">
        <f>P396</f>
        <v>1</v>
      </c>
      <c r="P405" s="39">
        <f>L395</f>
        <v>0</v>
      </c>
      <c r="Q405" s="39">
        <f>S396</f>
        <v>0</v>
      </c>
      <c r="R405" s="21">
        <v>36</v>
      </c>
    </row>
    <row r="406" spans="1:51" ht="9.9499999999999993" customHeight="1" x14ac:dyDescent="0.25">
      <c r="C406" s="21">
        <v>7</v>
      </c>
      <c r="D406" s="29">
        <v>44</v>
      </c>
      <c r="E406" s="54">
        <v>49</v>
      </c>
      <c r="F406" s="29">
        <v>39</v>
      </c>
      <c r="G406" s="55">
        <v>56</v>
      </c>
      <c r="H406" s="29">
        <v>34</v>
      </c>
      <c r="I406" s="27">
        <v>53</v>
      </c>
      <c r="K406" s="50">
        <v>37</v>
      </c>
      <c r="L406" s="27">
        <f>O396</f>
        <v>1</v>
      </c>
      <c r="M406" s="27">
        <f>L397</f>
        <v>0</v>
      </c>
      <c r="N406" s="27">
        <f>R395</f>
        <v>1</v>
      </c>
      <c r="O406" s="27">
        <f>S397</f>
        <v>0</v>
      </c>
      <c r="P406" s="27">
        <f>M395</f>
        <v>0</v>
      </c>
      <c r="Q406" s="27">
        <f>P397</f>
        <v>1</v>
      </c>
      <c r="R406" s="50">
        <v>42</v>
      </c>
    </row>
    <row r="407" spans="1:51" ht="9.9499999999999993" customHeight="1" x14ac:dyDescent="0.25">
      <c r="C407" s="21">
        <v>8</v>
      </c>
      <c r="D407" s="29">
        <v>46</v>
      </c>
      <c r="E407" s="54">
        <v>42</v>
      </c>
      <c r="F407" s="29">
        <v>50</v>
      </c>
      <c r="G407" s="55">
        <v>36</v>
      </c>
      <c r="H407" s="29">
        <v>29</v>
      </c>
      <c r="I407" s="27">
        <v>32</v>
      </c>
      <c r="K407" s="21">
        <v>43</v>
      </c>
      <c r="L407" s="39">
        <f>Q396</f>
        <v>0</v>
      </c>
      <c r="M407" s="39">
        <f>M396</f>
        <v>1</v>
      </c>
      <c r="N407" s="39">
        <f>M397</f>
        <v>1</v>
      </c>
      <c r="O407" s="39">
        <f>O395</f>
        <v>0</v>
      </c>
      <c r="P407" s="39">
        <f>P394</f>
        <v>1</v>
      </c>
      <c r="Q407" s="39">
        <f>S394</f>
        <v>1</v>
      </c>
      <c r="R407" s="21">
        <v>48</v>
      </c>
    </row>
    <row r="409" spans="1:51" ht="9.9499999999999993" customHeight="1" x14ac:dyDescent="0.25">
      <c r="A409" s="51"/>
      <c r="B409" s="51" t="s">
        <v>571</v>
      </c>
      <c r="C409" s="51"/>
      <c r="D409" s="52">
        <v>1</v>
      </c>
      <c r="E409" s="52">
        <v>2</v>
      </c>
      <c r="F409" s="52">
        <v>3</v>
      </c>
      <c r="G409" s="52">
        <v>4</v>
      </c>
      <c r="H409" s="52">
        <v>5</v>
      </c>
      <c r="I409" s="52">
        <v>6</v>
      </c>
      <c r="J409" s="52">
        <v>7</v>
      </c>
      <c r="K409" s="52">
        <v>8</v>
      </c>
      <c r="L409" s="52">
        <v>9</v>
      </c>
      <c r="M409" s="52">
        <v>10</v>
      </c>
      <c r="N409" s="52">
        <v>11</v>
      </c>
      <c r="O409" s="52">
        <v>12</v>
      </c>
      <c r="P409" s="52">
        <v>13</v>
      </c>
      <c r="Q409" s="52">
        <v>14</v>
      </c>
      <c r="R409" s="52">
        <v>15</v>
      </c>
      <c r="S409" s="52">
        <v>16</v>
      </c>
      <c r="T409" s="52">
        <v>17</v>
      </c>
      <c r="U409" s="52">
        <v>18</v>
      </c>
      <c r="V409" s="52">
        <v>19</v>
      </c>
      <c r="W409" s="52">
        <v>20</v>
      </c>
      <c r="X409" s="52">
        <v>21</v>
      </c>
      <c r="Y409" s="52">
        <v>22</v>
      </c>
      <c r="Z409" s="52">
        <v>23</v>
      </c>
      <c r="AA409" s="52">
        <v>24</v>
      </c>
      <c r="AB409" s="52">
        <v>25</v>
      </c>
      <c r="AC409" s="52">
        <v>26</v>
      </c>
      <c r="AD409" s="52">
        <v>27</v>
      </c>
      <c r="AE409" s="52">
        <v>28</v>
      </c>
      <c r="AF409" s="52">
        <v>29</v>
      </c>
      <c r="AG409" s="52">
        <v>30</v>
      </c>
      <c r="AH409" s="52">
        <v>31</v>
      </c>
      <c r="AI409" s="52">
        <v>32</v>
      </c>
      <c r="AJ409" s="52">
        <v>33</v>
      </c>
      <c r="AK409" s="52">
        <v>34</v>
      </c>
      <c r="AL409" s="52">
        <v>35</v>
      </c>
      <c r="AM409" s="52">
        <v>36</v>
      </c>
      <c r="AN409" s="52">
        <v>37</v>
      </c>
      <c r="AO409" s="52">
        <v>38</v>
      </c>
      <c r="AP409" s="52">
        <v>39</v>
      </c>
      <c r="AQ409" s="52">
        <v>40</v>
      </c>
      <c r="AR409" s="52">
        <v>41</v>
      </c>
      <c r="AS409" s="52">
        <v>42</v>
      </c>
      <c r="AT409" s="52">
        <v>43</v>
      </c>
      <c r="AU409" s="52">
        <v>44</v>
      </c>
      <c r="AV409" s="52">
        <v>45</v>
      </c>
      <c r="AW409" s="52">
        <v>46</v>
      </c>
      <c r="AX409" s="52">
        <v>47</v>
      </c>
      <c r="AY409" s="52">
        <v>48</v>
      </c>
    </row>
    <row r="410" spans="1:51" ht="9.9499999999999993" customHeight="1" x14ac:dyDescent="0.25">
      <c r="D410" s="52">
        <f t="shared" ref="D410" si="421">L400</f>
        <v>0</v>
      </c>
      <c r="E410" s="52">
        <f t="shared" ref="E410" si="422">M400</f>
        <v>0</v>
      </c>
      <c r="F410" s="52">
        <f t="shared" ref="F410" si="423">N400</f>
        <v>0</v>
      </c>
      <c r="G410" s="52">
        <f t="shared" ref="G410" si="424">O400</f>
        <v>1</v>
      </c>
      <c r="H410" s="52">
        <f t="shared" ref="H410" si="425">P400</f>
        <v>0</v>
      </c>
      <c r="I410" s="52">
        <f t="shared" ref="I410" si="426">Q400</f>
        <v>1</v>
      </c>
      <c r="J410" s="52">
        <f t="shared" ref="J410" si="427">L401</f>
        <v>0</v>
      </c>
      <c r="K410" s="52">
        <f t="shared" ref="K410" si="428">M401</f>
        <v>0</v>
      </c>
      <c r="L410" s="52">
        <f t="shared" ref="L410" si="429">N401</f>
        <v>0</v>
      </c>
      <c r="M410" s="52">
        <f t="shared" ref="M410" si="430">O401</f>
        <v>0</v>
      </c>
      <c r="N410" s="52">
        <f t="shared" ref="N410" si="431">P401</f>
        <v>1</v>
      </c>
      <c r="O410" s="52">
        <f t="shared" ref="O410" si="432">Q401</f>
        <v>0</v>
      </c>
      <c r="P410" s="52">
        <f t="shared" ref="P410" si="433">L402</f>
        <v>1</v>
      </c>
      <c r="Q410" s="52">
        <f t="shared" ref="Q410" si="434">M402</f>
        <v>1</v>
      </c>
      <c r="R410" s="52">
        <f t="shared" ref="R410" si="435">N402</f>
        <v>0</v>
      </c>
      <c r="S410" s="52">
        <f t="shared" ref="S410" si="436">O402</f>
        <v>0</v>
      </c>
      <c r="T410" s="52">
        <f t="shared" ref="T410" si="437">P402</f>
        <v>0</v>
      </c>
      <c r="U410" s="52">
        <f t="shared" ref="U410" si="438">Q402</f>
        <v>0</v>
      </c>
      <c r="V410" s="52">
        <f t="shared" ref="V410" si="439">L403</f>
        <v>0</v>
      </c>
      <c r="W410" s="52">
        <f t="shared" ref="W410" si="440">M403</f>
        <v>0</v>
      </c>
      <c r="X410" s="52">
        <f t="shared" ref="X410" si="441">N403</f>
        <v>0</v>
      </c>
      <c r="Y410" s="52">
        <f t="shared" ref="Y410" si="442">O403</f>
        <v>1</v>
      </c>
      <c r="Z410" s="52">
        <f t="shared" ref="Z410" si="443">P403</f>
        <v>1</v>
      </c>
      <c r="AA410" s="52">
        <f t="shared" ref="AA410" si="444">Q403</f>
        <v>0</v>
      </c>
      <c r="AB410" s="52">
        <f t="shared" ref="AB410" si="445">L404</f>
        <v>1</v>
      </c>
      <c r="AC410" s="52">
        <f t="shared" ref="AC410" si="446">M404</f>
        <v>0</v>
      </c>
      <c r="AD410" s="52">
        <f t="shared" ref="AD410" si="447">N404</f>
        <v>0</v>
      </c>
      <c r="AE410" s="52">
        <f t="shared" ref="AE410" si="448">O404</f>
        <v>1</v>
      </c>
      <c r="AF410" s="52">
        <f t="shared" ref="AF410" si="449">P404</f>
        <v>1</v>
      </c>
      <c r="AG410" s="52">
        <f t="shared" ref="AG410" si="450">Q404</f>
        <v>0</v>
      </c>
      <c r="AH410" s="52">
        <f t="shared" ref="AH410" si="451">L405</f>
        <v>1</v>
      </c>
      <c r="AI410" s="52">
        <f t="shared" ref="AI410" si="452">M405</f>
        <v>0</v>
      </c>
      <c r="AJ410" s="52">
        <f t="shared" ref="AJ410" si="453">N405</f>
        <v>1</v>
      </c>
      <c r="AK410" s="52">
        <f t="shared" ref="AK410" si="454">O405</f>
        <v>1</v>
      </c>
      <c r="AL410" s="52">
        <f t="shared" ref="AL410" si="455">P405</f>
        <v>0</v>
      </c>
      <c r="AM410" s="52">
        <f t="shared" ref="AM410" si="456">Q405</f>
        <v>0</v>
      </c>
      <c r="AN410" s="52">
        <f t="shared" ref="AN410" si="457">L406</f>
        <v>1</v>
      </c>
      <c r="AO410" s="52">
        <f t="shared" ref="AO410" si="458">M406</f>
        <v>0</v>
      </c>
      <c r="AP410" s="52">
        <f t="shared" ref="AP410" si="459">N406</f>
        <v>1</v>
      </c>
      <c r="AQ410" s="52">
        <f t="shared" ref="AQ410" si="460">O406</f>
        <v>0</v>
      </c>
      <c r="AR410" s="52">
        <f t="shared" ref="AR410" si="461">P406</f>
        <v>0</v>
      </c>
      <c r="AS410" s="52">
        <f t="shared" ref="AS410" si="462">Q406</f>
        <v>1</v>
      </c>
      <c r="AT410" s="52">
        <f t="shared" ref="AT410" si="463">L407</f>
        <v>0</v>
      </c>
      <c r="AU410" s="52">
        <f t="shared" ref="AU410" si="464">M407</f>
        <v>1</v>
      </c>
      <c r="AV410" s="52">
        <f t="shared" ref="AV410" si="465">N407</f>
        <v>1</v>
      </c>
      <c r="AW410" s="52">
        <f t="shared" ref="AW410" si="466">O407</f>
        <v>0</v>
      </c>
      <c r="AX410" s="52">
        <f t="shared" ref="AX410" si="467">P407</f>
        <v>1</v>
      </c>
      <c r="AY410" s="52">
        <f t="shared" ref="AY410" si="468">Q407</f>
        <v>1</v>
      </c>
    </row>
    <row r="412" spans="1:51" ht="9.9499999999999993" customHeight="1" x14ac:dyDescent="0.25">
      <c r="G412" s="38" t="s">
        <v>519</v>
      </c>
    </row>
    <row r="416" spans="1:51" ht="9.9499999999999993" customHeight="1" x14ac:dyDescent="0.25">
      <c r="L416" s="33" t="s">
        <v>572</v>
      </c>
      <c r="Q416" s="34" t="s">
        <v>573</v>
      </c>
    </row>
    <row r="417" spans="11:22" ht="9.9499999999999993" customHeight="1" x14ac:dyDescent="0.25">
      <c r="K417" s="59">
        <f>M382</f>
        <v>0</v>
      </c>
      <c r="L417" s="59">
        <f>N382</f>
        <v>0</v>
      </c>
      <c r="M417" s="40">
        <f>K382</f>
        <v>0</v>
      </c>
      <c r="N417" s="59">
        <f>L382</f>
        <v>0</v>
      </c>
      <c r="O417" s="113"/>
      <c r="P417" s="59">
        <f>R382</f>
        <v>0</v>
      </c>
      <c r="Q417" s="59">
        <f>S382</f>
        <v>0</v>
      </c>
      <c r="R417" s="40">
        <f>P382</f>
        <v>1</v>
      </c>
      <c r="S417" s="59">
        <f>Q382</f>
        <v>0</v>
      </c>
      <c r="T417" s="113"/>
      <c r="U417" s="113"/>
      <c r="V417" s="113"/>
    </row>
    <row r="418" spans="11:22" ht="9.9499999999999993" customHeight="1" x14ac:dyDescent="0.25">
      <c r="K418" s="59">
        <f t="shared" ref="K418:K423" si="469">M383</f>
        <v>0</v>
      </c>
      <c r="L418" s="59">
        <f t="shared" ref="L418:L423" si="470">N383</f>
        <v>0</v>
      </c>
      <c r="M418" s="40">
        <f t="shared" ref="M418:M423" si="471">K383</f>
        <v>0</v>
      </c>
      <c r="N418" s="59">
        <f t="shared" ref="N418:N423" si="472">L383</f>
        <v>0</v>
      </c>
      <c r="O418" s="113"/>
      <c r="P418" s="59">
        <f t="shared" ref="P418:P423" si="473">R383</f>
        <v>0</v>
      </c>
      <c r="Q418" s="59">
        <f t="shared" ref="Q418:Q423" si="474">S383</f>
        <v>0</v>
      </c>
      <c r="R418" s="40">
        <f t="shared" ref="R418:R423" si="475">P383</f>
        <v>1</v>
      </c>
      <c r="S418" s="59">
        <f t="shared" ref="S418:S423" si="476">Q383</f>
        <v>0</v>
      </c>
      <c r="T418" s="113"/>
      <c r="U418" s="113"/>
      <c r="V418" s="113"/>
    </row>
    <row r="419" spans="11:22" ht="9.9499999999999993" customHeight="1" x14ac:dyDescent="0.25">
      <c r="K419" s="59">
        <f t="shared" si="469"/>
        <v>1</v>
      </c>
      <c r="L419" s="59">
        <f t="shared" si="470"/>
        <v>1</v>
      </c>
      <c r="M419" s="40">
        <f t="shared" si="471"/>
        <v>0</v>
      </c>
      <c r="N419" s="59">
        <f t="shared" si="472"/>
        <v>1</v>
      </c>
      <c r="O419" s="113"/>
      <c r="P419" s="59">
        <f t="shared" si="473"/>
        <v>1</v>
      </c>
      <c r="Q419" s="59">
        <f t="shared" si="474"/>
        <v>1</v>
      </c>
      <c r="R419" s="40">
        <f t="shared" si="475"/>
        <v>1</v>
      </c>
      <c r="S419" s="59">
        <f t="shared" si="476"/>
        <v>1</v>
      </c>
      <c r="T419" s="113"/>
      <c r="U419" s="113"/>
      <c r="V419" s="113"/>
    </row>
    <row r="420" spans="11:22" ht="9.9499999999999993" customHeight="1" x14ac:dyDescent="0.25">
      <c r="K420" s="59">
        <f t="shared" si="469"/>
        <v>0</v>
      </c>
      <c r="L420" s="59">
        <f t="shared" si="470"/>
        <v>0</v>
      </c>
      <c r="M420" s="40">
        <f t="shared" si="471"/>
        <v>1</v>
      </c>
      <c r="N420" s="59">
        <f t="shared" si="472"/>
        <v>0</v>
      </c>
      <c r="O420" s="113"/>
      <c r="P420" s="59">
        <f t="shared" si="473"/>
        <v>0</v>
      </c>
      <c r="Q420" s="59">
        <f t="shared" si="474"/>
        <v>1</v>
      </c>
      <c r="R420" s="40">
        <f t="shared" si="475"/>
        <v>1</v>
      </c>
      <c r="S420" s="59">
        <f t="shared" si="476"/>
        <v>1</v>
      </c>
      <c r="T420" s="113"/>
      <c r="U420" s="113"/>
      <c r="V420" s="113"/>
    </row>
    <row r="421" spans="11:22" ht="9.9499999999999993" customHeight="1" x14ac:dyDescent="0.25">
      <c r="K421" s="59">
        <f t="shared" si="469"/>
        <v>1</v>
      </c>
      <c r="L421" s="59">
        <f t="shared" si="470"/>
        <v>0</v>
      </c>
      <c r="M421" s="40">
        <f t="shared" si="471"/>
        <v>0</v>
      </c>
      <c r="N421" s="59">
        <f t="shared" si="472"/>
        <v>0</v>
      </c>
      <c r="O421" s="113"/>
      <c r="P421" s="59">
        <f t="shared" si="473"/>
        <v>1</v>
      </c>
      <c r="Q421" s="59">
        <f t="shared" si="474"/>
        <v>0</v>
      </c>
      <c r="R421" s="40">
        <f t="shared" si="475"/>
        <v>1</v>
      </c>
      <c r="S421" s="59">
        <f t="shared" si="476"/>
        <v>0</v>
      </c>
      <c r="T421" s="113"/>
      <c r="U421" s="113"/>
      <c r="V421" s="113"/>
    </row>
    <row r="422" spans="11:22" ht="9.9499999999999993" customHeight="1" x14ac:dyDescent="0.25">
      <c r="K422" s="59">
        <f t="shared" si="469"/>
        <v>1</v>
      </c>
      <c r="L422" s="59">
        <f t="shared" si="470"/>
        <v>1</v>
      </c>
      <c r="M422" s="40">
        <f t="shared" si="471"/>
        <v>1</v>
      </c>
      <c r="N422" s="59">
        <f t="shared" si="472"/>
        <v>1</v>
      </c>
      <c r="O422" s="113"/>
      <c r="P422" s="59">
        <f t="shared" si="473"/>
        <v>1</v>
      </c>
      <c r="Q422" s="59">
        <f t="shared" si="474"/>
        <v>0</v>
      </c>
      <c r="R422" s="40">
        <f t="shared" si="475"/>
        <v>1</v>
      </c>
      <c r="S422" s="59">
        <f t="shared" si="476"/>
        <v>0</v>
      </c>
      <c r="T422" s="113"/>
      <c r="U422" s="113"/>
      <c r="V422" s="113"/>
    </row>
    <row r="423" spans="11:22" ht="9.9499999999999993" customHeight="1" x14ac:dyDescent="0.25">
      <c r="K423" s="59">
        <f t="shared" si="469"/>
        <v>1</v>
      </c>
      <c r="L423" s="59">
        <f t="shared" si="470"/>
        <v>0</v>
      </c>
      <c r="M423" s="40">
        <f t="shared" si="471"/>
        <v>0</v>
      </c>
      <c r="N423" s="59">
        <f t="shared" si="472"/>
        <v>1</v>
      </c>
      <c r="O423" s="113"/>
      <c r="P423" s="59">
        <f t="shared" si="473"/>
        <v>0</v>
      </c>
      <c r="Q423" s="59">
        <f t="shared" si="474"/>
        <v>0</v>
      </c>
      <c r="R423" s="40">
        <f t="shared" si="475"/>
        <v>1</v>
      </c>
      <c r="S423" s="59">
        <f t="shared" si="476"/>
        <v>0</v>
      </c>
      <c r="T423" s="113"/>
      <c r="U423" s="113"/>
      <c r="V423" s="113"/>
    </row>
    <row r="424" spans="11:22" ht="9.9499999999999993" customHeight="1" x14ac:dyDescent="0.25"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</row>
    <row r="425" spans="11:22" ht="9.9499999999999993" customHeight="1" x14ac:dyDescent="0.25">
      <c r="K425" s="113"/>
      <c r="L425" s="113">
        <v>1</v>
      </c>
      <c r="M425" s="113">
        <v>2</v>
      </c>
      <c r="N425" s="113">
        <v>3</v>
      </c>
      <c r="O425" s="113">
        <v>4</v>
      </c>
      <c r="P425" s="113">
        <v>5</v>
      </c>
      <c r="Q425" s="113">
        <v>6</v>
      </c>
      <c r="R425" s="113">
        <v>7</v>
      </c>
      <c r="S425" s="113">
        <v>8</v>
      </c>
      <c r="T425" s="113"/>
      <c r="U425" s="113"/>
      <c r="V425" s="113"/>
    </row>
    <row r="426" spans="11:22" ht="9.9499999999999993" customHeight="1" x14ac:dyDescent="0.25">
      <c r="K426" s="113">
        <v>1</v>
      </c>
      <c r="L426" s="60">
        <f>K417</f>
        <v>0</v>
      </c>
      <c r="M426" s="60">
        <f>L417</f>
        <v>0</v>
      </c>
      <c r="N426" s="37">
        <f>M417</f>
        <v>0</v>
      </c>
      <c r="O426" s="60">
        <f>N417</f>
        <v>0</v>
      </c>
      <c r="P426" s="60">
        <f>P417</f>
        <v>0</v>
      </c>
      <c r="Q426" s="60">
        <f>Q417</f>
        <v>0</v>
      </c>
      <c r="R426" s="37">
        <f>R417</f>
        <v>1</v>
      </c>
      <c r="S426" s="60">
        <f>S417</f>
        <v>0</v>
      </c>
      <c r="T426" s="113">
        <v>8</v>
      </c>
      <c r="U426" s="113"/>
      <c r="V426" s="113"/>
    </row>
    <row r="427" spans="11:22" ht="9.9499999999999993" customHeight="1" x14ac:dyDescent="0.25">
      <c r="K427" s="113">
        <v>9</v>
      </c>
      <c r="L427" s="60">
        <f t="shared" ref="L427:L432" si="477">K418</f>
        <v>0</v>
      </c>
      <c r="M427" s="60">
        <f t="shared" ref="M427:M432" si="478">L418</f>
        <v>0</v>
      </c>
      <c r="N427" s="37">
        <f t="shared" ref="N427:N432" si="479">M418</f>
        <v>0</v>
      </c>
      <c r="O427" s="60">
        <f t="shared" ref="O427:O432" si="480">N418</f>
        <v>0</v>
      </c>
      <c r="P427" s="60">
        <f t="shared" ref="P427:S427" si="481">P418</f>
        <v>0</v>
      </c>
      <c r="Q427" s="60">
        <f t="shared" si="481"/>
        <v>0</v>
      </c>
      <c r="R427" s="37">
        <f t="shared" si="481"/>
        <v>1</v>
      </c>
      <c r="S427" s="60">
        <f t="shared" si="481"/>
        <v>0</v>
      </c>
      <c r="T427" s="113">
        <v>16</v>
      </c>
      <c r="U427" s="113"/>
      <c r="V427" s="113"/>
    </row>
    <row r="428" spans="11:22" ht="9.9499999999999993" customHeight="1" x14ac:dyDescent="0.25">
      <c r="K428" s="113">
        <v>17</v>
      </c>
      <c r="L428" s="60">
        <f t="shared" si="477"/>
        <v>1</v>
      </c>
      <c r="M428" s="60">
        <f t="shared" si="478"/>
        <v>1</v>
      </c>
      <c r="N428" s="37">
        <f t="shared" si="479"/>
        <v>0</v>
      </c>
      <c r="O428" s="60">
        <f t="shared" si="480"/>
        <v>1</v>
      </c>
      <c r="P428" s="60">
        <f t="shared" ref="P428:S428" si="482">P419</f>
        <v>1</v>
      </c>
      <c r="Q428" s="60">
        <f t="shared" si="482"/>
        <v>1</v>
      </c>
      <c r="R428" s="37">
        <f t="shared" si="482"/>
        <v>1</v>
      </c>
      <c r="S428" s="60">
        <f t="shared" si="482"/>
        <v>1</v>
      </c>
      <c r="T428" s="113">
        <v>24</v>
      </c>
      <c r="U428" s="113"/>
      <c r="V428" s="113"/>
    </row>
    <row r="429" spans="11:22" ht="9.9499999999999993" customHeight="1" x14ac:dyDescent="0.25">
      <c r="K429" s="113">
        <v>25</v>
      </c>
      <c r="L429" s="60">
        <f t="shared" si="477"/>
        <v>0</v>
      </c>
      <c r="M429" s="60">
        <f t="shared" si="478"/>
        <v>0</v>
      </c>
      <c r="N429" s="37">
        <f t="shared" si="479"/>
        <v>1</v>
      </c>
      <c r="O429" s="60">
        <f t="shared" si="480"/>
        <v>0</v>
      </c>
      <c r="P429" s="60">
        <f t="shared" ref="P429:S429" si="483">P420</f>
        <v>0</v>
      </c>
      <c r="Q429" s="60">
        <f t="shared" si="483"/>
        <v>1</v>
      </c>
      <c r="R429" s="37">
        <f t="shared" si="483"/>
        <v>1</v>
      </c>
      <c r="S429" s="60">
        <f t="shared" si="483"/>
        <v>1</v>
      </c>
      <c r="T429" s="113">
        <v>32</v>
      </c>
      <c r="U429" s="113"/>
      <c r="V429" s="113"/>
    </row>
    <row r="430" spans="11:22" ht="9.9499999999999993" customHeight="1" x14ac:dyDescent="0.25">
      <c r="K430" s="113">
        <v>33</v>
      </c>
      <c r="L430" s="60">
        <f t="shared" si="477"/>
        <v>1</v>
      </c>
      <c r="M430" s="60">
        <f t="shared" si="478"/>
        <v>0</v>
      </c>
      <c r="N430" s="37">
        <f t="shared" si="479"/>
        <v>0</v>
      </c>
      <c r="O430" s="60">
        <f t="shared" si="480"/>
        <v>0</v>
      </c>
      <c r="P430" s="60">
        <f t="shared" ref="P430:S430" si="484">P421</f>
        <v>1</v>
      </c>
      <c r="Q430" s="60">
        <f t="shared" si="484"/>
        <v>0</v>
      </c>
      <c r="R430" s="37">
        <f t="shared" si="484"/>
        <v>1</v>
      </c>
      <c r="S430" s="60">
        <f t="shared" si="484"/>
        <v>0</v>
      </c>
      <c r="T430" s="113">
        <v>40</v>
      </c>
      <c r="U430" s="113"/>
      <c r="V430" s="113"/>
    </row>
    <row r="431" spans="11:22" ht="9.9499999999999993" customHeight="1" x14ac:dyDescent="0.25">
      <c r="K431" s="113">
        <v>41</v>
      </c>
      <c r="L431" s="60">
        <f t="shared" si="477"/>
        <v>1</v>
      </c>
      <c r="M431" s="60">
        <f t="shared" si="478"/>
        <v>1</v>
      </c>
      <c r="N431" s="37">
        <f t="shared" si="479"/>
        <v>1</v>
      </c>
      <c r="O431" s="60">
        <f t="shared" si="480"/>
        <v>1</v>
      </c>
      <c r="P431" s="60">
        <f t="shared" ref="P431:S431" si="485">P422</f>
        <v>1</v>
      </c>
      <c r="Q431" s="60">
        <f t="shared" si="485"/>
        <v>0</v>
      </c>
      <c r="R431" s="37">
        <f t="shared" si="485"/>
        <v>1</v>
      </c>
      <c r="S431" s="60">
        <f t="shared" si="485"/>
        <v>0</v>
      </c>
      <c r="T431" s="113">
        <v>48</v>
      </c>
      <c r="U431" s="113"/>
      <c r="V431" s="113"/>
    </row>
    <row r="432" spans="11:22" ht="9.9499999999999993" customHeight="1" x14ac:dyDescent="0.25">
      <c r="K432" s="113">
        <v>49</v>
      </c>
      <c r="L432" s="60">
        <f t="shared" si="477"/>
        <v>1</v>
      </c>
      <c r="M432" s="60">
        <f t="shared" si="478"/>
        <v>0</v>
      </c>
      <c r="N432" s="37">
        <f t="shared" si="479"/>
        <v>0</v>
      </c>
      <c r="O432" s="60">
        <f t="shared" si="480"/>
        <v>1</v>
      </c>
      <c r="P432" s="60">
        <f t="shared" ref="P432:S432" si="486">P423</f>
        <v>0</v>
      </c>
      <c r="Q432" s="60">
        <f t="shared" si="486"/>
        <v>0</v>
      </c>
      <c r="R432" s="37">
        <f t="shared" si="486"/>
        <v>1</v>
      </c>
      <c r="S432" s="60">
        <f t="shared" si="486"/>
        <v>0</v>
      </c>
      <c r="T432" s="113">
        <v>56</v>
      </c>
      <c r="U432" s="113"/>
      <c r="V432" s="113"/>
    </row>
    <row r="433" spans="1:51" ht="9.9499999999999993" customHeight="1" x14ac:dyDescent="0.25">
      <c r="D433" s="46" t="s">
        <v>514</v>
      </c>
      <c r="U433" s="113"/>
      <c r="V433" s="113"/>
    </row>
    <row r="434" spans="1:51" ht="9.9499999999999993" customHeight="1" x14ac:dyDescent="0.25">
      <c r="D434" s="21">
        <v>1</v>
      </c>
      <c r="E434" s="21">
        <v>2</v>
      </c>
      <c r="F434" s="21">
        <v>3</v>
      </c>
      <c r="G434" s="21">
        <v>4</v>
      </c>
      <c r="H434" s="21">
        <v>5</v>
      </c>
      <c r="I434" s="21">
        <v>6</v>
      </c>
      <c r="L434" s="21">
        <v>1</v>
      </c>
      <c r="M434" s="21">
        <v>2</v>
      </c>
      <c r="N434" s="21">
        <v>3</v>
      </c>
      <c r="O434" s="21">
        <v>4</v>
      </c>
      <c r="P434" s="21">
        <v>5</v>
      </c>
      <c r="Q434" s="21">
        <v>6</v>
      </c>
    </row>
    <row r="435" spans="1:51" ht="9.9499999999999993" customHeight="1" x14ac:dyDescent="0.25">
      <c r="C435" s="21">
        <v>1</v>
      </c>
      <c r="D435" s="29">
        <v>14</v>
      </c>
      <c r="E435" s="54">
        <v>17</v>
      </c>
      <c r="F435" s="29">
        <v>11</v>
      </c>
      <c r="G435" s="55">
        <v>24</v>
      </c>
      <c r="H435" s="29">
        <v>1</v>
      </c>
      <c r="I435" s="27">
        <v>5</v>
      </c>
      <c r="L435" s="39">
        <f>Q427</f>
        <v>0</v>
      </c>
      <c r="M435" s="39">
        <f>L428</f>
        <v>1</v>
      </c>
      <c r="N435" s="39">
        <f>N427</f>
        <v>0</v>
      </c>
      <c r="O435" s="39">
        <f>S428</f>
        <v>1</v>
      </c>
      <c r="P435" s="39">
        <f>L426</f>
        <v>0</v>
      </c>
      <c r="Q435" s="39">
        <f>P426</f>
        <v>0</v>
      </c>
      <c r="R435" s="21">
        <v>6</v>
      </c>
    </row>
    <row r="436" spans="1:51" ht="9.9499999999999993" customHeight="1" x14ac:dyDescent="0.25">
      <c r="C436" s="21">
        <v>2</v>
      </c>
      <c r="D436" s="29">
        <v>3</v>
      </c>
      <c r="E436" s="54">
        <v>28</v>
      </c>
      <c r="F436" s="29">
        <v>15</v>
      </c>
      <c r="G436" s="55">
        <v>6</v>
      </c>
      <c r="H436" s="29">
        <v>21</v>
      </c>
      <c r="I436" s="27">
        <v>10</v>
      </c>
      <c r="K436" s="21">
        <v>7</v>
      </c>
      <c r="L436" s="39">
        <f>N426</f>
        <v>0</v>
      </c>
      <c r="M436" s="39">
        <f>O429</f>
        <v>0</v>
      </c>
      <c r="N436" s="39">
        <f>R427</f>
        <v>1</v>
      </c>
      <c r="O436" s="39">
        <f>Q426</f>
        <v>0</v>
      </c>
      <c r="P436" s="39">
        <f>P428</f>
        <v>1</v>
      </c>
      <c r="Q436" s="39">
        <f>M427</f>
        <v>0</v>
      </c>
      <c r="R436" s="21">
        <v>12</v>
      </c>
    </row>
    <row r="437" spans="1:51" ht="9.9499999999999993" customHeight="1" x14ac:dyDescent="0.25">
      <c r="C437" s="21">
        <v>3</v>
      </c>
      <c r="D437" s="29">
        <v>23</v>
      </c>
      <c r="E437" s="54">
        <v>19</v>
      </c>
      <c r="F437" s="29">
        <v>12</v>
      </c>
      <c r="G437" s="55">
        <v>4</v>
      </c>
      <c r="H437" s="29">
        <v>26</v>
      </c>
      <c r="I437" s="27">
        <v>8</v>
      </c>
      <c r="K437" s="56">
        <v>13</v>
      </c>
      <c r="L437" s="22">
        <f>R428</f>
        <v>1</v>
      </c>
      <c r="M437" s="22">
        <f>N428</f>
        <v>0</v>
      </c>
      <c r="N437" s="22">
        <f>O427</f>
        <v>0</v>
      </c>
      <c r="O437" s="22">
        <f>O426</f>
        <v>0</v>
      </c>
      <c r="P437" s="22">
        <f>M429</f>
        <v>0</v>
      </c>
      <c r="Q437" s="22">
        <f>S426</f>
        <v>0</v>
      </c>
      <c r="R437" s="56">
        <v>18</v>
      </c>
    </row>
    <row r="438" spans="1:51" ht="9.9499999999999993" customHeight="1" x14ac:dyDescent="0.25">
      <c r="C438" s="21">
        <v>4</v>
      </c>
      <c r="D438" s="29">
        <v>16</v>
      </c>
      <c r="E438" s="54">
        <v>7</v>
      </c>
      <c r="F438" s="29">
        <v>27</v>
      </c>
      <c r="G438" s="55">
        <v>20</v>
      </c>
      <c r="H438" s="29">
        <v>13</v>
      </c>
      <c r="I438" s="27">
        <v>2</v>
      </c>
      <c r="K438" s="21">
        <v>19</v>
      </c>
      <c r="L438" s="39">
        <f>S427</f>
        <v>0</v>
      </c>
      <c r="M438" s="39">
        <f>R426</f>
        <v>1</v>
      </c>
      <c r="N438" s="39">
        <f>N429</f>
        <v>1</v>
      </c>
      <c r="O438" s="39">
        <f>O428</f>
        <v>1</v>
      </c>
      <c r="P438" s="39">
        <f>P427</f>
        <v>0</v>
      </c>
      <c r="Q438" s="39">
        <f>M426</f>
        <v>0</v>
      </c>
      <c r="R438" s="21">
        <v>24</v>
      </c>
    </row>
    <row r="439" spans="1:51" ht="9.9499999999999993" customHeight="1" x14ac:dyDescent="0.25">
      <c r="C439" s="21">
        <v>5</v>
      </c>
      <c r="D439" s="29">
        <v>41</v>
      </c>
      <c r="E439" s="54">
        <v>52</v>
      </c>
      <c r="F439" s="29">
        <v>31</v>
      </c>
      <c r="G439" s="55">
        <v>37</v>
      </c>
      <c r="H439" s="29">
        <v>47</v>
      </c>
      <c r="I439" s="27">
        <v>55</v>
      </c>
      <c r="K439" s="57">
        <v>25</v>
      </c>
      <c r="L439" s="58">
        <f>L431</f>
        <v>1</v>
      </c>
      <c r="M439" s="58">
        <f>O432</f>
        <v>1</v>
      </c>
      <c r="N439" s="58">
        <f>R429</f>
        <v>1</v>
      </c>
      <c r="O439" s="58">
        <f>P430</f>
        <v>1</v>
      </c>
      <c r="P439" s="58">
        <f>R431</f>
        <v>1</v>
      </c>
      <c r="Q439" s="58">
        <f>R432</f>
        <v>1</v>
      </c>
      <c r="R439" s="57">
        <v>30</v>
      </c>
    </row>
    <row r="440" spans="1:51" ht="9.9499999999999993" customHeight="1" x14ac:dyDescent="0.25">
      <c r="C440" s="21">
        <v>6</v>
      </c>
      <c r="D440" s="29">
        <v>30</v>
      </c>
      <c r="E440" s="54">
        <v>40</v>
      </c>
      <c r="F440" s="29">
        <v>51</v>
      </c>
      <c r="G440" s="55">
        <v>45</v>
      </c>
      <c r="H440" s="29">
        <v>33</v>
      </c>
      <c r="I440" s="27">
        <v>48</v>
      </c>
      <c r="K440" s="21">
        <v>31</v>
      </c>
      <c r="L440" s="39">
        <f>Q429</f>
        <v>1</v>
      </c>
      <c r="M440" s="39">
        <f>S430</f>
        <v>0</v>
      </c>
      <c r="N440" s="39">
        <f>N432</f>
        <v>0</v>
      </c>
      <c r="O440" s="39">
        <f>P431</f>
        <v>1</v>
      </c>
      <c r="P440" s="39">
        <f>L430</f>
        <v>1</v>
      </c>
      <c r="Q440" s="39">
        <f>S431</f>
        <v>0</v>
      </c>
      <c r="R440" s="21">
        <v>36</v>
      </c>
    </row>
    <row r="441" spans="1:51" ht="9.9499999999999993" customHeight="1" x14ac:dyDescent="0.25">
      <c r="C441" s="21">
        <v>7</v>
      </c>
      <c r="D441" s="29">
        <v>44</v>
      </c>
      <c r="E441" s="54">
        <v>49</v>
      </c>
      <c r="F441" s="29">
        <v>39</v>
      </c>
      <c r="G441" s="55">
        <v>56</v>
      </c>
      <c r="H441" s="29">
        <v>34</v>
      </c>
      <c r="I441" s="27">
        <v>53</v>
      </c>
      <c r="K441" s="50">
        <v>37</v>
      </c>
      <c r="L441" s="27">
        <f>O431</f>
        <v>1</v>
      </c>
      <c r="M441" s="27">
        <f>L432</f>
        <v>1</v>
      </c>
      <c r="N441" s="27">
        <f>R430</f>
        <v>1</v>
      </c>
      <c r="O441" s="27">
        <f>S432</f>
        <v>0</v>
      </c>
      <c r="P441" s="27">
        <f>M430</f>
        <v>0</v>
      </c>
      <c r="Q441" s="27">
        <f>P432</f>
        <v>0</v>
      </c>
      <c r="R441" s="50">
        <v>42</v>
      </c>
    </row>
    <row r="442" spans="1:51" ht="9.9499999999999993" customHeight="1" x14ac:dyDescent="0.25">
      <c r="C442" s="21">
        <v>8</v>
      </c>
      <c r="D442" s="29">
        <v>46</v>
      </c>
      <c r="E442" s="54">
        <v>42</v>
      </c>
      <c r="F442" s="29">
        <v>50</v>
      </c>
      <c r="G442" s="55">
        <v>36</v>
      </c>
      <c r="H442" s="29">
        <v>29</v>
      </c>
      <c r="I442" s="27">
        <v>32</v>
      </c>
      <c r="K442" s="21">
        <v>43</v>
      </c>
      <c r="L442" s="39">
        <f>Q431</f>
        <v>0</v>
      </c>
      <c r="M442" s="39">
        <f>M431</f>
        <v>1</v>
      </c>
      <c r="N442" s="39">
        <f>M432</f>
        <v>0</v>
      </c>
      <c r="O442" s="39">
        <f>O430</f>
        <v>0</v>
      </c>
      <c r="P442" s="39">
        <f>P429</f>
        <v>0</v>
      </c>
      <c r="Q442" s="39">
        <f>S429</f>
        <v>1</v>
      </c>
      <c r="R442" s="21">
        <v>48</v>
      </c>
    </row>
    <row r="444" spans="1:51" ht="9.9499999999999993" customHeight="1" x14ac:dyDescent="0.25">
      <c r="A444" s="51"/>
      <c r="B444" s="51" t="s">
        <v>574</v>
      </c>
      <c r="C444" s="51"/>
      <c r="D444" s="52">
        <v>1</v>
      </c>
      <c r="E444" s="52">
        <v>2</v>
      </c>
      <c r="F444" s="52">
        <v>3</v>
      </c>
      <c r="G444" s="52">
        <v>4</v>
      </c>
      <c r="H444" s="52">
        <v>5</v>
      </c>
      <c r="I444" s="52">
        <v>6</v>
      </c>
      <c r="J444" s="52">
        <v>7</v>
      </c>
      <c r="K444" s="52">
        <v>8</v>
      </c>
      <c r="L444" s="52">
        <v>9</v>
      </c>
      <c r="M444" s="52">
        <v>10</v>
      </c>
      <c r="N444" s="52">
        <v>11</v>
      </c>
      <c r="O444" s="52">
        <v>12</v>
      </c>
      <c r="P444" s="52">
        <v>13</v>
      </c>
      <c r="Q444" s="52">
        <v>14</v>
      </c>
      <c r="R444" s="52">
        <v>15</v>
      </c>
      <c r="S444" s="52">
        <v>16</v>
      </c>
      <c r="T444" s="52">
        <v>17</v>
      </c>
      <c r="U444" s="52">
        <v>18</v>
      </c>
      <c r="V444" s="52">
        <v>19</v>
      </c>
      <c r="W444" s="52">
        <v>20</v>
      </c>
      <c r="X444" s="52">
        <v>21</v>
      </c>
      <c r="Y444" s="52">
        <v>22</v>
      </c>
      <c r="Z444" s="52">
        <v>23</v>
      </c>
      <c r="AA444" s="52">
        <v>24</v>
      </c>
      <c r="AB444" s="52">
        <v>25</v>
      </c>
      <c r="AC444" s="52">
        <v>26</v>
      </c>
      <c r="AD444" s="52">
        <v>27</v>
      </c>
      <c r="AE444" s="52">
        <v>28</v>
      </c>
      <c r="AF444" s="52">
        <v>29</v>
      </c>
      <c r="AG444" s="52">
        <v>30</v>
      </c>
      <c r="AH444" s="52">
        <v>31</v>
      </c>
      <c r="AI444" s="52">
        <v>32</v>
      </c>
      <c r="AJ444" s="52">
        <v>33</v>
      </c>
      <c r="AK444" s="52">
        <v>34</v>
      </c>
      <c r="AL444" s="52">
        <v>35</v>
      </c>
      <c r="AM444" s="52">
        <v>36</v>
      </c>
      <c r="AN444" s="52">
        <v>37</v>
      </c>
      <c r="AO444" s="52">
        <v>38</v>
      </c>
      <c r="AP444" s="52">
        <v>39</v>
      </c>
      <c r="AQ444" s="52">
        <v>40</v>
      </c>
      <c r="AR444" s="52">
        <v>41</v>
      </c>
      <c r="AS444" s="52">
        <v>42</v>
      </c>
      <c r="AT444" s="52">
        <v>43</v>
      </c>
      <c r="AU444" s="52">
        <v>44</v>
      </c>
      <c r="AV444" s="52">
        <v>45</v>
      </c>
      <c r="AW444" s="52">
        <v>46</v>
      </c>
      <c r="AX444" s="52">
        <v>47</v>
      </c>
      <c r="AY444" s="52">
        <v>48</v>
      </c>
    </row>
    <row r="445" spans="1:51" ht="9.9499999999999993" customHeight="1" x14ac:dyDescent="0.25">
      <c r="D445" s="52">
        <f t="shared" ref="D445" si="487">L435</f>
        <v>0</v>
      </c>
      <c r="E445" s="52">
        <f t="shared" ref="E445" si="488">M435</f>
        <v>1</v>
      </c>
      <c r="F445" s="52">
        <f t="shared" ref="F445" si="489">N435</f>
        <v>0</v>
      </c>
      <c r="G445" s="52">
        <f t="shared" ref="G445" si="490">O435</f>
        <v>1</v>
      </c>
      <c r="H445" s="52">
        <f t="shared" ref="H445" si="491">P435</f>
        <v>0</v>
      </c>
      <c r="I445" s="52">
        <f t="shared" ref="I445" si="492">Q435</f>
        <v>0</v>
      </c>
      <c r="J445" s="52">
        <f t="shared" ref="J445" si="493">L436</f>
        <v>0</v>
      </c>
      <c r="K445" s="52">
        <f t="shared" ref="K445" si="494">M436</f>
        <v>0</v>
      </c>
      <c r="L445" s="52">
        <f t="shared" ref="L445" si="495">N436</f>
        <v>1</v>
      </c>
      <c r="M445" s="52">
        <f t="shared" ref="M445" si="496">O436</f>
        <v>0</v>
      </c>
      <c r="N445" s="52">
        <f t="shared" ref="N445" si="497">P436</f>
        <v>1</v>
      </c>
      <c r="O445" s="52">
        <f t="shared" ref="O445" si="498">Q436</f>
        <v>0</v>
      </c>
      <c r="P445" s="52">
        <f t="shared" ref="P445" si="499">L437</f>
        <v>1</v>
      </c>
      <c r="Q445" s="52">
        <f t="shared" ref="Q445" si="500">M437</f>
        <v>0</v>
      </c>
      <c r="R445" s="52">
        <f t="shared" ref="R445" si="501">N437</f>
        <v>0</v>
      </c>
      <c r="S445" s="52">
        <f t="shared" ref="S445" si="502">O437</f>
        <v>0</v>
      </c>
      <c r="T445" s="52">
        <f t="shared" ref="T445" si="503">P437</f>
        <v>0</v>
      </c>
      <c r="U445" s="52">
        <f t="shared" ref="U445" si="504">Q437</f>
        <v>0</v>
      </c>
      <c r="V445" s="52">
        <f t="shared" ref="V445" si="505">L438</f>
        <v>0</v>
      </c>
      <c r="W445" s="52">
        <f t="shared" ref="W445" si="506">M438</f>
        <v>1</v>
      </c>
      <c r="X445" s="52">
        <f t="shared" ref="X445" si="507">N438</f>
        <v>1</v>
      </c>
      <c r="Y445" s="52">
        <f t="shared" ref="Y445" si="508">O438</f>
        <v>1</v>
      </c>
      <c r="Z445" s="52">
        <f t="shared" ref="Z445" si="509">P438</f>
        <v>0</v>
      </c>
      <c r="AA445" s="52">
        <f t="shared" ref="AA445" si="510">Q438</f>
        <v>0</v>
      </c>
      <c r="AB445" s="52">
        <f t="shared" ref="AB445" si="511">L439</f>
        <v>1</v>
      </c>
      <c r="AC445" s="52">
        <f t="shared" ref="AC445" si="512">M439</f>
        <v>1</v>
      </c>
      <c r="AD445" s="52">
        <f t="shared" ref="AD445" si="513">N439</f>
        <v>1</v>
      </c>
      <c r="AE445" s="52">
        <f t="shared" ref="AE445" si="514">O439</f>
        <v>1</v>
      </c>
      <c r="AF445" s="52">
        <f t="shared" ref="AF445" si="515">P439</f>
        <v>1</v>
      </c>
      <c r="AG445" s="52">
        <f t="shared" ref="AG445" si="516">Q439</f>
        <v>1</v>
      </c>
      <c r="AH445" s="52">
        <f t="shared" ref="AH445" si="517">L440</f>
        <v>1</v>
      </c>
      <c r="AI445" s="52">
        <f t="shared" ref="AI445" si="518">M440</f>
        <v>0</v>
      </c>
      <c r="AJ445" s="52">
        <f t="shared" ref="AJ445" si="519">N440</f>
        <v>0</v>
      </c>
      <c r="AK445" s="52">
        <f t="shared" ref="AK445" si="520">O440</f>
        <v>1</v>
      </c>
      <c r="AL445" s="52">
        <f t="shared" ref="AL445" si="521">P440</f>
        <v>1</v>
      </c>
      <c r="AM445" s="52">
        <f t="shared" ref="AM445" si="522">Q440</f>
        <v>0</v>
      </c>
      <c r="AN445" s="52">
        <f t="shared" ref="AN445" si="523">L441</f>
        <v>1</v>
      </c>
      <c r="AO445" s="52">
        <f t="shared" ref="AO445" si="524">M441</f>
        <v>1</v>
      </c>
      <c r="AP445" s="52">
        <f t="shared" ref="AP445" si="525">N441</f>
        <v>1</v>
      </c>
      <c r="AQ445" s="52">
        <f t="shared" ref="AQ445" si="526">O441</f>
        <v>0</v>
      </c>
      <c r="AR445" s="52">
        <f t="shared" ref="AR445" si="527">P441</f>
        <v>0</v>
      </c>
      <c r="AS445" s="52">
        <f t="shared" ref="AS445" si="528">Q441</f>
        <v>0</v>
      </c>
      <c r="AT445" s="52">
        <f t="shared" ref="AT445" si="529">L442</f>
        <v>0</v>
      </c>
      <c r="AU445" s="52">
        <f t="shared" ref="AU445" si="530">M442</f>
        <v>1</v>
      </c>
      <c r="AV445" s="52">
        <f t="shared" ref="AV445" si="531">N442</f>
        <v>0</v>
      </c>
      <c r="AW445" s="52">
        <f t="shared" ref="AW445" si="532">O442</f>
        <v>0</v>
      </c>
      <c r="AX445" s="52">
        <f t="shared" ref="AX445" si="533">P442</f>
        <v>0</v>
      </c>
      <c r="AY445" s="52">
        <f t="shared" ref="AY445" si="534">Q442</f>
        <v>1</v>
      </c>
    </row>
    <row r="447" spans="1:51" ht="9.9499999999999993" customHeight="1" x14ac:dyDescent="0.25">
      <c r="G447" s="38" t="s">
        <v>519</v>
      </c>
    </row>
    <row r="451" spans="11:22" ht="9.9499999999999993" customHeight="1" x14ac:dyDescent="0.25">
      <c r="L451" s="33" t="s">
        <v>575</v>
      </c>
      <c r="Q451" s="34" t="s">
        <v>576</v>
      </c>
    </row>
    <row r="452" spans="11:22" ht="9.9499999999999993" customHeight="1" x14ac:dyDescent="0.25">
      <c r="K452" s="40">
        <f>M417</f>
        <v>0</v>
      </c>
      <c r="L452" s="59">
        <f>N417</f>
        <v>0</v>
      </c>
      <c r="M452" s="59">
        <f>K417</f>
        <v>0</v>
      </c>
      <c r="N452" s="59">
        <f>L417</f>
        <v>0</v>
      </c>
      <c r="O452" s="113"/>
      <c r="P452" s="40">
        <f>R417</f>
        <v>1</v>
      </c>
      <c r="Q452" s="59">
        <f>S417</f>
        <v>0</v>
      </c>
      <c r="R452" s="59">
        <f>P417</f>
        <v>0</v>
      </c>
      <c r="S452" s="59">
        <f>Q417</f>
        <v>0</v>
      </c>
      <c r="T452" s="113"/>
      <c r="U452" s="113"/>
      <c r="V452" s="113"/>
    </row>
    <row r="453" spans="11:22" ht="9.9499999999999993" customHeight="1" x14ac:dyDescent="0.25">
      <c r="K453" s="40">
        <f t="shared" ref="K453:K458" si="535">M418</f>
        <v>0</v>
      </c>
      <c r="L453" s="59">
        <f t="shared" ref="L453:L458" si="536">N418</f>
        <v>0</v>
      </c>
      <c r="M453" s="59">
        <f t="shared" ref="M453:M458" si="537">K418</f>
        <v>0</v>
      </c>
      <c r="N453" s="59">
        <f t="shared" ref="N453:N458" si="538">L418</f>
        <v>0</v>
      </c>
      <c r="O453" s="113"/>
      <c r="P453" s="40">
        <f t="shared" ref="P453:P458" si="539">R418</f>
        <v>1</v>
      </c>
      <c r="Q453" s="59">
        <f t="shared" ref="Q453:Q458" si="540">S418</f>
        <v>0</v>
      </c>
      <c r="R453" s="59">
        <f t="shared" ref="R453:R458" si="541">P418</f>
        <v>0</v>
      </c>
      <c r="S453" s="59">
        <f t="shared" ref="S453:S458" si="542">Q418</f>
        <v>0</v>
      </c>
      <c r="T453" s="113"/>
      <c r="U453" s="113"/>
      <c r="V453" s="113"/>
    </row>
    <row r="454" spans="11:22" ht="9.9499999999999993" customHeight="1" x14ac:dyDescent="0.25">
      <c r="K454" s="40">
        <f t="shared" si="535"/>
        <v>0</v>
      </c>
      <c r="L454" s="59">
        <f t="shared" si="536"/>
        <v>1</v>
      </c>
      <c r="M454" s="59">
        <f t="shared" si="537"/>
        <v>1</v>
      </c>
      <c r="N454" s="59">
        <f t="shared" si="538"/>
        <v>1</v>
      </c>
      <c r="O454" s="113"/>
      <c r="P454" s="40">
        <f t="shared" si="539"/>
        <v>1</v>
      </c>
      <c r="Q454" s="59">
        <f t="shared" si="540"/>
        <v>1</v>
      </c>
      <c r="R454" s="59">
        <f t="shared" si="541"/>
        <v>1</v>
      </c>
      <c r="S454" s="59">
        <f t="shared" si="542"/>
        <v>1</v>
      </c>
      <c r="T454" s="113"/>
      <c r="U454" s="113"/>
      <c r="V454" s="113"/>
    </row>
    <row r="455" spans="11:22" ht="9.9499999999999993" customHeight="1" x14ac:dyDescent="0.25">
      <c r="K455" s="40">
        <f t="shared" si="535"/>
        <v>1</v>
      </c>
      <c r="L455" s="59">
        <f t="shared" si="536"/>
        <v>0</v>
      </c>
      <c r="M455" s="59">
        <f t="shared" si="537"/>
        <v>0</v>
      </c>
      <c r="N455" s="59">
        <f t="shared" si="538"/>
        <v>0</v>
      </c>
      <c r="O455" s="113"/>
      <c r="P455" s="40">
        <f t="shared" si="539"/>
        <v>1</v>
      </c>
      <c r="Q455" s="59">
        <f t="shared" si="540"/>
        <v>1</v>
      </c>
      <c r="R455" s="59">
        <f t="shared" si="541"/>
        <v>0</v>
      </c>
      <c r="S455" s="59">
        <f t="shared" si="542"/>
        <v>1</v>
      </c>
      <c r="T455" s="113"/>
      <c r="U455" s="113"/>
      <c r="V455" s="113"/>
    </row>
    <row r="456" spans="11:22" ht="9.9499999999999993" customHeight="1" x14ac:dyDescent="0.25">
      <c r="K456" s="40">
        <f t="shared" si="535"/>
        <v>0</v>
      </c>
      <c r="L456" s="59">
        <f t="shared" si="536"/>
        <v>0</v>
      </c>
      <c r="M456" s="59">
        <f t="shared" si="537"/>
        <v>1</v>
      </c>
      <c r="N456" s="59">
        <f t="shared" si="538"/>
        <v>0</v>
      </c>
      <c r="O456" s="113"/>
      <c r="P456" s="40">
        <f t="shared" si="539"/>
        <v>1</v>
      </c>
      <c r="Q456" s="59">
        <f t="shared" si="540"/>
        <v>0</v>
      </c>
      <c r="R456" s="59">
        <f t="shared" si="541"/>
        <v>1</v>
      </c>
      <c r="S456" s="59">
        <f t="shared" si="542"/>
        <v>0</v>
      </c>
      <c r="T456" s="113"/>
      <c r="U456" s="113"/>
      <c r="V456" s="113"/>
    </row>
    <row r="457" spans="11:22" ht="9.9499999999999993" customHeight="1" x14ac:dyDescent="0.25">
      <c r="K457" s="40">
        <f t="shared" si="535"/>
        <v>1</v>
      </c>
      <c r="L457" s="59">
        <f t="shared" si="536"/>
        <v>1</v>
      </c>
      <c r="M457" s="59">
        <f t="shared" si="537"/>
        <v>1</v>
      </c>
      <c r="N457" s="59">
        <f t="shared" si="538"/>
        <v>1</v>
      </c>
      <c r="O457" s="113"/>
      <c r="P457" s="40">
        <f t="shared" si="539"/>
        <v>1</v>
      </c>
      <c r="Q457" s="59">
        <f t="shared" si="540"/>
        <v>0</v>
      </c>
      <c r="R457" s="59">
        <f t="shared" si="541"/>
        <v>1</v>
      </c>
      <c r="S457" s="59">
        <f t="shared" si="542"/>
        <v>0</v>
      </c>
      <c r="T457" s="113"/>
      <c r="U457" s="113"/>
      <c r="V457" s="113"/>
    </row>
    <row r="458" spans="11:22" ht="9.9499999999999993" customHeight="1" x14ac:dyDescent="0.25">
      <c r="K458" s="40">
        <f t="shared" si="535"/>
        <v>0</v>
      </c>
      <c r="L458" s="59">
        <f t="shared" si="536"/>
        <v>1</v>
      </c>
      <c r="M458" s="59">
        <f t="shared" si="537"/>
        <v>1</v>
      </c>
      <c r="N458" s="59">
        <f t="shared" si="538"/>
        <v>0</v>
      </c>
      <c r="O458" s="113"/>
      <c r="P458" s="40">
        <f t="shared" si="539"/>
        <v>1</v>
      </c>
      <c r="Q458" s="59">
        <f t="shared" si="540"/>
        <v>0</v>
      </c>
      <c r="R458" s="59">
        <f t="shared" si="541"/>
        <v>0</v>
      </c>
      <c r="S458" s="59">
        <f t="shared" si="542"/>
        <v>0</v>
      </c>
      <c r="T458" s="113"/>
      <c r="U458" s="113"/>
      <c r="V458" s="113"/>
    </row>
    <row r="459" spans="11:22" ht="9.9499999999999993" customHeight="1" x14ac:dyDescent="0.25"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</row>
    <row r="460" spans="11:22" ht="9.9499999999999993" customHeight="1" x14ac:dyDescent="0.25">
      <c r="K460" s="113"/>
      <c r="L460" s="113">
        <v>1</v>
      </c>
      <c r="M460" s="113">
        <v>2</v>
      </c>
      <c r="N460" s="113">
        <v>3</v>
      </c>
      <c r="O460" s="113">
        <v>4</v>
      </c>
      <c r="P460" s="113">
        <v>5</v>
      </c>
      <c r="Q460" s="113">
        <v>6</v>
      </c>
      <c r="R460" s="113">
        <v>7</v>
      </c>
      <c r="S460" s="113">
        <v>8</v>
      </c>
      <c r="T460" s="113"/>
      <c r="U460" s="113"/>
      <c r="V460" s="113"/>
    </row>
    <row r="461" spans="11:22" ht="9.9499999999999993" customHeight="1" x14ac:dyDescent="0.25">
      <c r="K461" s="113">
        <v>1</v>
      </c>
      <c r="L461" s="37">
        <f>K452</f>
        <v>0</v>
      </c>
      <c r="M461" s="60">
        <f>L452</f>
        <v>0</v>
      </c>
      <c r="N461" s="60">
        <f>M452</f>
        <v>0</v>
      </c>
      <c r="O461" s="60">
        <f>N452</f>
        <v>0</v>
      </c>
      <c r="P461" s="37">
        <f>P452</f>
        <v>1</v>
      </c>
      <c r="Q461" s="60">
        <f>Q452</f>
        <v>0</v>
      </c>
      <c r="R461" s="60">
        <f>R452</f>
        <v>0</v>
      </c>
      <c r="S461" s="60">
        <f>S452</f>
        <v>0</v>
      </c>
      <c r="T461" s="113">
        <v>8</v>
      </c>
      <c r="U461" s="113"/>
      <c r="V461" s="113"/>
    </row>
    <row r="462" spans="11:22" ht="9.9499999999999993" customHeight="1" x14ac:dyDescent="0.25">
      <c r="K462" s="113">
        <v>9</v>
      </c>
      <c r="L462" s="37">
        <f t="shared" ref="L462:L467" si="543">K453</f>
        <v>0</v>
      </c>
      <c r="M462" s="60">
        <f t="shared" ref="M462:M467" si="544">L453</f>
        <v>0</v>
      </c>
      <c r="N462" s="60">
        <f t="shared" ref="N462:N467" si="545">M453</f>
        <v>0</v>
      </c>
      <c r="O462" s="60">
        <f t="shared" ref="O462:O467" si="546">N453</f>
        <v>0</v>
      </c>
      <c r="P462" s="37">
        <f t="shared" ref="P462:S462" si="547">P453</f>
        <v>1</v>
      </c>
      <c r="Q462" s="60">
        <f t="shared" si="547"/>
        <v>0</v>
      </c>
      <c r="R462" s="60">
        <f t="shared" si="547"/>
        <v>0</v>
      </c>
      <c r="S462" s="60">
        <f t="shared" si="547"/>
        <v>0</v>
      </c>
      <c r="T462" s="113">
        <v>16</v>
      </c>
      <c r="U462" s="113"/>
      <c r="V462" s="113"/>
    </row>
    <row r="463" spans="11:22" ht="9.9499999999999993" customHeight="1" x14ac:dyDescent="0.25">
      <c r="K463" s="113">
        <v>17</v>
      </c>
      <c r="L463" s="37">
        <f t="shared" si="543"/>
        <v>0</v>
      </c>
      <c r="M463" s="60">
        <f t="shared" si="544"/>
        <v>1</v>
      </c>
      <c r="N463" s="60">
        <f t="shared" si="545"/>
        <v>1</v>
      </c>
      <c r="O463" s="60">
        <f t="shared" si="546"/>
        <v>1</v>
      </c>
      <c r="P463" s="37">
        <f t="shared" ref="P463:S463" si="548">P454</f>
        <v>1</v>
      </c>
      <c r="Q463" s="60">
        <f t="shared" si="548"/>
        <v>1</v>
      </c>
      <c r="R463" s="60">
        <f t="shared" si="548"/>
        <v>1</v>
      </c>
      <c r="S463" s="60">
        <f t="shared" si="548"/>
        <v>1</v>
      </c>
      <c r="T463" s="113">
        <v>24</v>
      </c>
      <c r="U463" s="113"/>
      <c r="V463" s="113"/>
    </row>
    <row r="464" spans="11:22" ht="9.9499999999999993" customHeight="1" x14ac:dyDescent="0.25">
      <c r="K464" s="113">
        <v>25</v>
      </c>
      <c r="L464" s="37">
        <f t="shared" si="543"/>
        <v>1</v>
      </c>
      <c r="M464" s="60">
        <f t="shared" si="544"/>
        <v>0</v>
      </c>
      <c r="N464" s="60">
        <f t="shared" si="545"/>
        <v>0</v>
      </c>
      <c r="O464" s="60">
        <f t="shared" si="546"/>
        <v>0</v>
      </c>
      <c r="P464" s="37">
        <f t="shared" ref="P464:S464" si="549">P455</f>
        <v>1</v>
      </c>
      <c r="Q464" s="60">
        <f t="shared" si="549"/>
        <v>1</v>
      </c>
      <c r="R464" s="60">
        <f t="shared" si="549"/>
        <v>0</v>
      </c>
      <c r="S464" s="60">
        <f t="shared" si="549"/>
        <v>1</v>
      </c>
      <c r="T464" s="113">
        <v>32</v>
      </c>
      <c r="U464" s="113"/>
      <c r="V464" s="113"/>
    </row>
    <row r="465" spans="1:51" ht="9.9499999999999993" customHeight="1" x14ac:dyDescent="0.25">
      <c r="K465" s="113">
        <v>33</v>
      </c>
      <c r="L465" s="37">
        <f t="shared" si="543"/>
        <v>0</v>
      </c>
      <c r="M465" s="60">
        <f t="shared" si="544"/>
        <v>0</v>
      </c>
      <c r="N465" s="60">
        <f t="shared" si="545"/>
        <v>1</v>
      </c>
      <c r="O465" s="60">
        <f t="shared" si="546"/>
        <v>0</v>
      </c>
      <c r="P465" s="37">
        <f t="shared" ref="P465:S465" si="550">P456</f>
        <v>1</v>
      </c>
      <c r="Q465" s="60">
        <f t="shared" si="550"/>
        <v>0</v>
      </c>
      <c r="R465" s="60">
        <f t="shared" si="550"/>
        <v>1</v>
      </c>
      <c r="S465" s="60">
        <f t="shared" si="550"/>
        <v>0</v>
      </c>
      <c r="T465" s="113">
        <v>40</v>
      </c>
      <c r="U465" s="113"/>
      <c r="V465" s="113"/>
    </row>
    <row r="466" spans="1:51" ht="9.9499999999999993" customHeight="1" x14ac:dyDescent="0.25">
      <c r="K466" s="113">
        <v>41</v>
      </c>
      <c r="L466" s="37">
        <f t="shared" si="543"/>
        <v>1</v>
      </c>
      <c r="M466" s="60">
        <f t="shared" si="544"/>
        <v>1</v>
      </c>
      <c r="N466" s="60">
        <f t="shared" si="545"/>
        <v>1</v>
      </c>
      <c r="O466" s="60">
        <f t="shared" si="546"/>
        <v>1</v>
      </c>
      <c r="P466" s="37">
        <f t="shared" ref="P466:S466" si="551">P457</f>
        <v>1</v>
      </c>
      <c r="Q466" s="60">
        <f t="shared" si="551"/>
        <v>0</v>
      </c>
      <c r="R466" s="60">
        <f t="shared" si="551"/>
        <v>1</v>
      </c>
      <c r="S466" s="60">
        <f t="shared" si="551"/>
        <v>0</v>
      </c>
      <c r="T466" s="113">
        <v>48</v>
      </c>
      <c r="U466" s="113"/>
      <c r="V466" s="113"/>
    </row>
    <row r="467" spans="1:51" ht="9.9499999999999993" customHeight="1" x14ac:dyDescent="0.25">
      <c r="K467" s="113">
        <v>49</v>
      </c>
      <c r="L467" s="37">
        <f t="shared" si="543"/>
        <v>0</v>
      </c>
      <c r="M467" s="60">
        <f t="shared" si="544"/>
        <v>1</v>
      </c>
      <c r="N467" s="60">
        <f t="shared" si="545"/>
        <v>1</v>
      </c>
      <c r="O467" s="60">
        <f t="shared" si="546"/>
        <v>0</v>
      </c>
      <c r="P467" s="37">
        <f t="shared" ref="P467:S467" si="552">P458</f>
        <v>1</v>
      </c>
      <c r="Q467" s="60">
        <f t="shared" si="552"/>
        <v>0</v>
      </c>
      <c r="R467" s="60">
        <f t="shared" si="552"/>
        <v>0</v>
      </c>
      <c r="S467" s="60">
        <f t="shared" si="552"/>
        <v>0</v>
      </c>
      <c r="T467" s="113">
        <v>56</v>
      </c>
      <c r="U467" s="113"/>
      <c r="V467" s="113"/>
    </row>
    <row r="468" spans="1:51" ht="9.9499999999999993" customHeight="1" x14ac:dyDescent="0.25">
      <c r="D468" s="46" t="s">
        <v>514</v>
      </c>
      <c r="U468" s="113"/>
      <c r="V468" s="113"/>
    </row>
    <row r="469" spans="1:51" ht="9.9499999999999993" customHeight="1" x14ac:dyDescent="0.25">
      <c r="D469" s="21">
        <v>1</v>
      </c>
      <c r="E469" s="21">
        <v>2</v>
      </c>
      <c r="F469" s="21">
        <v>3</v>
      </c>
      <c r="G469" s="21">
        <v>4</v>
      </c>
      <c r="H469" s="21">
        <v>5</v>
      </c>
      <c r="I469" s="21">
        <v>6</v>
      </c>
      <c r="L469" s="21">
        <v>1</v>
      </c>
      <c r="M469" s="21">
        <v>2</v>
      </c>
      <c r="N469" s="21">
        <v>3</v>
      </c>
      <c r="O469" s="21">
        <v>4</v>
      </c>
      <c r="P469" s="21">
        <v>5</v>
      </c>
      <c r="Q469" s="21">
        <v>6</v>
      </c>
    </row>
    <row r="470" spans="1:51" ht="9.9499999999999993" customHeight="1" x14ac:dyDescent="0.25">
      <c r="C470" s="21">
        <v>1</v>
      </c>
      <c r="D470" s="29">
        <v>14</v>
      </c>
      <c r="E470" s="54">
        <v>17</v>
      </c>
      <c r="F470" s="29">
        <v>11</v>
      </c>
      <c r="G470" s="55">
        <v>24</v>
      </c>
      <c r="H470" s="29">
        <v>1</v>
      </c>
      <c r="I470" s="27">
        <v>5</v>
      </c>
      <c r="L470" s="39">
        <f>Q462</f>
        <v>0</v>
      </c>
      <c r="M470" s="39">
        <f>L463</f>
        <v>0</v>
      </c>
      <c r="N470" s="39">
        <f>N462</f>
        <v>0</v>
      </c>
      <c r="O470" s="39">
        <f>S463</f>
        <v>1</v>
      </c>
      <c r="P470" s="39">
        <f>L461</f>
        <v>0</v>
      </c>
      <c r="Q470" s="39">
        <f>P461</f>
        <v>1</v>
      </c>
      <c r="R470" s="21">
        <v>6</v>
      </c>
    </row>
    <row r="471" spans="1:51" ht="9.9499999999999993" customHeight="1" x14ac:dyDescent="0.25">
      <c r="C471" s="21">
        <v>2</v>
      </c>
      <c r="D471" s="29">
        <v>3</v>
      </c>
      <c r="E471" s="54">
        <v>28</v>
      </c>
      <c r="F471" s="29">
        <v>15</v>
      </c>
      <c r="G471" s="55">
        <v>6</v>
      </c>
      <c r="H471" s="29">
        <v>21</v>
      </c>
      <c r="I471" s="27">
        <v>10</v>
      </c>
      <c r="K471" s="21">
        <v>7</v>
      </c>
      <c r="L471" s="39">
        <f>N461</f>
        <v>0</v>
      </c>
      <c r="M471" s="39">
        <f>O464</f>
        <v>0</v>
      </c>
      <c r="N471" s="39">
        <f>R462</f>
        <v>0</v>
      </c>
      <c r="O471" s="39">
        <f>Q461</f>
        <v>0</v>
      </c>
      <c r="P471" s="39">
        <f>P463</f>
        <v>1</v>
      </c>
      <c r="Q471" s="39">
        <f>M462</f>
        <v>0</v>
      </c>
      <c r="R471" s="21">
        <v>12</v>
      </c>
    </row>
    <row r="472" spans="1:51" ht="9.9499999999999993" customHeight="1" x14ac:dyDescent="0.25">
      <c r="C472" s="21">
        <v>3</v>
      </c>
      <c r="D472" s="29">
        <v>23</v>
      </c>
      <c r="E472" s="54">
        <v>19</v>
      </c>
      <c r="F472" s="29">
        <v>12</v>
      </c>
      <c r="G472" s="55">
        <v>4</v>
      </c>
      <c r="H472" s="29">
        <v>26</v>
      </c>
      <c r="I472" s="27">
        <v>8</v>
      </c>
      <c r="K472" s="56">
        <v>13</v>
      </c>
      <c r="L472" s="22">
        <f>R463</f>
        <v>1</v>
      </c>
      <c r="M472" s="22">
        <f>N463</f>
        <v>1</v>
      </c>
      <c r="N472" s="22">
        <f>O462</f>
        <v>0</v>
      </c>
      <c r="O472" s="22">
        <f>O461</f>
        <v>0</v>
      </c>
      <c r="P472" s="22">
        <f>M464</f>
        <v>0</v>
      </c>
      <c r="Q472" s="22">
        <f>S461</f>
        <v>0</v>
      </c>
      <c r="R472" s="56">
        <v>18</v>
      </c>
    </row>
    <row r="473" spans="1:51" ht="9.9499999999999993" customHeight="1" x14ac:dyDescent="0.25">
      <c r="C473" s="21">
        <v>4</v>
      </c>
      <c r="D473" s="29">
        <v>16</v>
      </c>
      <c r="E473" s="54">
        <v>7</v>
      </c>
      <c r="F473" s="29">
        <v>27</v>
      </c>
      <c r="G473" s="55">
        <v>20</v>
      </c>
      <c r="H473" s="29">
        <v>13</v>
      </c>
      <c r="I473" s="27">
        <v>2</v>
      </c>
      <c r="K473" s="21">
        <v>19</v>
      </c>
      <c r="L473" s="39">
        <f>S462</f>
        <v>0</v>
      </c>
      <c r="M473" s="39">
        <f>R461</f>
        <v>0</v>
      </c>
      <c r="N473" s="39">
        <f>N464</f>
        <v>0</v>
      </c>
      <c r="O473" s="39">
        <f>O463</f>
        <v>1</v>
      </c>
      <c r="P473" s="39">
        <f>P462</f>
        <v>1</v>
      </c>
      <c r="Q473" s="39">
        <f>M461</f>
        <v>0</v>
      </c>
      <c r="R473" s="21">
        <v>24</v>
      </c>
    </row>
    <row r="474" spans="1:51" ht="9.9499999999999993" customHeight="1" x14ac:dyDescent="0.25">
      <c r="C474" s="21">
        <v>5</v>
      </c>
      <c r="D474" s="29">
        <v>41</v>
      </c>
      <c r="E474" s="54">
        <v>52</v>
      </c>
      <c r="F474" s="29">
        <v>31</v>
      </c>
      <c r="G474" s="55">
        <v>37</v>
      </c>
      <c r="H474" s="29">
        <v>47</v>
      </c>
      <c r="I474" s="27">
        <v>55</v>
      </c>
      <c r="K474" s="57">
        <v>25</v>
      </c>
      <c r="L474" s="58">
        <f>L466</f>
        <v>1</v>
      </c>
      <c r="M474" s="58">
        <f>O467</f>
        <v>0</v>
      </c>
      <c r="N474" s="58">
        <f>R464</f>
        <v>0</v>
      </c>
      <c r="O474" s="58">
        <f>P465</f>
        <v>1</v>
      </c>
      <c r="P474" s="58">
        <f>R466</f>
        <v>1</v>
      </c>
      <c r="Q474" s="58">
        <f>R467</f>
        <v>0</v>
      </c>
      <c r="R474" s="57">
        <v>30</v>
      </c>
    </row>
    <row r="475" spans="1:51" ht="9.9499999999999993" customHeight="1" x14ac:dyDescent="0.25">
      <c r="C475" s="21">
        <v>6</v>
      </c>
      <c r="D475" s="29">
        <v>30</v>
      </c>
      <c r="E475" s="54">
        <v>40</v>
      </c>
      <c r="F475" s="29">
        <v>51</v>
      </c>
      <c r="G475" s="55">
        <v>45</v>
      </c>
      <c r="H475" s="29">
        <v>33</v>
      </c>
      <c r="I475" s="27">
        <v>48</v>
      </c>
      <c r="K475" s="21">
        <v>31</v>
      </c>
      <c r="L475" s="39">
        <f>Q464</f>
        <v>1</v>
      </c>
      <c r="M475" s="39">
        <f>S465</f>
        <v>0</v>
      </c>
      <c r="N475" s="39">
        <f>N467</f>
        <v>1</v>
      </c>
      <c r="O475" s="39">
        <f>P466</f>
        <v>1</v>
      </c>
      <c r="P475" s="39">
        <f>L465</f>
        <v>0</v>
      </c>
      <c r="Q475" s="39">
        <f>S466</f>
        <v>0</v>
      </c>
      <c r="R475" s="21">
        <v>36</v>
      </c>
    </row>
    <row r="476" spans="1:51" ht="9.9499999999999993" customHeight="1" x14ac:dyDescent="0.25">
      <c r="C476" s="21">
        <v>7</v>
      </c>
      <c r="D476" s="29">
        <v>44</v>
      </c>
      <c r="E476" s="54">
        <v>49</v>
      </c>
      <c r="F476" s="29">
        <v>39</v>
      </c>
      <c r="G476" s="55">
        <v>56</v>
      </c>
      <c r="H476" s="29">
        <v>34</v>
      </c>
      <c r="I476" s="27">
        <v>53</v>
      </c>
      <c r="K476" s="50">
        <v>37</v>
      </c>
      <c r="L476" s="27">
        <f>O466</f>
        <v>1</v>
      </c>
      <c r="M476" s="27">
        <f>L467</f>
        <v>0</v>
      </c>
      <c r="N476" s="27">
        <f>R465</f>
        <v>1</v>
      </c>
      <c r="O476" s="27">
        <f>S467</f>
        <v>0</v>
      </c>
      <c r="P476" s="27">
        <f>M465</f>
        <v>0</v>
      </c>
      <c r="Q476" s="27">
        <f>P467</f>
        <v>1</v>
      </c>
      <c r="R476" s="50">
        <v>42</v>
      </c>
    </row>
    <row r="477" spans="1:51" ht="9.9499999999999993" customHeight="1" x14ac:dyDescent="0.25">
      <c r="C477" s="21">
        <v>8</v>
      </c>
      <c r="D477" s="29">
        <v>46</v>
      </c>
      <c r="E477" s="54">
        <v>42</v>
      </c>
      <c r="F477" s="29">
        <v>50</v>
      </c>
      <c r="G477" s="55">
        <v>36</v>
      </c>
      <c r="H477" s="29">
        <v>29</v>
      </c>
      <c r="I477" s="27">
        <v>32</v>
      </c>
      <c r="K477" s="21">
        <v>43</v>
      </c>
      <c r="L477" s="39">
        <f>Q466</f>
        <v>0</v>
      </c>
      <c r="M477" s="39">
        <f>M466</f>
        <v>1</v>
      </c>
      <c r="N477" s="39">
        <f>M467</f>
        <v>1</v>
      </c>
      <c r="O477" s="39">
        <f>O465</f>
        <v>0</v>
      </c>
      <c r="P477" s="39">
        <f>P464</f>
        <v>1</v>
      </c>
      <c r="Q477" s="39">
        <f>S464</f>
        <v>1</v>
      </c>
      <c r="R477" s="21">
        <v>48</v>
      </c>
    </row>
    <row r="479" spans="1:51" ht="9.9499999999999993" customHeight="1" x14ac:dyDescent="0.25">
      <c r="A479" s="51"/>
      <c r="B479" s="51" t="s">
        <v>577</v>
      </c>
      <c r="C479" s="51"/>
      <c r="D479" s="52">
        <v>1</v>
      </c>
      <c r="E479" s="52">
        <v>2</v>
      </c>
      <c r="F479" s="52">
        <v>3</v>
      </c>
      <c r="G479" s="52">
        <v>4</v>
      </c>
      <c r="H479" s="52">
        <v>5</v>
      </c>
      <c r="I479" s="52">
        <v>6</v>
      </c>
      <c r="J479" s="52">
        <v>7</v>
      </c>
      <c r="K479" s="52">
        <v>8</v>
      </c>
      <c r="L479" s="52">
        <v>9</v>
      </c>
      <c r="M479" s="52">
        <v>10</v>
      </c>
      <c r="N479" s="52">
        <v>11</v>
      </c>
      <c r="O479" s="52">
        <v>12</v>
      </c>
      <c r="P479" s="52">
        <v>13</v>
      </c>
      <c r="Q479" s="52">
        <v>14</v>
      </c>
      <c r="R479" s="52">
        <v>15</v>
      </c>
      <c r="S479" s="52">
        <v>16</v>
      </c>
      <c r="T479" s="52">
        <v>17</v>
      </c>
      <c r="U479" s="52">
        <v>18</v>
      </c>
      <c r="V479" s="52">
        <v>19</v>
      </c>
      <c r="W479" s="52">
        <v>20</v>
      </c>
      <c r="X479" s="52">
        <v>21</v>
      </c>
      <c r="Y479" s="52">
        <v>22</v>
      </c>
      <c r="Z479" s="52">
        <v>23</v>
      </c>
      <c r="AA479" s="52">
        <v>24</v>
      </c>
      <c r="AB479" s="52">
        <v>25</v>
      </c>
      <c r="AC479" s="52">
        <v>26</v>
      </c>
      <c r="AD479" s="52">
        <v>27</v>
      </c>
      <c r="AE479" s="52">
        <v>28</v>
      </c>
      <c r="AF479" s="52">
        <v>29</v>
      </c>
      <c r="AG479" s="52">
        <v>30</v>
      </c>
      <c r="AH479" s="52">
        <v>31</v>
      </c>
      <c r="AI479" s="52">
        <v>32</v>
      </c>
      <c r="AJ479" s="52">
        <v>33</v>
      </c>
      <c r="AK479" s="52">
        <v>34</v>
      </c>
      <c r="AL479" s="52">
        <v>35</v>
      </c>
      <c r="AM479" s="52">
        <v>36</v>
      </c>
      <c r="AN479" s="52">
        <v>37</v>
      </c>
      <c r="AO479" s="52">
        <v>38</v>
      </c>
      <c r="AP479" s="52">
        <v>39</v>
      </c>
      <c r="AQ479" s="52">
        <v>40</v>
      </c>
      <c r="AR479" s="52">
        <v>41</v>
      </c>
      <c r="AS479" s="52">
        <v>42</v>
      </c>
      <c r="AT479" s="52">
        <v>43</v>
      </c>
      <c r="AU479" s="52">
        <v>44</v>
      </c>
      <c r="AV479" s="52">
        <v>45</v>
      </c>
      <c r="AW479" s="52">
        <v>46</v>
      </c>
      <c r="AX479" s="52">
        <v>47</v>
      </c>
      <c r="AY479" s="52">
        <v>48</v>
      </c>
    </row>
    <row r="480" spans="1:51" ht="9.9499999999999993" customHeight="1" x14ac:dyDescent="0.25">
      <c r="D480" s="52">
        <f t="shared" ref="D480" si="553">L470</f>
        <v>0</v>
      </c>
      <c r="E480" s="52">
        <f t="shared" ref="E480" si="554">M470</f>
        <v>0</v>
      </c>
      <c r="F480" s="52">
        <f t="shared" ref="F480" si="555">N470</f>
        <v>0</v>
      </c>
      <c r="G480" s="52">
        <f t="shared" ref="G480" si="556">O470</f>
        <v>1</v>
      </c>
      <c r="H480" s="52">
        <f t="shared" ref="H480" si="557">P470</f>
        <v>0</v>
      </c>
      <c r="I480" s="52">
        <f t="shared" ref="I480" si="558">Q470</f>
        <v>1</v>
      </c>
      <c r="J480" s="52">
        <f t="shared" ref="J480" si="559">L471</f>
        <v>0</v>
      </c>
      <c r="K480" s="52">
        <f t="shared" ref="K480" si="560">M471</f>
        <v>0</v>
      </c>
      <c r="L480" s="52">
        <f t="shared" ref="L480" si="561">N471</f>
        <v>0</v>
      </c>
      <c r="M480" s="52">
        <f t="shared" ref="M480" si="562">O471</f>
        <v>0</v>
      </c>
      <c r="N480" s="52">
        <f t="shared" ref="N480" si="563">P471</f>
        <v>1</v>
      </c>
      <c r="O480" s="52">
        <f t="shared" ref="O480" si="564">Q471</f>
        <v>0</v>
      </c>
      <c r="P480" s="52">
        <f t="shared" ref="P480" si="565">L472</f>
        <v>1</v>
      </c>
      <c r="Q480" s="52">
        <f t="shared" ref="Q480" si="566">M472</f>
        <v>1</v>
      </c>
      <c r="R480" s="52">
        <f t="shared" ref="R480" si="567">N472</f>
        <v>0</v>
      </c>
      <c r="S480" s="52">
        <f t="shared" ref="S480" si="568">O472</f>
        <v>0</v>
      </c>
      <c r="T480" s="52">
        <f t="shared" ref="T480" si="569">P472</f>
        <v>0</v>
      </c>
      <c r="U480" s="52">
        <f t="shared" ref="U480" si="570">Q472</f>
        <v>0</v>
      </c>
      <c r="V480" s="52">
        <f t="shared" ref="V480" si="571">L473</f>
        <v>0</v>
      </c>
      <c r="W480" s="52">
        <f t="shared" ref="W480" si="572">M473</f>
        <v>0</v>
      </c>
      <c r="X480" s="52">
        <f t="shared" ref="X480" si="573">N473</f>
        <v>0</v>
      </c>
      <c r="Y480" s="52">
        <f t="shared" ref="Y480" si="574">O473</f>
        <v>1</v>
      </c>
      <c r="Z480" s="52">
        <f t="shared" ref="Z480" si="575">P473</f>
        <v>1</v>
      </c>
      <c r="AA480" s="52">
        <f t="shared" ref="AA480" si="576">Q473</f>
        <v>0</v>
      </c>
      <c r="AB480" s="52">
        <f t="shared" ref="AB480" si="577">L474</f>
        <v>1</v>
      </c>
      <c r="AC480" s="52">
        <f t="shared" ref="AC480" si="578">M474</f>
        <v>0</v>
      </c>
      <c r="AD480" s="52">
        <f t="shared" ref="AD480" si="579">N474</f>
        <v>0</v>
      </c>
      <c r="AE480" s="52">
        <f t="shared" ref="AE480" si="580">O474</f>
        <v>1</v>
      </c>
      <c r="AF480" s="52">
        <f t="shared" ref="AF480" si="581">P474</f>
        <v>1</v>
      </c>
      <c r="AG480" s="52">
        <f t="shared" ref="AG480" si="582">Q474</f>
        <v>0</v>
      </c>
      <c r="AH480" s="52">
        <f t="shared" ref="AH480" si="583">L475</f>
        <v>1</v>
      </c>
      <c r="AI480" s="52">
        <f t="shared" ref="AI480" si="584">M475</f>
        <v>0</v>
      </c>
      <c r="AJ480" s="52">
        <f t="shared" ref="AJ480" si="585">N475</f>
        <v>1</v>
      </c>
      <c r="AK480" s="52">
        <f t="shared" ref="AK480" si="586">O475</f>
        <v>1</v>
      </c>
      <c r="AL480" s="52">
        <f t="shared" ref="AL480" si="587">P475</f>
        <v>0</v>
      </c>
      <c r="AM480" s="52">
        <f t="shared" ref="AM480" si="588">Q475</f>
        <v>0</v>
      </c>
      <c r="AN480" s="52">
        <f t="shared" ref="AN480" si="589">L476</f>
        <v>1</v>
      </c>
      <c r="AO480" s="52">
        <f t="shared" ref="AO480" si="590">M476</f>
        <v>0</v>
      </c>
      <c r="AP480" s="52">
        <f t="shared" ref="AP480" si="591">N476</f>
        <v>1</v>
      </c>
      <c r="AQ480" s="52">
        <f t="shared" ref="AQ480" si="592">O476</f>
        <v>0</v>
      </c>
      <c r="AR480" s="52">
        <f t="shared" ref="AR480" si="593">P476</f>
        <v>0</v>
      </c>
      <c r="AS480" s="52">
        <f t="shared" ref="AS480" si="594">Q476</f>
        <v>1</v>
      </c>
      <c r="AT480" s="52">
        <f t="shared" ref="AT480" si="595">L477</f>
        <v>0</v>
      </c>
      <c r="AU480" s="52">
        <f t="shared" ref="AU480" si="596">M477</f>
        <v>1</v>
      </c>
      <c r="AV480" s="52">
        <f t="shared" ref="AV480" si="597">N477</f>
        <v>1</v>
      </c>
      <c r="AW480" s="52">
        <f t="shared" ref="AW480" si="598">O477</f>
        <v>0</v>
      </c>
      <c r="AX480" s="52">
        <f t="shared" ref="AX480" si="599">P477</f>
        <v>1</v>
      </c>
      <c r="AY480" s="52">
        <f t="shared" ref="AY480" si="600">Q477</f>
        <v>1</v>
      </c>
    </row>
    <row r="482" spans="7:22" ht="9.9499999999999993" customHeight="1" x14ac:dyDescent="0.25">
      <c r="G482" s="38" t="s">
        <v>519</v>
      </c>
    </row>
    <row r="486" spans="7:22" ht="9.9499999999999993" customHeight="1" x14ac:dyDescent="0.25">
      <c r="L486" s="33" t="s">
        <v>578</v>
      </c>
      <c r="Q486" s="34" t="s">
        <v>579</v>
      </c>
    </row>
    <row r="487" spans="7:22" ht="9.9499999999999993" customHeight="1" x14ac:dyDescent="0.25">
      <c r="K487" s="59">
        <f>M452</f>
        <v>0</v>
      </c>
      <c r="L487" s="59">
        <f>N452</f>
        <v>0</v>
      </c>
      <c r="M487" s="40">
        <f>K452</f>
        <v>0</v>
      </c>
      <c r="N487" s="59">
        <f>L452</f>
        <v>0</v>
      </c>
      <c r="O487" s="113"/>
      <c r="P487" s="59">
        <f>R452</f>
        <v>0</v>
      </c>
      <c r="Q487" s="59">
        <f>S452</f>
        <v>0</v>
      </c>
      <c r="R487" s="40">
        <f>P452</f>
        <v>1</v>
      </c>
      <c r="S487" s="59">
        <f>Q452</f>
        <v>0</v>
      </c>
      <c r="T487" s="113"/>
      <c r="U487" s="113"/>
      <c r="V487" s="113"/>
    </row>
    <row r="488" spans="7:22" ht="9.9499999999999993" customHeight="1" x14ac:dyDescent="0.25">
      <c r="K488" s="59">
        <f t="shared" ref="K488:K493" si="601">M453</f>
        <v>0</v>
      </c>
      <c r="L488" s="59">
        <f t="shared" ref="L488:L493" si="602">N453</f>
        <v>0</v>
      </c>
      <c r="M488" s="40">
        <f t="shared" ref="M488:M493" si="603">K453</f>
        <v>0</v>
      </c>
      <c r="N488" s="59">
        <f t="shared" ref="N488:N493" si="604">L453</f>
        <v>0</v>
      </c>
      <c r="O488" s="113"/>
      <c r="P488" s="59">
        <f t="shared" ref="P488:P493" si="605">R453</f>
        <v>0</v>
      </c>
      <c r="Q488" s="59">
        <f t="shared" ref="Q488:Q493" si="606">S453</f>
        <v>0</v>
      </c>
      <c r="R488" s="40">
        <f t="shared" ref="R488:R493" si="607">P453</f>
        <v>1</v>
      </c>
      <c r="S488" s="59">
        <f t="shared" ref="S488:S493" si="608">Q453</f>
        <v>0</v>
      </c>
      <c r="T488" s="113"/>
      <c r="U488" s="113"/>
      <c r="V488" s="113"/>
    </row>
    <row r="489" spans="7:22" ht="9.9499999999999993" customHeight="1" x14ac:dyDescent="0.25">
      <c r="K489" s="59">
        <f t="shared" si="601"/>
        <v>1</v>
      </c>
      <c r="L489" s="59">
        <f t="shared" si="602"/>
        <v>1</v>
      </c>
      <c r="M489" s="40">
        <f t="shared" si="603"/>
        <v>0</v>
      </c>
      <c r="N489" s="59">
        <f t="shared" si="604"/>
        <v>1</v>
      </c>
      <c r="O489" s="113"/>
      <c r="P489" s="59">
        <f t="shared" si="605"/>
        <v>1</v>
      </c>
      <c r="Q489" s="59">
        <f t="shared" si="606"/>
        <v>1</v>
      </c>
      <c r="R489" s="40">
        <f t="shared" si="607"/>
        <v>1</v>
      </c>
      <c r="S489" s="59">
        <f t="shared" si="608"/>
        <v>1</v>
      </c>
      <c r="T489" s="113"/>
      <c r="U489" s="113"/>
      <c r="V489" s="113"/>
    </row>
    <row r="490" spans="7:22" ht="9.9499999999999993" customHeight="1" x14ac:dyDescent="0.25">
      <c r="K490" s="59">
        <f t="shared" si="601"/>
        <v>0</v>
      </c>
      <c r="L490" s="59">
        <f t="shared" si="602"/>
        <v>0</v>
      </c>
      <c r="M490" s="40">
        <f t="shared" si="603"/>
        <v>1</v>
      </c>
      <c r="N490" s="59">
        <f t="shared" si="604"/>
        <v>0</v>
      </c>
      <c r="O490" s="113"/>
      <c r="P490" s="59">
        <f t="shared" si="605"/>
        <v>0</v>
      </c>
      <c r="Q490" s="59">
        <f t="shared" si="606"/>
        <v>1</v>
      </c>
      <c r="R490" s="40">
        <f t="shared" si="607"/>
        <v>1</v>
      </c>
      <c r="S490" s="59">
        <f t="shared" si="608"/>
        <v>1</v>
      </c>
      <c r="T490" s="113"/>
      <c r="U490" s="113"/>
      <c r="V490" s="113"/>
    </row>
    <row r="491" spans="7:22" ht="9.9499999999999993" customHeight="1" x14ac:dyDescent="0.25">
      <c r="K491" s="59">
        <f t="shared" si="601"/>
        <v>1</v>
      </c>
      <c r="L491" s="59">
        <f t="shared" si="602"/>
        <v>0</v>
      </c>
      <c r="M491" s="40">
        <f t="shared" si="603"/>
        <v>0</v>
      </c>
      <c r="N491" s="59">
        <f t="shared" si="604"/>
        <v>0</v>
      </c>
      <c r="O491" s="113"/>
      <c r="P491" s="59">
        <f t="shared" si="605"/>
        <v>1</v>
      </c>
      <c r="Q491" s="59">
        <f t="shared" si="606"/>
        <v>0</v>
      </c>
      <c r="R491" s="40">
        <f t="shared" si="607"/>
        <v>1</v>
      </c>
      <c r="S491" s="59">
        <f t="shared" si="608"/>
        <v>0</v>
      </c>
      <c r="T491" s="113"/>
      <c r="U491" s="113"/>
      <c r="V491" s="113"/>
    </row>
    <row r="492" spans="7:22" ht="9.9499999999999993" customHeight="1" x14ac:dyDescent="0.25">
      <c r="K492" s="59">
        <f t="shared" si="601"/>
        <v>1</v>
      </c>
      <c r="L492" s="59">
        <f t="shared" si="602"/>
        <v>1</v>
      </c>
      <c r="M492" s="40">
        <f t="shared" si="603"/>
        <v>1</v>
      </c>
      <c r="N492" s="59">
        <f t="shared" si="604"/>
        <v>1</v>
      </c>
      <c r="O492" s="113"/>
      <c r="P492" s="59">
        <f t="shared" si="605"/>
        <v>1</v>
      </c>
      <c r="Q492" s="59">
        <f t="shared" si="606"/>
        <v>0</v>
      </c>
      <c r="R492" s="40">
        <f t="shared" si="607"/>
        <v>1</v>
      </c>
      <c r="S492" s="59">
        <f t="shared" si="608"/>
        <v>0</v>
      </c>
      <c r="T492" s="113"/>
      <c r="U492" s="113"/>
      <c r="V492" s="113"/>
    </row>
    <row r="493" spans="7:22" ht="9.9499999999999993" customHeight="1" x14ac:dyDescent="0.25">
      <c r="K493" s="59">
        <f t="shared" si="601"/>
        <v>1</v>
      </c>
      <c r="L493" s="59">
        <f t="shared" si="602"/>
        <v>0</v>
      </c>
      <c r="M493" s="40">
        <f t="shared" si="603"/>
        <v>0</v>
      </c>
      <c r="N493" s="59">
        <f t="shared" si="604"/>
        <v>1</v>
      </c>
      <c r="O493" s="113"/>
      <c r="P493" s="59">
        <f t="shared" si="605"/>
        <v>0</v>
      </c>
      <c r="Q493" s="59">
        <f t="shared" si="606"/>
        <v>0</v>
      </c>
      <c r="R493" s="40">
        <f t="shared" si="607"/>
        <v>1</v>
      </c>
      <c r="S493" s="59">
        <f t="shared" si="608"/>
        <v>0</v>
      </c>
      <c r="T493" s="113"/>
      <c r="U493" s="113"/>
      <c r="V493" s="113"/>
    </row>
    <row r="494" spans="7:22" ht="9.9499999999999993" customHeight="1" x14ac:dyDescent="0.25"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</row>
    <row r="495" spans="7:22" ht="9.9499999999999993" customHeight="1" x14ac:dyDescent="0.25">
      <c r="K495" s="113"/>
      <c r="L495" s="113">
        <v>1</v>
      </c>
      <c r="M495" s="113">
        <v>2</v>
      </c>
      <c r="N495" s="113">
        <v>3</v>
      </c>
      <c r="O495" s="113">
        <v>4</v>
      </c>
      <c r="P495" s="113">
        <v>5</v>
      </c>
      <c r="Q495" s="113">
        <v>6</v>
      </c>
      <c r="R495" s="113">
        <v>7</v>
      </c>
      <c r="S495" s="113">
        <v>8</v>
      </c>
      <c r="T495" s="113"/>
      <c r="U495" s="113"/>
      <c r="V495" s="113"/>
    </row>
    <row r="496" spans="7:22" ht="9.9499999999999993" customHeight="1" x14ac:dyDescent="0.25">
      <c r="K496" s="113">
        <v>1</v>
      </c>
      <c r="L496" s="60">
        <f>K487</f>
        <v>0</v>
      </c>
      <c r="M496" s="60">
        <f>L487</f>
        <v>0</v>
      </c>
      <c r="N496" s="37">
        <f>M487</f>
        <v>0</v>
      </c>
      <c r="O496" s="60">
        <f>N487</f>
        <v>0</v>
      </c>
      <c r="P496" s="60">
        <f>P487</f>
        <v>0</v>
      </c>
      <c r="Q496" s="60">
        <f>Q487</f>
        <v>0</v>
      </c>
      <c r="R496" s="37">
        <f>R487</f>
        <v>1</v>
      </c>
      <c r="S496" s="60">
        <f>S487</f>
        <v>0</v>
      </c>
      <c r="T496" s="113">
        <v>8</v>
      </c>
      <c r="U496" s="113"/>
      <c r="V496" s="113"/>
    </row>
    <row r="497" spans="3:22" ht="9.9499999999999993" customHeight="1" x14ac:dyDescent="0.25">
      <c r="K497" s="113">
        <v>9</v>
      </c>
      <c r="L497" s="60">
        <f t="shared" ref="L497:L502" si="609">K488</f>
        <v>0</v>
      </c>
      <c r="M497" s="60">
        <f t="shared" ref="M497:M502" si="610">L488</f>
        <v>0</v>
      </c>
      <c r="N497" s="37">
        <f t="shared" ref="N497:N502" si="611">M488</f>
        <v>0</v>
      </c>
      <c r="O497" s="60">
        <f t="shared" ref="O497:O502" si="612">N488</f>
        <v>0</v>
      </c>
      <c r="P497" s="60">
        <f t="shared" ref="P497:S497" si="613">P488</f>
        <v>0</v>
      </c>
      <c r="Q497" s="60">
        <f t="shared" si="613"/>
        <v>0</v>
      </c>
      <c r="R497" s="37">
        <f t="shared" si="613"/>
        <v>1</v>
      </c>
      <c r="S497" s="60">
        <f t="shared" si="613"/>
        <v>0</v>
      </c>
      <c r="T497" s="113">
        <v>16</v>
      </c>
      <c r="U497" s="113"/>
      <c r="V497" s="113"/>
    </row>
    <row r="498" spans="3:22" ht="9.9499999999999993" customHeight="1" x14ac:dyDescent="0.25">
      <c r="K498" s="113">
        <v>17</v>
      </c>
      <c r="L498" s="60">
        <f t="shared" si="609"/>
        <v>1</v>
      </c>
      <c r="M498" s="60">
        <f t="shared" si="610"/>
        <v>1</v>
      </c>
      <c r="N498" s="37">
        <f t="shared" si="611"/>
        <v>0</v>
      </c>
      <c r="O498" s="60">
        <f t="shared" si="612"/>
        <v>1</v>
      </c>
      <c r="P498" s="60">
        <f t="shared" ref="P498:S498" si="614">P489</f>
        <v>1</v>
      </c>
      <c r="Q498" s="60">
        <f t="shared" si="614"/>
        <v>1</v>
      </c>
      <c r="R498" s="37">
        <f t="shared" si="614"/>
        <v>1</v>
      </c>
      <c r="S498" s="60">
        <f t="shared" si="614"/>
        <v>1</v>
      </c>
      <c r="T498" s="113">
        <v>24</v>
      </c>
      <c r="U498" s="113"/>
      <c r="V498" s="113"/>
    </row>
    <row r="499" spans="3:22" ht="9.9499999999999993" customHeight="1" x14ac:dyDescent="0.25">
      <c r="K499" s="113">
        <v>25</v>
      </c>
      <c r="L499" s="60">
        <f t="shared" si="609"/>
        <v>0</v>
      </c>
      <c r="M499" s="60">
        <f t="shared" si="610"/>
        <v>0</v>
      </c>
      <c r="N499" s="37">
        <f t="shared" si="611"/>
        <v>1</v>
      </c>
      <c r="O499" s="60">
        <f t="shared" si="612"/>
        <v>0</v>
      </c>
      <c r="P499" s="60">
        <f t="shared" ref="P499:S499" si="615">P490</f>
        <v>0</v>
      </c>
      <c r="Q499" s="60">
        <f t="shared" si="615"/>
        <v>1</v>
      </c>
      <c r="R499" s="37">
        <f t="shared" si="615"/>
        <v>1</v>
      </c>
      <c r="S499" s="60">
        <f t="shared" si="615"/>
        <v>1</v>
      </c>
      <c r="T499" s="113">
        <v>32</v>
      </c>
      <c r="U499" s="113"/>
      <c r="V499" s="113"/>
    </row>
    <row r="500" spans="3:22" ht="9.9499999999999993" customHeight="1" x14ac:dyDescent="0.25">
      <c r="K500" s="113">
        <v>33</v>
      </c>
      <c r="L500" s="60">
        <f t="shared" si="609"/>
        <v>1</v>
      </c>
      <c r="M500" s="60">
        <f t="shared" si="610"/>
        <v>0</v>
      </c>
      <c r="N500" s="37">
        <f t="shared" si="611"/>
        <v>0</v>
      </c>
      <c r="O500" s="60">
        <f t="shared" si="612"/>
        <v>0</v>
      </c>
      <c r="P500" s="60">
        <f t="shared" ref="P500:S500" si="616">P491</f>
        <v>1</v>
      </c>
      <c r="Q500" s="60">
        <f t="shared" si="616"/>
        <v>0</v>
      </c>
      <c r="R500" s="37">
        <f t="shared" si="616"/>
        <v>1</v>
      </c>
      <c r="S500" s="60">
        <f t="shared" si="616"/>
        <v>0</v>
      </c>
      <c r="T500" s="113">
        <v>40</v>
      </c>
      <c r="U500" s="113"/>
      <c r="V500" s="113"/>
    </row>
    <row r="501" spans="3:22" ht="9.9499999999999993" customHeight="1" x14ac:dyDescent="0.25">
      <c r="K501" s="113">
        <v>41</v>
      </c>
      <c r="L501" s="60">
        <f t="shared" si="609"/>
        <v>1</v>
      </c>
      <c r="M501" s="60">
        <f t="shared" si="610"/>
        <v>1</v>
      </c>
      <c r="N501" s="37">
        <f t="shared" si="611"/>
        <v>1</v>
      </c>
      <c r="O501" s="60">
        <f t="shared" si="612"/>
        <v>1</v>
      </c>
      <c r="P501" s="60">
        <f t="shared" ref="P501:S501" si="617">P492</f>
        <v>1</v>
      </c>
      <c r="Q501" s="60">
        <f t="shared" si="617"/>
        <v>0</v>
      </c>
      <c r="R501" s="37">
        <f t="shared" si="617"/>
        <v>1</v>
      </c>
      <c r="S501" s="60">
        <f t="shared" si="617"/>
        <v>0</v>
      </c>
      <c r="T501" s="113">
        <v>48</v>
      </c>
      <c r="U501" s="113"/>
      <c r="V501" s="113"/>
    </row>
    <row r="502" spans="3:22" ht="9.9499999999999993" customHeight="1" x14ac:dyDescent="0.25">
      <c r="K502" s="113">
        <v>49</v>
      </c>
      <c r="L502" s="60">
        <f t="shared" si="609"/>
        <v>1</v>
      </c>
      <c r="M502" s="60">
        <f t="shared" si="610"/>
        <v>0</v>
      </c>
      <c r="N502" s="37">
        <f t="shared" si="611"/>
        <v>0</v>
      </c>
      <c r="O502" s="60">
        <f t="shared" si="612"/>
        <v>1</v>
      </c>
      <c r="P502" s="60">
        <f t="shared" ref="P502:S502" si="618">P493</f>
        <v>0</v>
      </c>
      <c r="Q502" s="60">
        <f t="shared" si="618"/>
        <v>0</v>
      </c>
      <c r="R502" s="37">
        <f t="shared" si="618"/>
        <v>1</v>
      </c>
      <c r="S502" s="60">
        <f t="shared" si="618"/>
        <v>0</v>
      </c>
      <c r="T502" s="113">
        <v>56</v>
      </c>
      <c r="U502" s="113"/>
      <c r="V502" s="113"/>
    </row>
    <row r="503" spans="3:22" ht="9.9499999999999993" customHeight="1" x14ac:dyDescent="0.25">
      <c r="D503" s="46" t="s">
        <v>514</v>
      </c>
      <c r="U503" s="113"/>
      <c r="V503" s="113"/>
    </row>
    <row r="504" spans="3:22" ht="9.9499999999999993" customHeight="1" x14ac:dyDescent="0.25">
      <c r="D504" s="21">
        <v>1</v>
      </c>
      <c r="E504" s="21">
        <v>2</v>
      </c>
      <c r="F504" s="21">
        <v>3</v>
      </c>
      <c r="G504" s="21">
        <v>4</v>
      </c>
      <c r="H504" s="21">
        <v>5</v>
      </c>
      <c r="I504" s="21">
        <v>6</v>
      </c>
      <c r="L504" s="21">
        <v>1</v>
      </c>
      <c r="M504" s="21">
        <v>2</v>
      </c>
      <c r="N504" s="21">
        <v>3</v>
      </c>
      <c r="O504" s="21">
        <v>4</v>
      </c>
      <c r="P504" s="21">
        <v>5</v>
      </c>
      <c r="Q504" s="21">
        <v>6</v>
      </c>
    </row>
    <row r="505" spans="3:22" ht="9.9499999999999993" customHeight="1" x14ac:dyDescent="0.25">
      <c r="C505" s="21">
        <v>1</v>
      </c>
      <c r="D505" s="29">
        <v>14</v>
      </c>
      <c r="E505" s="54">
        <v>17</v>
      </c>
      <c r="F505" s="29">
        <v>11</v>
      </c>
      <c r="G505" s="55">
        <v>24</v>
      </c>
      <c r="H505" s="29">
        <v>1</v>
      </c>
      <c r="I505" s="27">
        <v>5</v>
      </c>
      <c r="L505" s="39">
        <f>Q497</f>
        <v>0</v>
      </c>
      <c r="M505" s="39">
        <f>L498</f>
        <v>1</v>
      </c>
      <c r="N505" s="39">
        <f>N497</f>
        <v>0</v>
      </c>
      <c r="O505" s="39">
        <f>S498</f>
        <v>1</v>
      </c>
      <c r="P505" s="39">
        <f>L496</f>
        <v>0</v>
      </c>
      <c r="Q505" s="39">
        <f>P496</f>
        <v>0</v>
      </c>
      <c r="R505" s="21">
        <v>6</v>
      </c>
    </row>
    <row r="506" spans="3:22" ht="9.9499999999999993" customHeight="1" x14ac:dyDescent="0.25">
      <c r="C506" s="21">
        <v>2</v>
      </c>
      <c r="D506" s="29">
        <v>3</v>
      </c>
      <c r="E506" s="54">
        <v>28</v>
      </c>
      <c r="F506" s="29">
        <v>15</v>
      </c>
      <c r="G506" s="55">
        <v>6</v>
      </c>
      <c r="H506" s="29">
        <v>21</v>
      </c>
      <c r="I506" s="27">
        <v>10</v>
      </c>
      <c r="K506" s="21">
        <v>7</v>
      </c>
      <c r="L506" s="39">
        <f>N496</f>
        <v>0</v>
      </c>
      <c r="M506" s="39">
        <f>O499</f>
        <v>0</v>
      </c>
      <c r="N506" s="39">
        <f>R497</f>
        <v>1</v>
      </c>
      <c r="O506" s="39">
        <f>Q496</f>
        <v>0</v>
      </c>
      <c r="P506" s="39">
        <f>P498</f>
        <v>1</v>
      </c>
      <c r="Q506" s="39">
        <f>M497</f>
        <v>0</v>
      </c>
      <c r="R506" s="21">
        <v>12</v>
      </c>
    </row>
    <row r="507" spans="3:22" ht="9.9499999999999993" customHeight="1" x14ac:dyDescent="0.25">
      <c r="C507" s="21">
        <v>3</v>
      </c>
      <c r="D507" s="29">
        <v>23</v>
      </c>
      <c r="E507" s="54">
        <v>19</v>
      </c>
      <c r="F507" s="29">
        <v>12</v>
      </c>
      <c r="G507" s="55">
        <v>4</v>
      </c>
      <c r="H507" s="29">
        <v>26</v>
      </c>
      <c r="I507" s="27">
        <v>8</v>
      </c>
      <c r="K507" s="56">
        <v>13</v>
      </c>
      <c r="L507" s="22">
        <f>R498</f>
        <v>1</v>
      </c>
      <c r="M507" s="22">
        <f>N498</f>
        <v>0</v>
      </c>
      <c r="N507" s="22">
        <f>O497</f>
        <v>0</v>
      </c>
      <c r="O507" s="22">
        <f>O496</f>
        <v>0</v>
      </c>
      <c r="P507" s="22">
        <f>M499</f>
        <v>0</v>
      </c>
      <c r="Q507" s="22">
        <f>S496</f>
        <v>0</v>
      </c>
      <c r="R507" s="56">
        <v>18</v>
      </c>
    </row>
    <row r="508" spans="3:22" ht="9.9499999999999993" customHeight="1" x14ac:dyDescent="0.25">
      <c r="C508" s="21">
        <v>4</v>
      </c>
      <c r="D508" s="29">
        <v>16</v>
      </c>
      <c r="E508" s="54">
        <v>7</v>
      </c>
      <c r="F508" s="29">
        <v>27</v>
      </c>
      <c r="G508" s="55">
        <v>20</v>
      </c>
      <c r="H508" s="29">
        <v>13</v>
      </c>
      <c r="I508" s="27">
        <v>2</v>
      </c>
      <c r="K508" s="21">
        <v>19</v>
      </c>
      <c r="L508" s="39">
        <f>S497</f>
        <v>0</v>
      </c>
      <c r="M508" s="39">
        <f>R496</f>
        <v>1</v>
      </c>
      <c r="N508" s="39">
        <f>N499</f>
        <v>1</v>
      </c>
      <c r="O508" s="39">
        <f>O498</f>
        <v>1</v>
      </c>
      <c r="P508" s="39">
        <f>P497</f>
        <v>0</v>
      </c>
      <c r="Q508" s="39">
        <f>M496</f>
        <v>0</v>
      </c>
      <c r="R508" s="21">
        <v>24</v>
      </c>
    </row>
    <row r="509" spans="3:22" ht="9.9499999999999993" customHeight="1" x14ac:dyDescent="0.25">
      <c r="C509" s="21">
        <v>5</v>
      </c>
      <c r="D509" s="29">
        <v>41</v>
      </c>
      <c r="E509" s="54">
        <v>52</v>
      </c>
      <c r="F509" s="29">
        <v>31</v>
      </c>
      <c r="G509" s="55">
        <v>37</v>
      </c>
      <c r="H509" s="29">
        <v>47</v>
      </c>
      <c r="I509" s="27">
        <v>55</v>
      </c>
      <c r="K509" s="57">
        <v>25</v>
      </c>
      <c r="L509" s="58">
        <f>L501</f>
        <v>1</v>
      </c>
      <c r="M509" s="58">
        <f>O502</f>
        <v>1</v>
      </c>
      <c r="N509" s="58">
        <f>R499</f>
        <v>1</v>
      </c>
      <c r="O509" s="58">
        <f>P500</f>
        <v>1</v>
      </c>
      <c r="P509" s="58">
        <f>R501</f>
        <v>1</v>
      </c>
      <c r="Q509" s="58">
        <f>R502</f>
        <v>1</v>
      </c>
      <c r="R509" s="57">
        <v>30</v>
      </c>
    </row>
    <row r="510" spans="3:22" ht="9.9499999999999993" customHeight="1" x14ac:dyDescent="0.25">
      <c r="C510" s="21">
        <v>6</v>
      </c>
      <c r="D510" s="29">
        <v>30</v>
      </c>
      <c r="E510" s="54">
        <v>40</v>
      </c>
      <c r="F510" s="29">
        <v>51</v>
      </c>
      <c r="G510" s="55">
        <v>45</v>
      </c>
      <c r="H510" s="29">
        <v>33</v>
      </c>
      <c r="I510" s="27">
        <v>48</v>
      </c>
      <c r="K510" s="21">
        <v>31</v>
      </c>
      <c r="L510" s="39">
        <f>Q499</f>
        <v>1</v>
      </c>
      <c r="M510" s="39">
        <f>S500</f>
        <v>0</v>
      </c>
      <c r="N510" s="39">
        <f>N502</f>
        <v>0</v>
      </c>
      <c r="O510" s="39">
        <f>P501</f>
        <v>1</v>
      </c>
      <c r="P510" s="39">
        <f>L500</f>
        <v>1</v>
      </c>
      <c r="Q510" s="39">
        <f>S501</f>
        <v>0</v>
      </c>
      <c r="R510" s="21">
        <v>36</v>
      </c>
    </row>
    <row r="511" spans="3:22" ht="9.9499999999999993" customHeight="1" x14ac:dyDescent="0.25">
      <c r="C511" s="21">
        <v>7</v>
      </c>
      <c r="D511" s="29">
        <v>44</v>
      </c>
      <c r="E511" s="54">
        <v>49</v>
      </c>
      <c r="F511" s="29">
        <v>39</v>
      </c>
      <c r="G511" s="55">
        <v>56</v>
      </c>
      <c r="H511" s="29">
        <v>34</v>
      </c>
      <c r="I511" s="27">
        <v>53</v>
      </c>
      <c r="K511" s="50">
        <v>37</v>
      </c>
      <c r="L511" s="27">
        <f>O501</f>
        <v>1</v>
      </c>
      <c r="M511" s="27">
        <f>L502</f>
        <v>1</v>
      </c>
      <c r="N511" s="27">
        <f>R500</f>
        <v>1</v>
      </c>
      <c r="O511" s="27">
        <f>S502</f>
        <v>0</v>
      </c>
      <c r="P511" s="27">
        <f>M500</f>
        <v>0</v>
      </c>
      <c r="Q511" s="27">
        <f>P502</f>
        <v>0</v>
      </c>
      <c r="R511" s="50">
        <v>42</v>
      </c>
    </row>
    <row r="512" spans="3:22" ht="9.9499999999999993" customHeight="1" x14ac:dyDescent="0.25">
      <c r="C512" s="21">
        <v>8</v>
      </c>
      <c r="D512" s="29">
        <v>46</v>
      </c>
      <c r="E512" s="54">
        <v>42</v>
      </c>
      <c r="F512" s="29">
        <v>50</v>
      </c>
      <c r="G512" s="55">
        <v>36</v>
      </c>
      <c r="H512" s="29">
        <v>29</v>
      </c>
      <c r="I512" s="27">
        <v>32</v>
      </c>
      <c r="K512" s="21">
        <v>43</v>
      </c>
      <c r="L512" s="39">
        <f>Q501</f>
        <v>0</v>
      </c>
      <c r="M512" s="39">
        <f>M501</f>
        <v>1</v>
      </c>
      <c r="N512" s="39">
        <f>M502</f>
        <v>0</v>
      </c>
      <c r="O512" s="39">
        <f>O500</f>
        <v>0</v>
      </c>
      <c r="P512" s="39">
        <f>P499</f>
        <v>0</v>
      </c>
      <c r="Q512" s="39">
        <f>S499</f>
        <v>1</v>
      </c>
      <c r="R512" s="21">
        <v>48</v>
      </c>
    </row>
    <row r="514" spans="1:51" ht="9.9499999999999993" customHeight="1" x14ac:dyDescent="0.25">
      <c r="A514" s="51"/>
      <c r="B514" s="51" t="s">
        <v>580</v>
      </c>
      <c r="C514" s="51"/>
      <c r="D514" s="52">
        <v>1</v>
      </c>
      <c r="E514" s="52">
        <v>2</v>
      </c>
      <c r="F514" s="52">
        <v>3</v>
      </c>
      <c r="G514" s="52">
        <v>4</v>
      </c>
      <c r="H514" s="52">
        <v>5</v>
      </c>
      <c r="I514" s="52">
        <v>6</v>
      </c>
      <c r="J514" s="52">
        <v>7</v>
      </c>
      <c r="K514" s="52">
        <v>8</v>
      </c>
      <c r="L514" s="52">
        <v>9</v>
      </c>
      <c r="M514" s="52">
        <v>10</v>
      </c>
      <c r="N514" s="52">
        <v>11</v>
      </c>
      <c r="O514" s="52">
        <v>12</v>
      </c>
      <c r="P514" s="52">
        <v>13</v>
      </c>
      <c r="Q514" s="52">
        <v>14</v>
      </c>
      <c r="R514" s="52">
        <v>15</v>
      </c>
      <c r="S514" s="52">
        <v>16</v>
      </c>
      <c r="T514" s="52">
        <v>17</v>
      </c>
      <c r="U514" s="52">
        <v>18</v>
      </c>
      <c r="V514" s="52">
        <v>19</v>
      </c>
      <c r="W514" s="52">
        <v>20</v>
      </c>
      <c r="X514" s="52">
        <v>21</v>
      </c>
      <c r="Y514" s="52">
        <v>22</v>
      </c>
      <c r="Z514" s="52">
        <v>23</v>
      </c>
      <c r="AA514" s="52">
        <v>24</v>
      </c>
      <c r="AB514" s="52">
        <v>25</v>
      </c>
      <c r="AC514" s="52">
        <v>26</v>
      </c>
      <c r="AD514" s="52">
        <v>27</v>
      </c>
      <c r="AE514" s="52">
        <v>28</v>
      </c>
      <c r="AF514" s="52">
        <v>29</v>
      </c>
      <c r="AG514" s="52">
        <v>30</v>
      </c>
      <c r="AH514" s="52">
        <v>31</v>
      </c>
      <c r="AI514" s="52">
        <v>32</v>
      </c>
      <c r="AJ514" s="52">
        <v>33</v>
      </c>
      <c r="AK514" s="52">
        <v>34</v>
      </c>
      <c r="AL514" s="52">
        <v>35</v>
      </c>
      <c r="AM514" s="52">
        <v>36</v>
      </c>
      <c r="AN514" s="52">
        <v>37</v>
      </c>
      <c r="AO514" s="52">
        <v>38</v>
      </c>
      <c r="AP514" s="52">
        <v>39</v>
      </c>
      <c r="AQ514" s="52">
        <v>40</v>
      </c>
      <c r="AR514" s="52">
        <v>41</v>
      </c>
      <c r="AS514" s="52">
        <v>42</v>
      </c>
      <c r="AT514" s="52">
        <v>43</v>
      </c>
      <c r="AU514" s="52">
        <v>44</v>
      </c>
      <c r="AV514" s="52">
        <v>45</v>
      </c>
      <c r="AW514" s="52">
        <v>46</v>
      </c>
      <c r="AX514" s="52">
        <v>47</v>
      </c>
      <c r="AY514" s="52">
        <v>48</v>
      </c>
    </row>
    <row r="515" spans="1:51" ht="9.9499999999999993" customHeight="1" x14ac:dyDescent="0.25">
      <c r="D515" s="52">
        <f t="shared" ref="D515" si="619">L505</f>
        <v>0</v>
      </c>
      <c r="E515" s="52">
        <f t="shared" ref="E515" si="620">M505</f>
        <v>1</v>
      </c>
      <c r="F515" s="52">
        <f t="shared" ref="F515" si="621">N505</f>
        <v>0</v>
      </c>
      <c r="G515" s="52">
        <f t="shared" ref="G515" si="622">O505</f>
        <v>1</v>
      </c>
      <c r="H515" s="52">
        <f t="shared" ref="H515" si="623">P505</f>
        <v>0</v>
      </c>
      <c r="I515" s="52">
        <f t="shared" ref="I515" si="624">Q505</f>
        <v>0</v>
      </c>
      <c r="J515" s="52">
        <f t="shared" ref="J515" si="625">L506</f>
        <v>0</v>
      </c>
      <c r="K515" s="52">
        <f t="shared" ref="K515" si="626">M506</f>
        <v>0</v>
      </c>
      <c r="L515" s="52">
        <f t="shared" ref="L515" si="627">N506</f>
        <v>1</v>
      </c>
      <c r="M515" s="52">
        <f t="shared" ref="M515" si="628">O506</f>
        <v>0</v>
      </c>
      <c r="N515" s="52">
        <f t="shared" ref="N515" si="629">P506</f>
        <v>1</v>
      </c>
      <c r="O515" s="52">
        <f t="shared" ref="O515" si="630">Q506</f>
        <v>0</v>
      </c>
      <c r="P515" s="52">
        <f t="shared" ref="P515" si="631">L507</f>
        <v>1</v>
      </c>
      <c r="Q515" s="52">
        <f t="shared" ref="Q515" si="632">M507</f>
        <v>0</v>
      </c>
      <c r="R515" s="52">
        <f t="shared" ref="R515" si="633">N507</f>
        <v>0</v>
      </c>
      <c r="S515" s="52">
        <f t="shared" ref="S515" si="634">O507</f>
        <v>0</v>
      </c>
      <c r="T515" s="52">
        <f t="shared" ref="T515" si="635">P507</f>
        <v>0</v>
      </c>
      <c r="U515" s="52">
        <f t="shared" ref="U515" si="636">Q507</f>
        <v>0</v>
      </c>
      <c r="V515" s="52">
        <f t="shared" ref="V515" si="637">L508</f>
        <v>0</v>
      </c>
      <c r="W515" s="52">
        <f t="shared" ref="W515" si="638">M508</f>
        <v>1</v>
      </c>
      <c r="X515" s="52">
        <f t="shared" ref="X515" si="639">N508</f>
        <v>1</v>
      </c>
      <c r="Y515" s="52">
        <f t="shared" ref="Y515" si="640">O508</f>
        <v>1</v>
      </c>
      <c r="Z515" s="52">
        <f t="shared" ref="Z515" si="641">P508</f>
        <v>0</v>
      </c>
      <c r="AA515" s="52">
        <f t="shared" ref="AA515" si="642">Q508</f>
        <v>0</v>
      </c>
      <c r="AB515" s="52">
        <f t="shared" ref="AB515" si="643">L509</f>
        <v>1</v>
      </c>
      <c r="AC515" s="52">
        <f t="shared" ref="AC515" si="644">M509</f>
        <v>1</v>
      </c>
      <c r="AD515" s="52">
        <f t="shared" ref="AD515" si="645">N509</f>
        <v>1</v>
      </c>
      <c r="AE515" s="52">
        <f t="shared" ref="AE515" si="646">O509</f>
        <v>1</v>
      </c>
      <c r="AF515" s="52">
        <f t="shared" ref="AF515" si="647">P509</f>
        <v>1</v>
      </c>
      <c r="AG515" s="52">
        <f t="shared" ref="AG515" si="648">Q509</f>
        <v>1</v>
      </c>
      <c r="AH515" s="52">
        <f t="shared" ref="AH515" si="649">L510</f>
        <v>1</v>
      </c>
      <c r="AI515" s="52">
        <f t="shared" ref="AI515" si="650">M510</f>
        <v>0</v>
      </c>
      <c r="AJ515" s="52">
        <f t="shared" ref="AJ515" si="651">N510</f>
        <v>0</v>
      </c>
      <c r="AK515" s="52">
        <f t="shared" ref="AK515" si="652">O510</f>
        <v>1</v>
      </c>
      <c r="AL515" s="52">
        <f t="shared" ref="AL515" si="653">P510</f>
        <v>1</v>
      </c>
      <c r="AM515" s="52">
        <f t="shared" ref="AM515" si="654">Q510</f>
        <v>0</v>
      </c>
      <c r="AN515" s="52">
        <f t="shared" ref="AN515" si="655">L511</f>
        <v>1</v>
      </c>
      <c r="AO515" s="52">
        <f t="shared" ref="AO515" si="656">M511</f>
        <v>1</v>
      </c>
      <c r="AP515" s="52">
        <f t="shared" ref="AP515" si="657">N511</f>
        <v>1</v>
      </c>
      <c r="AQ515" s="52">
        <f t="shared" ref="AQ515" si="658">O511</f>
        <v>0</v>
      </c>
      <c r="AR515" s="52">
        <f t="shared" ref="AR515" si="659">P511</f>
        <v>0</v>
      </c>
      <c r="AS515" s="52">
        <f t="shared" ref="AS515" si="660">Q511</f>
        <v>0</v>
      </c>
      <c r="AT515" s="52">
        <f t="shared" ref="AT515" si="661">L512</f>
        <v>0</v>
      </c>
      <c r="AU515" s="52">
        <f t="shared" ref="AU515" si="662">M512</f>
        <v>1</v>
      </c>
      <c r="AV515" s="52">
        <f t="shared" ref="AV515" si="663">N512</f>
        <v>0</v>
      </c>
      <c r="AW515" s="52">
        <f t="shared" ref="AW515" si="664">O512</f>
        <v>0</v>
      </c>
      <c r="AX515" s="52">
        <f t="shared" ref="AX515" si="665">P512</f>
        <v>0</v>
      </c>
      <c r="AY515" s="52">
        <f t="shared" ref="AY515" si="666">Q512</f>
        <v>1</v>
      </c>
    </row>
    <row r="517" spans="1:51" ht="9.9499999999999993" customHeight="1" x14ac:dyDescent="0.25">
      <c r="G517" s="38" t="s">
        <v>519</v>
      </c>
    </row>
    <row r="521" spans="1:51" ht="9.9499999999999993" customHeight="1" x14ac:dyDescent="0.25">
      <c r="L521" s="33" t="s">
        <v>582</v>
      </c>
      <c r="Q521" s="34" t="s">
        <v>583</v>
      </c>
    </row>
    <row r="522" spans="1:51" ht="9.9499999999999993" customHeight="1" x14ac:dyDescent="0.25">
      <c r="K522" s="40">
        <f>M487</f>
        <v>0</v>
      </c>
      <c r="L522" s="59">
        <f>N487</f>
        <v>0</v>
      </c>
      <c r="M522" s="59">
        <f>K487</f>
        <v>0</v>
      </c>
      <c r="N522" s="59">
        <f>L487</f>
        <v>0</v>
      </c>
      <c r="O522" s="113"/>
      <c r="P522" s="40">
        <f>R487</f>
        <v>1</v>
      </c>
      <c r="Q522" s="59">
        <f>S487</f>
        <v>0</v>
      </c>
      <c r="R522" s="59">
        <f>P487</f>
        <v>0</v>
      </c>
      <c r="S522" s="59">
        <f>Q487</f>
        <v>0</v>
      </c>
      <c r="T522" s="113"/>
      <c r="U522" s="113"/>
      <c r="V522" s="113"/>
    </row>
    <row r="523" spans="1:51" ht="9.9499999999999993" customHeight="1" x14ac:dyDescent="0.25">
      <c r="K523" s="40">
        <f t="shared" ref="K523:K528" si="667">M488</f>
        <v>0</v>
      </c>
      <c r="L523" s="59">
        <f t="shared" ref="L523:L528" si="668">N488</f>
        <v>0</v>
      </c>
      <c r="M523" s="59">
        <f t="shared" ref="M523:M528" si="669">K488</f>
        <v>0</v>
      </c>
      <c r="N523" s="59">
        <f t="shared" ref="N523:N528" si="670">L488</f>
        <v>0</v>
      </c>
      <c r="O523" s="113"/>
      <c r="P523" s="40">
        <f t="shared" ref="P523:P528" si="671">R488</f>
        <v>1</v>
      </c>
      <c r="Q523" s="59">
        <f t="shared" ref="Q523:Q528" si="672">S488</f>
        <v>0</v>
      </c>
      <c r="R523" s="59">
        <f t="shared" ref="R523:R528" si="673">P488</f>
        <v>0</v>
      </c>
      <c r="S523" s="59">
        <f t="shared" ref="S523:S528" si="674">Q488</f>
        <v>0</v>
      </c>
      <c r="T523" s="113"/>
      <c r="U523" s="113"/>
      <c r="V523" s="113"/>
    </row>
    <row r="524" spans="1:51" ht="9.9499999999999993" customHeight="1" x14ac:dyDescent="0.25">
      <c r="K524" s="40">
        <f t="shared" si="667"/>
        <v>0</v>
      </c>
      <c r="L524" s="59">
        <f t="shared" si="668"/>
        <v>1</v>
      </c>
      <c r="M524" s="59">
        <f t="shared" si="669"/>
        <v>1</v>
      </c>
      <c r="N524" s="59">
        <f t="shared" si="670"/>
        <v>1</v>
      </c>
      <c r="O524" s="113"/>
      <c r="P524" s="40">
        <f t="shared" si="671"/>
        <v>1</v>
      </c>
      <c r="Q524" s="59">
        <f t="shared" si="672"/>
        <v>1</v>
      </c>
      <c r="R524" s="59">
        <f t="shared" si="673"/>
        <v>1</v>
      </c>
      <c r="S524" s="59">
        <f t="shared" si="674"/>
        <v>1</v>
      </c>
      <c r="T524" s="113"/>
      <c r="U524" s="113"/>
      <c r="V524" s="113"/>
    </row>
    <row r="525" spans="1:51" ht="9.9499999999999993" customHeight="1" x14ac:dyDescent="0.25">
      <c r="K525" s="40">
        <f t="shared" si="667"/>
        <v>1</v>
      </c>
      <c r="L525" s="59">
        <f t="shared" si="668"/>
        <v>0</v>
      </c>
      <c r="M525" s="59">
        <f t="shared" si="669"/>
        <v>0</v>
      </c>
      <c r="N525" s="59">
        <f t="shared" si="670"/>
        <v>0</v>
      </c>
      <c r="O525" s="113"/>
      <c r="P525" s="40">
        <f t="shared" si="671"/>
        <v>1</v>
      </c>
      <c r="Q525" s="59">
        <f t="shared" si="672"/>
        <v>1</v>
      </c>
      <c r="R525" s="59">
        <f t="shared" si="673"/>
        <v>0</v>
      </c>
      <c r="S525" s="59">
        <f t="shared" si="674"/>
        <v>1</v>
      </c>
      <c r="T525" s="113"/>
      <c r="U525" s="113"/>
      <c r="V525" s="113"/>
    </row>
    <row r="526" spans="1:51" ht="9.9499999999999993" customHeight="1" x14ac:dyDescent="0.25">
      <c r="K526" s="40">
        <f t="shared" si="667"/>
        <v>0</v>
      </c>
      <c r="L526" s="59">
        <f t="shared" si="668"/>
        <v>0</v>
      </c>
      <c r="M526" s="59">
        <f t="shared" si="669"/>
        <v>1</v>
      </c>
      <c r="N526" s="59">
        <f t="shared" si="670"/>
        <v>0</v>
      </c>
      <c r="O526" s="113"/>
      <c r="P526" s="40">
        <f t="shared" si="671"/>
        <v>1</v>
      </c>
      <c r="Q526" s="59">
        <f t="shared" si="672"/>
        <v>0</v>
      </c>
      <c r="R526" s="59">
        <f t="shared" si="673"/>
        <v>1</v>
      </c>
      <c r="S526" s="59">
        <f t="shared" si="674"/>
        <v>0</v>
      </c>
      <c r="T526" s="113"/>
      <c r="U526" s="113"/>
      <c r="V526" s="113"/>
    </row>
    <row r="527" spans="1:51" ht="9.9499999999999993" customHeight="1" x14ac:dyDescent="0.25">
      <c r="K527" s="40">
        <f t="shared" si="667"/>
        <v>1</v>
      </c>
      <c r="L527" s="59">
        <f t="shared" si="668"/>
        <v>1</v>
      </c>
      <c r="M527" s="59">
        <f t="shared" si="669"/>
        <v>1</v>
      </c>
      <c r="N527" s="59">
        <f t="shared" si="670"/>
        <v>1</v>
      </c>
      <c r="O527" s="113"/>
      <c r="P527" s="40">
        <f t="shared" si="671"/>
        <v>1</v>
      </c>
      <c r="Q527" s="59">
        <f t="shared" si="672"/>
        <v>0</v>
      </c>
      <c r="R527" s="59">
        <f t="shared" si="673"/>
        <v>1</v>
      </c>
      <c r="S527" s="59">
        <f t="shared" si="674"/>
        <v>0</v>
      </c>
      <c r="T527" s="113"/>
      <c r="U527" s="113"/>
      <c r="V527" s="113"/>
    </row>
    <row r="528" spans="1:51" ht="9.9499999999999993" customHeight="1" x14ac:dyDescent="0.25">
      <c r="K528" s="40">
        <f t="shared" si="667"/>
        <v>0</v>
      </c>
      <c r="L528" s="59">
        <f t="shared" si="668"/>
        <v>1</v>
      </c>
      <c r="M528" s="59">
        <f t="shared" si="669"/>
        <v>1</v>
      </c>
      <c r="N528" s="59">
        <f t="shared" si="670"/>
        <v>0</v>
      </c>
      <c r="O528" s="113"/>
      <c r="P528" s="40">
        <f t="shared" si="671"/>
        <v>1</v>
      </c>
      <c r="Q528" s="59">
        <f t="shared" si="672"/>
        <v>0</v>
      </c>
      <c r="R528" s="59">
        <f t="shared" si="673"/>
        <v>0</v>
      </c>
      <c r="S528" s="59">
        <f t="shared" si="674"/>
        <v>0</v>
      </c>
      <c r="T528" s="113"/>
      <c r="U528" s="113"/>
      <c r="V528" s="113"/>
    </row>
    <row r="529" spans="3:22" ht="9.9499999999999993" customHeight="1" x14ac:dyDescent="0.25"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</row>
    <row r="530" spans="3:22" ht="9.9499999999999993" customHeight="1" x14ac:dyDescent="0.25">
      <c r="K530" s="113"/>
      <c r="L530" s="113">
        <v>1</v>
      </c>
      <c r="M530" s="113">
        <v>2</v>
      </c>
      <c r="N530" s="113">
        <v>3</v>
      </c>
      <c r="O530" s="113">
        <v>4</v>
      </c>
      <c r="P530" s="113">
        <v>5</v>
      </c>
      <c r="Q530" s="113">
        <v>6</v>
      </c>
      <c r="R530" s="113">
        <v>7</v>
      </c>
      <c r="S530" s="113">
        <v>8</v>
      </c>
      <c r="T530" s="113"/>
      <c r="U530" s="113"/>
      <c r="V530" s="113"/>
    </row>
    <row r="531" spans="3:22" ht="9.9499999999999993" customHeight="1" x14ac:dyDescent="0.25">
      <c r="K531" s="113">
        <v>1</v>
      </c>
      <c r="L531" s="37">
        <f>K522</f>
        <v>0</v>
      </c>
      <c r="M531" s="60">
        <f>L522</f>
        <v>0</v>
      </c>
      <c r="N531" s="60">
        <f>M522</f>
        <v>0</v>
      </c>
      <c r="O531" s="60">
        <f>N522</f>
        <v>0</v>
      </c>
      <c r="P531" s="37">
        <f>P522</f>
        <v>1</v>
      </c>
      <c r="Q531" s="60">
        <f>Q522</f>
        <v>0</v>
      </c>
      <c r="R531" s="60">
        <f>R522</f>
        <v>0</v>
      </c>
      <c r="S531" s="60">
        <f>S522</f>
        <v>0</v>
      </c>
      <c r="T531" s="113">
        <v>8</v>
      </c>
      <c r="U531" s="113"/>
      <c r="V531" s="113"/>
    </row>
    <row r="532" spans="3:22" ht="9.9499999999999993" customHeight="1" x14ac:dyDescent="0.25">
      <c r="K532" s="113">
        <v>9</v>
      </c>
      <c r="L532" s="37">
        <f t="shared" ref="L532:L537" si="675">K523</f>
        <v>0</v>
      </c>
      <c r="M532" s="60">
        <f t="shared" ref="M532:M537" si="676">L523</f>
        <v>0</v>
      </c>
      <c r="N532" s="60">
        <f t="shared" ref="N532:N537" si="677">M523</f>
        <v>0</v>
      </c>
      <c r="O532" s="60">
        <f t="shared" ref="O532:O537" si="678">N523</f>
        <v>0</v>
      </c>
      <c r="P532" s="37">
        <f t="shared" ref="P532:S532" si="679">P523</f>
        <v>1</v>
      </c>
      <c r="Q532" s="60">
        <f t="shared" si="679"/>
        <v>0</v>
      </c>
      <c r="R532" s="60">
        <f t="shared" si="679"/>
        <v>0</v>
      </c>
      <c r="S532" s="60">
        <f t="shared" si="679"/>
        <v>0</v>
      </c>
      <c r="T532" s="113">
        <v>16</v>
      </c>
      <c r="U532" s="113"/>
      <c r="V532" s="113"/>
    </row>
    <row r="533" spans="3:22" ht="9.9499999999999993" customHeight="1" x14ac:dyDescent="0.25">
      <c r="K533" s="113">
        <v>17</v>
      </c>
      <c r="L533" s="37">
        <f t="shared" si="675"/>
        <v>0</v>
      </c>
      <c r="M533" s="60">
        <f t="shared" si="676"/>
        <v>1</v>
      </c>
      <c r="N533" s="60">
        <f t="shared" si="677"/>
        <v>1</v>
      </c>
      <c r="O533" s="60">
        <f t="shared" si="678"/>
        <v>1</v>
      </c>
      <c r="P533" s="37">
        <f t="shared" ref="P533:S533" si="680">P524</f>
        <v>1</v>
      </c>
      <c r="Q533" s="60">
        <f t="shared" si="680"/>
        <v>1</v>
      </c>
      <c r="R533" s="60">
        <f t="shared" si="680"/>
        <v>1</v>
      </c>
      <c r="S533" s="60">
        <f t="shared" si="680"/>
        <v>1</v>
      </c>
      <c r="T533" s="113">
        <v>24</v>
      </c>
      <c r="U533" s="113"/>
      <c r="V533" s="113"/>
    </row>
    <row r="534" spans="3:22" ht="9.9499999999999993" customHeight="1" x14ac:dyDescent="0.25">
      <c r="K534" s="113">
        <v>25</v>
      </c>
      <c r="L534" s="37">
        <f t="shared" si="675"/>
        <v>1</v>
      </c>
      <c r="M534" s="60">
        <f t="shared" si="676"/>
        <v>0</v>
      </c>
      <c r="N534" s="60">
        <f t="shared" si="677"/>
        <v>0</v>
      </c>
      <c r="O534" s="60">
        <f t="shared" si="678"/>
        <v>0</v>
      </c>
      <c r="P534" s="37">
        <f t="shared" ref="P534:S534" si="681">P525</f>
        <v>1</v>
      </c>
      <c r="Q534" s="60">
        <f t="shared" si="681"/>
        <v>1</v>
      </c>
      <c r="R534" s="60">
        <f t="shared" si="681"/>
        <v>0</v>
      </c>
      <c r="S534" s="60">
        <f t="shared" si="681"/>
        <v>1</v>
      </c>
      <c r="T534" s="113">
        <v>32</v>
      </c>
      <c r="U534" s="113"/>
      <c r="V534" s="113"/>
    </row>
    <row r="535" spans="3:22" ht="9.9499999999999993" customHeight="1" x14ac:dyDescent="0.25">
      <c r="K535" s="113">
        <v>33</v>
      </c>
      <c r="L535" s="37">
        <f t="shared" si="675"/>
        <v>0</v>
      </c>
      <c r="M535" s="60">
        <f t="shared" si="676"/>
        <v>0</v>
      </c>
      <c r="N535" s="60">
        <f t="shared" si="677"/>
        <v>1</v>
      </c>
      <c r="O535" s="60">
        <f t="shared" si="678"/>
        <v>0</v>
      </c>
      <c r="P535" s="37">
        <f t="shared" ref="P535:S535" si="682">P526</f>
        <v>1</v>
      </c>
      <c r="Q535" s="60">
        <f t="shared" si="682"/>
        <v>0</v>
      </c>
      <c r="R535" s="60">
        <f t="shared" si="682"/>
        <v>1</v>
      </c>
      <c r="S535" s="60">
        <f t="shared" si="682"/>
        <v>0</v>
      </c>
      <c r="T535" s="113">
        <v>40</v>
      </c>
      <c r="U535" s="113"/>
      <c r="V535" s="113"/>
    </row>
    <row r="536" spans="3:22" ht="9.9499999999999993" customHeight="1" x14ac:dyDescent="0.25">
      <c r="K536" s="113">
        <v>41</v>
      </c>
      <c r="L536" s="37">
        <f t="shared" si="675"/>
        <v>1</v>
      </c>
      <c r="M536" s="60">
        <f t="shared" si="676"/>
        <v>1</v>
      </c>
      <c r="N536" s="60">
        <f t="shared" si="677"/>
        <v>1</v>
      </c>
      <c r="O536" s="60">
        <f t="shared" si="678"/>
        <v>1</v>
      </c>
      <c r="P536" s="37">
        <f t="shared" ref="P536:S536" si="683">P527</f>
        <v>1</v>
      </c>
      <c r="Q536" s="60">
        <f t="shared" si="683"/>
        <v>0</v>
      </c>
      <c r="R536" s="60">
        <f t="shared" si="683"/>
        <v>1</v>
      </c>
      <c r="S536" s="60">
        <f t="shared" si="683"/>
        <v>0</v>
      </c>
      <c r="T536" s="113">
        <v>48</v>
      </c>
      <c r="U536" s="113"/>
      <c r="V536" s="113"/>
    </row>
    <row r="537" spans="3:22" ht="9.9499999999999993" customHeight="1" x14ac:dyDescent="0.25">
      <c r="K537" s="113">
        <v>49</v>
      </c>
      <c r="L537" s="37">
        <f t="shared" si="675"/>
        <v>0</v>
      </c>
      <c r="M537" s="60">
        <f t="shared" si="676"/>
        <v>1</v>
      </c>
      <c r="N537" s="60">
        <f t="shared" si="677"/>
        <v>1</v>
      </c>
      <c r="O537" s="60">
        <f t="shared" si="678"/>
        <v>0</v>
      </c>
      <c r="P537" s="37">
        <f t="shared" ref="P537:S537" si="684">P528</f>
        <v>1</v>
      </c>
      <c r="Q537" s="60">
        <f t="shared" si="684"/>
        <v>0</v>
      </c>
      <c r="R537" s="60">
        <f t="shared" si="684"/>
        <v>0</v>
      </c>
      <c r="S537" s="60">
        <f t="shared" si="684"/>
        <v>0</v>
      </c>
      <c r="T537" s="113">
        <v>56</v>
      </c>
      <c r="U537" s="113"/>
      <c r="V537" s="113"/>
    </row>
    <row r="538" spans="3:22" ht="9.9499999999999993" customHeight="1" x14ac:dyDescent="0.25">
      <c r="D538" s="46" t="s">
        <v>514</v>
      </c>
      <c r="U538" s="113"/>
      <c r="V538" s="113"/>
    </row>
    <row r="539" spans="3:22" ht="9.9499999999999993" customHeight="1" x14ac:dyDescent="0.25">
      <c r="D539" s="21">
        <v>1</v>
      </c>
      <c r="E539" s="21">
        <v>2</v>
      </c>
      <c r="F539" s="21">
        <v>3</v>
      </c>
      <c r="G539" s="21">
        <v>4</v>
      </c>
      <c r="H539" s="21">
        <v>5</v>
      </c>
      <c r="I539" s="21">
        <v>6</v>
      </c>
      <c r="L539" s="21">
        <v>1</v>
      </c>
      <c r="M539" s="21">
        <v>2</v>
      </c>
      <c r="N539" s="21">
        <v>3</v>
      </c>
      <c r="O539" s="21">
        <v>4</v>
      </c>
      <c r="P539" s="21">
        <v>5</v>
      </c>
      <c r="Q539" s="21">
        <v>6</v>
      </c>
    </row>
    <row r="540" spans="3:22" ht="9.9499999999999993" customHeight="1" x14ac:dyDescent="0.25">
      <c r="C540" s="21">
        <v>1</v>
      </c>
      <c r="D540" s="29">
        <v>14</v>
      </c>
      <c r="E540" s="54">
        <v>17</v>
      </c>
      <c r="F540" s="29">
        <v>11</v>
      </c>
      <c r="G540" s="55">
        <v>24</v>
      </c>
      <c r="H540" s="29">
        <v>1</v>
      </c>
      <c r="I540" s="27">
        <v>5</v>
      </c>
      <c r="L540" s="39">
        <f>Q532</f>
        <v>0</v>
      </c>
      <c r="M540" s="39">
        <f>L533</f>
        <v>0</v>
      </c>
      <c r="N540" s="39">
        <f>N532</f>
        <v>0</v>
      </c>
      <c r="O540" s="39">
        <f>S533</f>
        <v>1</v>
      </c>
      <c r="P540" s="39">
        <f>L531</f>
        <v>0</v>
      </c>
      <c r="Q540" s="39">
        <f>P531</f>
        <v>1</v>
      </c>
      <c r="R540" s="21">
        <v>6</v>
      </c>
    </row>
    <row r="541" spans="3:22" ht="9.9499999999999993" customHeight="1" x14ac:dyDescent="0.25">
      <c r="C541" s="21">
        <v>2</v>
      </c>
      <c r="D541" s="29">
        <v>3</v>
      </c>
      <c r="E541" s="54">
        <v>28</v>
      </c>
      <c r="F541" s="29">
        <v>15</v>
      </c>
      <c r="G541" s="55">
        <v>6</v>
      </c>
      <c r="H541" s="29">
        <v>21</v>
      </c>
      <c r="I541" s="27">
        <v>10</v>
      </c>
      <c r="K541" s="21">
        <v>7</v>
      </c>
      <c r="L541" s="39">
        <f>N531</f>
        <v>0</v>
      </c>
      <c r="M541" s="39">
        <f>O534</f>
        <v>0</v>
      </c>
      <c r="N541" s="39">
        <f>R532</f>
        <v>0</v>
      </c>
      <c r="O541" s="39">
        <f>Q531</f>
        <v>0</v>
      </c>
      <c r="P541" s="39">
        <f>P533</f>
        <v>1</v>
      </c>
      <c r="Q541" s="39">
        <f>M532</f>
        <v>0</v>
      </c>
      <c r="R541" s="21">
        <v>12</v>
      </c>
    </row>
    <row r="542" spans="3:22" ht="9.9499999999999993" customHeight="1" x14ac:dyDescent="0.25">
      <c r="C542" s="21">
        <v>3</v>
      </c>
      <c r="D542" s="29">
        <v>23</v>
      </c>
      <c r="E542" s="54">
        <v>19</v>
      </c>
      <c r="F542" s="29">
        <v>12</v>
      </c>
      <c r="G542" s="55">
        <v>4</v>
      </c>
      <c r="H542" s="29">
        <v>26</v>
      </c>
      <c r="I542" s="27">
        <v>8</v>
      </c>
      <c r="K542" s="56">
        <v>13</v>
      </c>
      <c r="L542" s="22">
        <f>R533</f>
        <v>1</v>
      </c>
      <c r="M542" s="22">
        <f>N533</f>
        <v>1</v>
      </c>
      <c r="N542" s="22">
        <f>O532</f>
        <v>0</v>
      </c>
      <c r="O542" s="22">
        <f>O531</f>
        <v>0</v>
      </c>
      <c r="P542" s="22">
        <f>M534</f>
        <v>0</v>
      </c>
      <c r="Q542" s="22">
        <f>S531</f>
        <v>0</v>
      </c>
      <c r="R542" s="56">
        <v>18</v>
      </c>
    </row>
    <row r="543" spans="3:22" ht="9.9499999999999993" customHeight="1" x14ac:dyDescent="0.25">
      <c r="C543" s="21">
        <v>4</v>
      </c>
      <c r="D543" s="29">
        <v>16</v>
      </c>
      <c r="E543" s="54">
        <v>7</v>
      </c>
      <c r="F543" s="29">
        <v>27</v>
      </c>
      <c r="G543" s="55">
        <v>20</v>
      </c>
      <c r="H543" s="29">
        <v>13</v>
      </c>
      <c r="I543" s="27">
        <v>2</v>
      </c>
      <c r="K543" s="21">
        <v>19</v>
      </c>
      <c r="L543" s="39">
        <f>S532</f>
        <v>0</v>
      </c>
      <c r="M543" s="39">
        <f>R531</f>
        <v>0</v>
      </c>
      <c r="N543" s="39">
        <f>N534</f>
        <v>0</v>
      </c>
      <c r="O543" s="39">
        <f>O533</f>
        <v>1</v>
      </c>
      <c r="P543" s="39">
        <f>P532</f>
        <v>1</v>
      </c>
      <c r="Q543" s="39">
        <f>M531</f>
        <v>0</v>
      </c>
      <c r="R543" s="21">
        <v>24</v>
      </c>
    </row>
    <row r="544" spans="3:22" ht="9.9499999999999993" customHeight="1" x14ac:dyDescent="0.25">
      <c r="C544" s="21">
        <v>5</v>
      </c>
      <c r="D544" s="29">
        <v>41</v>
      </c>
      <c r="E544" s="54">
        <v>52</v>
      </c>
      <c r="F544" s="29">
        <v>31</v>
      </c>
      <c r="G544" s="55">
        <v>37</v>
      </c>
      <c r="H544" s="29">
        <v>47</v>
      </c>
      <c r="I544" s="27">
        <v>55</v>
      </c>
      <c r="K544" s="57">
        <v>25</v>
      </c>
      <c r="L544" s="58">
        <f>L536</f>
        <v>1</v>
      </c>
      <c r="M544" s="58">
        <f>O537</f>
        <v>0</v>
      </c>
      <c r="N544" s="58">
        <f>R534</f>
        <v>0</v>
      </c>
      <c r="O544" s="58">
        <f>P535</f>
        <v>1</v>
      </c>
      <c r="P544" s="58">
        <f>R536</f>
        <v>1</v>
      </c>
      <c r="Q544" s="58">
        <f>R537</f>
        <v>0</v>
      </c>
      <c r="R544" s="57">
        <v>30</v>
      </c>
    </row>
    <row r="545" spans="1:51" ht="9.9499999999999993" customHeight="1" x14ac:dyDescent="0.25">
      <c r="C545" s="21">
        <v>6</v>
      </c>
      <c r="D545" s="29">
        <v>30</v>
      </c>
      <c r="E545" s="54">
        <v>40</v>
      </c>
      <c r="F545" s="29">
        <v>51</v>
      </c>
      <c r="G545" s="55">
        <v>45</v>
      </c>
      <c r="H545" s="29">
        <v>33</v>
      </c>
      <c r="I545" s="27">
        <v>48</v>
      </c>
      <c r="K545" s="21">
        <v>31</v>
      </c>
      <c r="L545" s="39">
        <f>Q534</f>
        <v>1</v>
      </c>
      <c r="M545" s="39">
        <f>S535</f>
        <v>0</v>
      </c>
      <c r="N545" s="39">
        <f>N537</f>
        <v>1</v>
      </c>
      <c r="O545" s="39">
        <f>P536</f>
        <v>1</v>
      </c>
      <c r="P545" s="39">
        <f>L535</f>
        <v>0</v>
      </c>
      <c r="Q545" s="39">
        <f>S536</f>
        <v>0</v>
      </c>
      <c r="R545" s="21">
        <v>36</v>
      </c>
    </row>
    <row r="546" spans="1:51" ht="9.9499999999999993" customHeight="1" x14ac:dyDescent="0.25">
      <c r="C546" s="21">
        <v>7</v>
      </c>
      <c r="D546" s="29">
        <v>44</v>
      </c>
      <c r="E546" s="54">
        <v>49</v>
      </c>
      <c r="F546" s="29">
        <v>39</v>
      </c>
      <c r="G546" s="55">
        <v>56</v>
      </c>
      <c r="H546" s="29">
        <v>34</v>
      </c>
      <c r="I546" s="27">
        <v>53</v>
      </c>
      <c r="K546" s="50">
        <v>37</v>
      </c>
      <c r="L546" s="27">
        <f>O536</f>
        <v>1</v>
      </c>
      <c r="M546" s="27">
        <f>L537</f>
        <v>0</v>
      </c>
      <c r="N546" s="27">
        <f>R535</f>
        <v>1</v>
      </c>
      <c r="O546" s="27">
        <f>S537</f>
        <v>0</v>
      </c>
      <c r="P546" s="27">
        <f>M535</f>
        <v>0</v>
      </c>
      <c r="Q546" s="27">
        <f>P537</f>
        <v>1</v>
      </c>
      <c r="R546" s="50">
        <v>42</v>
      </c>
    </row>
    <row r="547" spans="1:51" ht="9.9499999999999993" customHeight="1" x14ac:dyDescent="0.25">
      <c r="C547" s="21">
        <v>8</v>
      </c>
      <c r="D547" s="29">
        <v>46</v>
      </c>
      <c r="E547" s="54">
        <v>42</v>
      </c>
      <c r="F547" s="29">
        <v>50</v>
      </c>
      <c r="G547" s="55">
        <v>36</v>
      </c>
      <c r="H547" s="29">
        <v>29</v>
      </c>
      <c r="I547" s="27">
        <v>32</v>
      </c>
      <c r="K547" s="21">
        <v>43</v>
      </c>
      <c r="L547" s="39">
        <f>Q536</f>
        <v>0</v>
      </c>
      <c r="M547" s="39">
        <f>M536</f>
        <v>1</v>
      </c>
      <c r="N547" s="39">
        <f>M537</f>
        <v>1</v>
      </c>
      <c r="O547" s="39">
        <f>O535</f>
        <v>0</v>
      </c>
      <c r="P547" s="39">
        <f>P534</f>
        <v>1</v>
      </c>
      <c r="Q547" s="39">
        <f>S534</f>
        <v>1</v>
      </c>
      <c r="R547" s="21">
        <v>48</v>
      </c>
    </row>
    <row r="549" spans="1:51" ht="9.9499999999999993" customHeight="1" x14ac:dyDescent="0.25">
      <c r="A549" s="51"/>
      <c r="B549" s="51" t="s">
        <v>581</v>
      </c>
      <c r="C549" s="51"/>
      <c r="D549" s="52">
        <v>1</v>
      </c>
      <c r="E549" s="52">
        <v>2</v>
      </c>
      <c r="F549" s="52">
        <v>3</v>
      </c>
      <c r="G549" s="52">
        <v>4</v>
      </c>
      <c r="H549" s="52">
        <v>5</v>
      </c>
      <c r="I549" s="52">
        <v>6</v>
      </c>
      <c r="J549" s="52">
        <v>7</v>
      </c>
      <c r="K549" s="52">
        <v>8</v>
      </c>
      <c r="L549" s="52">
        <v>9</v>
      </c>
      <c r="M549" s="52">
        <v>10</v>
      </c>
      <c r="N549" s="52">
        <v>11</v>
      </c>
      <c r="O549" s="52">
        <v>12</v>
      </c>
      <c r="P549" s="52">
        <v>13</v>
      </c>
      <c r="Q549" s="52">
        <v>14</v>
      </c>
      <c r="R549" s="52">
        <v>15</v>
      </c>
      <c r="S549" s="52">
        <v>16</v>
      </c>
      <c r="T549" s="52">
        <v>17</v>
      </c>
      <c r="U549" s="52">
        <v>18</v>
      </c>
      <c r="V549" s="52">
        <v>19</v>
      </c>
      <c r="W549" s="52">
        <v>20</v>
      </c>
      <c r="X549" s="52">
        <v>21</v>
      </c>
      <c r="Y549" s="52">
        <v>22</v>
      </c>
      <c r="Z549" s="52">
        <v>23</v>
      </c>
      <c r="AA549" s="52">
        <v>24</v>
      </c>
      <c r="AB549" s="52">
        <v>25</v>
      </c>
      <c r="AC549" s="52">
        <v>26</v>
      </c>
      <c r="AD549" s="52">
        <v>27</v>
      </c>
      <c r="AE549" s="52">
        <v>28</v>
      </c>
      <c r="AF549" s="52">
        <v>29</v>
      </c>
      <c r="AG549" s="52">
        <v>30</v>
      </c>
      <c r="AH549" s="52">
        <v>31</v>
      </c>
      <c r="AI549" s="52">
        <v>32</v>
      </c>
      <c r="AJ549" s="52">
        <v>33</v>
      </c>
      <c r="AK549" s="52">
        <v>34</v>
      </c>
      <c r="AL549" s="52">
        <v>35</v>
      </c>
      <c r="AM549" s="52">
        <v>36</v>
      </c>
      <c r="AN549" s="52">
        <v>37</v>
      </c>
      <c r="AO549" s="52">
        <v>38</v>
      </c>
      <c r="AP549" s="52">
        <v>39</v>
      </c>
      <c r="AQ549" s="52">
        <v>40</v>
      </c>
      <c r="AR549" s="52">
        <v>41</v>
      </c>
      <c r="AS549" s="52">
        <v>42</v>
      </c>
      <c r="AT549" s="52">
        <v>43</v>
      </c>
      <c r="AU549" s="52">
        <v>44</v>
      </c>
      <c r="AV549" s="52">
        <v>45</v>
      </c>
      <c r="AW549" s="52">
        <v>46</v>
      </c>
      <c r="AX549" s="52">
        <v>47</v>
      </c>
      <c r="AY549" s="52">
        <v>48</v>
      </c>
    </row>
    <row r="550" spans="1:51" ht="9.9499999999999993" customHeight="1" x14ac:dyDescent="0.25">
      <c r="D550" s="52">
        <f t="shared" ref="D550" si="685">L540</f>
        <v>0</v>
      </c>
      <c r="E550" s="52">
        <f t="shared" ref="E550" si="686">M540</f>
        <v>0</v>
      </c>
      <c r="F550" s="52">
        <f t="shared" ref="F550" si="687">N540</f>
        <v>0</v>
      </c>
      <c r="G550" s="52">
        <f t="shared" ref="G550" si="688">O540</f>
        <v>1</v>
      </c>
      <c r="H550" s="52">
        <f t="shared" ref="H550" si="689">P540</f>
        <v>0</v>
      </c>
      <c r="I550" s="52">
        <f t="shared" ref="I550" si="690">Q540</f>
        <v>1</v>
      </c>
      <c r="J550" s="52">
        <f t="shared" ref="J550" si="691">L541</f>
        <v>0</v>
      </c>
      <c r="K550" s="52">
        <f t="shared" ref="K550" si="692">M541</f>
        <v>0</v>
      </c>
      <c r="L550" s="52">
        <f t="shared" ref="L550" si="693">N541</f>
        <v>0</v>
      </c>
      <c r="M550" s="52">
        <f t="shared" ref="M550" si="694">O541</f>
        <v>0</v>
      </c>
      <c r="N550" s="52">
        <f t="shared" ref="N550" si="695">P541</f>
        <v>1</v>
      </c>
      <c r="O550" s="52">
        <f t="shared" ref="O550" si="696">Q541</f>
        <v>0</v>
      </c>
      <c r="P550" s="52">
        <f t="shared" ref="P550" si="697">L542</f>
        <v>1</v>
      </c>
      <c r="Q550" s="52">
        <f t="shared" ref="Q550" si="698">M542</f>
        <v>1</v>
      </c>
      <c r="R550" s="52">
        <f t="shared" ref="R550" si="699">N542</f>
        <v>0</v>
      </c>
      <c r="S550" s="52">
        <f t="shared" ref="S550" si="700">O542</f>
        <v>0</v>
      </c>
      <c r="T550" s="52">
        <f t="shared" ref="T550" si="701">P542</f>
        <v>0</v>
      </c>
      <c r="U550" s="52">
        <f t="shared" ref="U550" si="702">Q542</f>
        <v>0</v>
      </c>
      <c r="V550" s="52">
        <f t="shared" ref="V550" si="703">L543</f>
        <v>0</v>
      </c>
      <c r="W550" s="52">
        <f t="shared" ref="W550" si="704">M543</f>
        <v>0</v>
      </c>
      <c r="X550" s="52">
        <f t="shared" ref="X550" si="705">N543</f>
        <v>0</v>
      </c>
      <c r="Y550" s="52">
        <f t="shared" ref="Y550" si="706">O543</f>
        <v>1</v>
      </c>
      <c r="Z550" s="52">
        <f t="shared" ref="Z550" si="707">P543</f>
        <v>1</v>
      </c>
      <c r="AA550" s="52">
        <f t="shared" ref="AA550" si="708">Q543</f>
        <v>0</v>
      </c>
      <c r="AB550" s="52">
        <f t="shared" ref="AB550" si="709">L544</f>
        <v>1</v>
      </c>
      <c r="AC550" s="52">
        <f t="shared" ref="AC550" si="710">M544</f>
        <v>0</v>
      </c>
      <c r="AD550" s="52">
        <f t="shared" ref="AD550" si="711">N544</f>
        <v>0</v>
      </c>
      <c r="AE550" s="52">
        <f t="shared" ref="AE550" si="712">O544</f>
        <v>1</v>
      </c>
      <c r="AF550" s="52">
        <f t="shared" ref="AF550" si="713">P544</f>
        <v>1</v>
      </c>
      <c r="AG550" s="52">
        <f t="shared" ref="AG550" si="714">Q544</f>
        <v>0</v>
      </c>
      <c r="AH550" s="52">
        <f t="shared" ref="AH550" si="715">L545</f>
        <v>1</v>
      </c>
      <c r="AI550" s="52">
        <f t="shared" ref="AI550" si="716">M545</f>
        <v>0</v>
      </c>
      <c r="AJ550" s="52">
        <f t="shared" ref="AJ550" si="717">N545</f>
        <v>1</v>
      </c>
      <c r="AK550" s="52">
        <f t="shared" ref="AK550" si="718">O545</f>
        <v>1</v>
      </c>
      <c r="AL550" s="52">
        <f t="shared" ref="AL550" si="719">P545</f>
        <v>0</v>
      </c>
      <c r="AM550" s="52">
        <f t="shared" ref="AM550" si="720">Q545</f>
        <v>0</v>
      </c>
      <c r="AN550" s="52">
        <f t="shared" ref="AN550" si="721">L546</f>
        <v>1</v>
      </c>
      <c r="AO550" s="52">
        <f t="shared" ref="AO550" si="722">M546</f>
        <v>0</v>
      </c>
      <c r="AP550" s="52">
        <f t="shared" ref="AP550" si="723">N546</f>
        <v>1</v>
      </c>
      <c r="AQ550" s="52">
        <f t="shared" ref="AQ550" si="724">O546</f>
        <v>0</v>
      </c>
      <c r="AR550" s="52">
        <f t="shared" ref="AR550" si="725">P546</f>
        <v>0</v>
      </c>
      <c r="AS550" s="52">
        <f t="shared" ref="AS550" si="726">Q546</f>
        <v>1</v>
      </c>
      <c r="AT550" s="52">
        <f t="shared" ref="AT550" si="727">L547</f>
        <v>0</v>
      </c>
      <c r="AU550" s="52">
        <f t="shared" ref="AU550" si="728">M547</f>
        <v>1</v>
      </c>
      <c r="AV550" s="52">
        <f t="shared" ref="AV550" si="729">N547</f>
        <v>1</v>
      </c>
      <c r="AW550" s="52">
        <f t="shared" ref="AW550" si="730">O547</f>
        <v>0</v>
      </c>
      <c r="AX550" s="52">
        <f t="shared" ref="AX550" si="731">P547</f>
        <v>1</v>
      </c>
      <c r="AY550" s="52">
        <f t="shared" ref="AY550" si="732">Q547</f>
        <v>1</v>
      </c>
    </row>
    <row r="552" spans="1:51" ht="9.9499999999999993" customHeight="1" x14ac:dyDescent="0.25">
      <c r="G552" s="38" t="s">
        <v>510</v>
      </c>
    </row>
    <row r="556" spans="1:51" ht="9.9499999999999993" customHeight="1" x14ac:dyDescent="0.25">
      <c r="L556" s="33" t="s">
        <v>584</v>
      </c>
      <c r="Q556" s="34" t="s">
        <v>585</v>
      </c>
    </row>
    <row r="557" spans="1:51" ht="9.9499999999999993" customHeight="1" x14ac:dyDescent="0.25">
      <c r="K557" s="59">
        <f>L522</f>
        <v>0</v>
      </c>
      <c r="L557" s="59">
        <f>M522</f>
        <v>0</v>
      </c>
      <c r="M557" s="59">
        <f>N522</f>
        <v>0</v>
      </c>
      <c r="N557" s="40">
        <f>K522</f>
        <v>0</v>
      </c>
      <c r="O557" s="113"/>
      <c r="P557" s="59">
        <f>Q522</f>
        <v>0</v>
      </c>
      <c r="Q557" s="59">
        <f>R522</f>
        <v>0</v>
      </c>
      <c r="R557" s="59">
        <f>S522</f>
        <v>0</v>
      </c>
      <c r="S557" s="40">
        <f>P522</f>
        <v>1</v>
      </c>
      <c r="T557" s="113"/>
      <c r="U557" s="113"/>
      <c r="V557" s="113"/>
    </row>
    <row r="558" spans="1:51" ht="9.9499999999999993" customHeight="1" x14ac:dyDescent="0.25">
      <c r="K558" s="59">
        <f t="shared" ref="K558:K563" si="733">L523</f>
        <v>0</v>
      </c>
      <c r="L558" s="59">
        <f t="shared" ref="L558:L563" si="734">M523</f>
        <v>0</v>
      </c>
      <c r="M558" s="59">
        <f t="shared" ref="M558:M563" si="735">N523</f>
        <v>0</v>
      </c>
      <c r="N558" s="40">
        <f t="shared" ref="N558:N563" si="736">K523</f>
        <v>0</v>
      </c>
      <c r="O558" s="113"/>
      <c r="P558" s="59">
        <f t="shared" ref="P558:P563" si="737">Q523</f>
        <v>0</v>
      </c>
      <c r="Q558" s="59">
        <f t="shared" ref="Q558:Q563" si="738">R523</f>
        <v>0</v>
      </c>
      <c r="R558" s="59">
        <f t="shared" ref="R558:R563" si="739">S523</f>
        <v>0</v>
      </c>
      <c r="S558" s="40">
        <f t="shared" ref="S558:S563" si="740">P523</f>
        <v>1</v>
      </c>
      <c r="T558" s="113"/>
      <c r="U558" s="113"/>
      <c r="V558" s="113"/>
    </row>
    <row r="559" spans="1:51" ht="9.9499999999999993" customHeight="1" x14ac:dyDescent="0.25">
      <c r="K559" s="59">
        <f t="shared" si="733"/>
        <v>1</v>
      </c>
      <c r="L559" s="59">
        <f t="shared" si="734"/>
        <v>1</v>
      </c>
      <c r="M559" s="59">
        <f t="shared" si="735"/>
        <v>1</v>
      </c>
      <c r="N559" s="40">
        <f t="shared" si="736"/>
        <v>0</v>
      </c>
      <c r="O559" s="113"/>
      <c r="P559" s="59">
        <f t="shared" si="737"/>
        <v>1</v>
      </c>
      <c r="Q559" s="59">
        <f t="shared" si="738"/>
        <v>1</v>
      </c>
      <c r="R559" s="59">
        <f t="shared" si="739"/>
        <v>1</v>
      </c>
      <c r="S559" s="40">
        <f t="shared" si="740"/>
        <v>1</v>
      </c>
      <c r="T559" s="113"/>
      <c r="U559" s="113"/>
      <c r="V559" s="113"/>
    </row>
    <row r="560" spans="1:51" ht="9.9499999999999993" customHeight="1" x14ac:dyDescent="0.25">
      <c r="K560" s="59">
        <f t="shared" si="733"/>
        <v>0</v>
      </c>
      <c r="L560" s="59">
        <f t="shared" si="734"/>
        <v>0</v>
      </c>
      <c r="M560" s="59">
        <f t="shared" si="735"/>
        <v>0</v>
      </c>
      <c r="N560" s="40">
        <f t="shared" si="736"/>
        <v>1</v>
      </c>
      <c r="O560" s="113"/>
      <c r="P560" s="59">
        <f t="shared" si="737"/>
        <v>1</v>
      </c>
      <c r="Q560" s="59">
        <f t="shared" si="738"/>
        <v>0</v>
      </c>
      <c r="R560" s="59">
        <f t="shared" si="739"/>
        <v>1</v>
      </c>
      <c r="S560" s="40">
        <f t="shared" si="740"/>
        <v>1</v>
      </c>
      <c r="T560" s="113"/>
      <c r="U560" s="113"/>
      <c r="V560" s="113"/>
    </row>
    <row r="561" spans="3:22" ht="9.9499999999999993" customHeight="1" x14ac:dyDescent="0.25">
      <c r="K561" s="59">
        <f t="shared" si="733"/>
        <v>0</v>
      </c>
      <c r="L561" s="59">
        <f t="shared" si="734"/>
        <v>1</v>
      </c>
      <c r="M561" s="59">
        <f t="shared" si="735"/>
        <v>0</v>
      </c>
      <c r="N561" s="40">
        <f t="shared" si="736"/>
        <v>0</v>
      </c>
      <c r="O561" s="113"/>
      <c r="P561" s="59">
        <f t="shared" si="737"/>
        <v>0</v>
      </c>
      <c r="Q561" s="59">
        <f t="shared" si="738"/>
        <v>1</v>
      </c>
      <c r="R561" s="59">
        <f t="shared" si="739"/>
        <v>0</v>
      </c>
      <c r="S561" s="40">
        <f t="shared" si="740"/>
        <v>1</v>
      </c>
      <c r="T561" s="113"/>
      <c r="U561" s="113"/>
      <c r="V561" s="113"/>
    </row>
    <row r="562" spans="3:22" ht="9.9499999999999993" customHeight="1" x14ac:dyDescent="0.25">
      <c r="K562" s="59">
        <f t="shared" si="733"/>
        <v>1</v>
      </c>
      <c r="L562" s="59">
        <f t="shared" si="734"/>
        <v>1</v>
      </c>
      <c r="M562" s="59">
        <f t="shared" si="735"/>
        <v>1</v>
      </c>
      <c r="N562" s="40">
        <f t="shared" si="736"/>
        <v>1</v>
      </c>
      <c r="O562" s="113"/>
      <c r="P562" s="59">
        <f t="shared" si="737"/>
        <v>0</v>
      </c>
      <c r="Q562" s="59">
        <f t="shared" si="738"/>
        <v>1</v>
      </c>
      <c r="R562" s="59">
        <f t="shared" si="739"/>
        <v>0</v>
      </c>
      <c r="S562" s="40">
        <f t="shared" si="740"/>
        <v>1</v>
      </c>
      <c r="T562" s="113"/>
      <c r="U562" s="113"/>
      <c r="V562" s="113"/>
    </row>
    <row r="563" spans="3:22" ht="9.9499999999999993" customHeight="1" x14ac:dyDescent="0.25">
      <c r="K563" s="59">
        <f t="shared" si="733"/>
        <v>1</v>
      </c>
      <c r="L563" s="59">
        <f t="shared" si="734"/>
        <v>1</v>
      </c>
      <c r="M563" s="59">
        <f t="shared" si="735"/>
        <v>0</v>
      </c>
      <c r="N563" s="40">
        <f t="shared" si="736"/>
        <v>0</v>
      </c>
      <c r="O563" s="113"/>
      <c r="P563" s="59">
        <f t="shared" si="737"/>
        <v>0</v>
      </c>
      <c r="Q563" s="59">
        <f t="shared" si="738"/>
        <v>0</v>
      </c>
      <c r="R563" s="59">
        <f t="shared" si="739"/>
        <v>0</v>
      </c>
      <c r="S563" s="40">
        <f t="shared" si="740"/>
        <v>1</v>
      </c>
      <c r="T563" s="113"/>
      <c r="U563" s="113"/>
      <c r="V563" s="113"/>
    </row>
    <row r="564" spans="3:22" ht="9.9499999999999993" customHeight="1" x14ac:dyDescent="0.25"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</row>
    <row r="565" spans="3:22" ht="9.9499999999999993" customHeight="1" x14ac:dyDescent="0.25">
      <c r="K565" s="113"/>
      <c r="L565" s="113">
        <v>1</v>
      </c>
      <c r="M565" s="113">
        <v>2</v>
      </c>
      <c r="N565" s="113">
        <v>3</v>
      </c>
      <c r="O565" s="113">
        <v>4</v>
      </c>
      <c r="P565" s="113">
        <v>5</v>
      </c>
      <c r="Q565" s="113">
        <v>6</v>
      </c>
      <c r="R565" s="113">
        <v>7</v>
      </c>
      <c r="S565" s="113">
        <v>8</v>
      </c>
      <c r="T565" s="113"/>
      <c r="U565" s="113"/>
      <c r="V565" s="113"/>
    </row>
    <row r="566" spans="3:22" ht="9.9499999999999993" customHeight="1" x14ac:dyDescent="0.25">
      <c r="K566" s="113">
        <v>1</v>
      </c>
      <c r="L566" s="60">
        <f>K557</f>
        <v>0</v>
      </c>
      <c r="M566" s="60">
        <f>L557</f>
        <v>0</v>
      </c>
      <c r="N566" s="60">
        <f>M557</f>
        <v>0</v>
      </c>
      <c r="O566" s="37">
        <f>N557</f>
        <v>0</v>
      </c>
      <c r="P566" s="60">
        <f>P557</f>
        <v>0</v>
      </c>
      <c r="Q566" s="60">
        <f>Q557</f>
        <v>0</v>
      </c>
      <c r="R566" s="60">
        <f>R557</f>
        <v>0</v>
      </c>
      <c r="S566" s="37">
        <f>S557</f>
        <v>1</v>
      </c>
      <c r="T566" s="113">
        <v>8</v>
      </c>
      <c r="U566" s="113"/>
      <c r="V566" s="113"/>
    </row>
    <row r="567" spans="3:22" ht="9.9499999999999993" customHeight="1" x14ac:dyDescent="0.25">
      <c r="K567" s="113">
        <v>9</v>
      </c>
      <c r="L567" s="60">
        <f t="shared" ref="L567:L572" si="741">K558</f>
        <v>0</v>
      </c>
      <c r="M567" s="60">
        <f t="shared" ref="M567:M572" si="742">L558</f>
        <v>0</v>
      </c>
      <c r="N567" s="60">
        <f t="shared" ref="N567:N572" si="743">M558</f>
        <v>0</v>
      </c>
      <c r="O567" s="37">
        <f t="shared" ref="O567:O572" si="744">N558</f>
        <v>0</v>
      </c>
      <c r="P567" s="60">
        <f t="shared" ref="P567:S567" si="745">P558</f>
        <v>0</v>
      </c>
      <c r="Q567" s="60">
        <f t="shared" si="745"/>
        <v>0</v>
      </c>
      <c r="R567" s="60">
        <f t="shared" si="745"/>
        <v>0</v>
      </c>
      <c r="S567" s="37">
        <f t="shared" si="745"/>
        <v>1</v>
      </c>
      <c r="T567" s="113">
        <v>16</v>
      </c>
      <c r="U567" s="113"/>
      <c r="V567" s="113"/>
    </row>
    <row r="568" spans="3:22" ht="9.9499999999999993" customHeight="1" x14ac:dyDescent="0.25">
      <c r="K568" s="113">
        <v>17</v>
      </c>
      <c r="L568" s="60">
        <f t="shared" si="741"/>
        <v>1</v>
      </c>
      <c r="M568" s="60">
        <f t="shared" si="742"/>
        <v>1</v>
      </c>
      <c r="N568" s="60">
        <f t="shared" si="743"/>
        <v>1</v>
      </c>
      <c r="O568" s="37">
        <f t="shared" si="744"/>
        <v>0</v>
      </c>
      <c r="P568" s="60">
        <f t="shared" ref="P568:S568" si="746">P559</f>
        <v>1</v>
      </c>
      <c r="Q568" s="60">
        <f t="shared" si="746"/>
        <v>1</v>
      </c>
      <c r="R568" s="60">
        <f t="shared" si="746"/>
        <v>1</v>
      </c>
      <c r="S568" s="37">
        <f t="shared" si="746"/>
        <v>1</v>
      </c>
      <c r="T568" s="113">
        <v>24</v>
      </c>
      <c r="U568" s="113"/>
      <c r="V568" s="113"/>
    </row>
    <row r="569" spans="3:22" ht="9.9499999999999993" customHeight="1" x14ac:dyDescent="0.25">
      <c r="K569" s="113">
        <v>25</v>
      </c>
      <c r="L569" s="60">
        <f t="shared" si="741"/>
        <v>0</v>
      </c>
      <c r="M569" s="60">
        <f t="shared" si="742"/>
        <v>0</v>
      </c>
      <c r="N569" s="60">
        <f t="shared" si="743"/>
        <v>0</v>
      </c>
      <c r="O569" s="37">
        <f t="shared" si="744"/>
        <v>1</v>
      </c>
      <c r="P569" s="60">
        <f t="shared" ref="P569:S569" si="747">P560</f>
        <v>1</v>
      </c>
      <c r="Q569" s="60">
        <f t="shared" si="747"/>
        <v>0</v>
      </c>
      <c r="R569" s="60">
        <f t="shared" si="747"/>
        <v>1</v>
      </c>
      <c r="S569" s="37">
        <f t="shared" si="747"/>
        <v>1</v>
      </c>
      <c r="T569" s="113">
        <v>32</v>
      </c>
      <c r="U569" s="113"/>
      <c r="V569" s="113"/>
    </row>
    <row r="570" spans="3:22" ht="9.9499999999999993" customHeight="1" x14ac:dyDescent="0.25">
      <c r="K570" s="113">
        <v>33</v>
      </c>
      <c r="L570" s="60">
        <f t="shared" si="741"/>
        <v>0</v>
      </c>
      <c r="M570" s="60">
        <f t="shared" si="742"/>
        <v>1</v>
      </c>
      <c r="N570" s="60">
        <f t="shared" si="743"/>
        <v>0</v>
      </c>
      <c r="O570" s="37">
        <f t="shared" si="744"/>
        <v>0</v>
      </c>
      <c r="P570" s="60">
        <f t="shared" ref="P570:S570" si="748">P561</f>
        <v>0</v>
      </c>
      <c r="Q570" s="60">
        <f t="shared" si="748"/>
        <v>1</v>
      </c>
      <c r="R570" s="60">
        <f t="shared" si="748"/>
        <v>0</v>
      </c>
      <c r="S570" s="37">
        <f t="shared" si="748"/>
        <v>1</v>
      </c>
      <c r="T570" s="113">
        <v>40</v>
      </c>
      <c r="U570" s="113"/>
      <c r="V570" s="113"/>
    </row>
    <row r="571" spans="3:22" ht="9.9499999999999993" customHeight="1" x14ac:dyDescent="0.25">
      <c r="K571" s="113">
        <v>41</v>
      </c>
      <c r="L571" s="60">
        <f t="shared" si="741"/>
        <v>1</v>
      </c>
      <c r="M571" s="60">
        <f t="shared" si="742"/>
        <v>1</v>
      </c>
      <c r="N571" s="60">
        <f t="shared" si="743"/>
        <v>1</v>
      </c>
      <c r="O571" s="37">
        <f t="shared" si="744"/>
        <v>1</v>
      </c>
      <c r="P571" s="60">
        <f t="shared" ref="P571:S571" si="749">P562</f>
        <v>0</v>
      </c>
      <c r="Q571" s="60">
        <f t="shared" si="749"/>
        <v>1</v>
      </c>
      <c r="R571" s="60">
        <f t="shared" si="749"/>
        <v>0</v>
      </c>
      <c r="S571" s="37">
        <f t="shared" si="749"/>
        <v>1</v>
      </c>
      <c r="T571" s="113">
        <v>48</v>
      </c>
      <c r="U571" s="113"/>
      <c r="V571" s="113"/>
    </row>
    <row r="572" spans="3:22" ht="9.9499999999999993" customHeight="1" x14ac:dyDescent="0.25">
      <c r="K572" s="113">
        <v>49</v>
      </c>
      <c r="L572" s="60">
        <f t="shared" si="741"/>
        <v>1</v>
      </c>
      <c r="M572" s="60">
        <f t="shared" si="742"/>
        <v>1</v>
      </c>
      <c r="N572" s="60">
        <f t="shared" si="743"/>
        <v>0</v>
      </c>
      <c r="O572" s="37">
        <f t="shared" si="744"/>
        <v>0</v>
      </c>
      <c r="P572" s="60">
        <f t="shared" ref="P572:S572" si="750">P563</f>
        <v>0</v>
      </c>
      <c r="Q572" s="60">
        <f t="shared" si="750"/>
        <v>0</v>
      </c>
      <c r="R572" s="60">
        <f t="shared" si="750"/>
        <v>0</v>
      </c>
      <c r="S572" s="37">
        <f t="shared" si="750"/>
        <v>1</v>
      </c>
      <c r="T572" s="113">
        <v>56</v>
      </c>
      <c r="U572" s="113"/>
      <c r="V572" s="113"/>
    </row>
    <row r="573" spans="3:22" ht="9.9499999999999993" customHeight="1" x14ac:dyDescent="0.25">
      <c r="D573" s="46" t="s">
        <v>514</v>
      </c>
      <c r="U573" s="113"/>
      <c r="V573" s="113"/>
    </row>
    <row r="574" spans="3:22" ht="9.9499999999999993" customHeight="1" x14ac:dyDescent="0.25">
      <c r="D574" s="21">
        <v>1</v>
      </c>
      <c r="E574" s="21">
        <v>2</v>
      </c>
      <c r="F574" s="21">
        <v>3</v>
      </c>
      <c r="G574" s="21">
        <v>4</v>
      </c>
      <c r="H574" s="21">
        <v>5</v>
      </c>
      <c r="I574" s="21">
        <v>6</v>
      </c>
      <c r="L574" s="21">
        <v>1</v>
      </c>
      <c r="M574" s="21">
        <v>2</v>
      </c>
      <c r="N574" s="21">
        <v>3</v>
      </c>
      <c r="O574" s="21">
        <v>4</v>
      </c>
      <c r="P574" s="21">
        <v>5</v>
      </c>
      <c r="Q574" s="21">
        <v>6</v>
      </c>
    </row>
    <row r="575" spans="3:22" ht="9.9499999999999993" customHeight="1" x14ac:dyDescent="0.25">
      <c r="C575" s="21">
        <v>1</v>
      </c>
      <c r="D575" s="29">
        <v>14</v>
      </c>
      <c r="E575" s="54">
        <v>17</v>
      </c>
      <c r="F575" s="29">
        <v>11</v>
      </c>
      <c r="G575" s="55">
        <v>24</v>
      </c>
      <c r="H575" s="29">
        <v>1</v>
      </c>
      <c r="I575" s="27">
        <v>5</v>
      </c>
      <c r="L575" s="39">
        <f>Q567</f>
        <v>0</v>
      </c>
      <c r="M575" s="39">
        <f>L568</f>
        <v>1</v>
      </c>
      <c r="N575" s="39">
        <f>N567</f>
        <v>0</v>
      </c>
      <c r="O575" s="39">
        <f>S568</f>
        <v>1</v>
      </c>
      <c r="P575" s="39">
        <f>L566</f>
        <v>0</v>
      </c>
      <c r="Q575" s="39">
        <f>P566</f>
        <v>0</v>
      </c>
      <c r="R575" s="21">
        <v>6</v>
      </c>
    </row>
    <row r="576" spans="3:22" ht="9.9499999999999993" customHeight="1" x14ac:dyDescent="0.25">
      <c r="C576" s="21">
        <v>2</v>
      </c>
      <c r="D576" s="29">
        <v>3</v>
      </c>
      <c r="E576" s="54">
        <v>28</v>
      </c>
      <c r="F576" s="29">
        <v>15</v>
      </c>
      <c r="G576" s="55">
        <v>6</v>
      </c>
      <c r="H576" s="29">
        <v>21</v>
      </c>
      <c r="I576" s="27">
        <v>10</v>
      </c>
      <c r="K576" s="21">
        <v>7</v>
      </c>
      <c r="L576" s="39">
        <f>N566</f>
        <v>0</v>
      </c>
      <c r="M576" s="39">
        <f>O569</f>
        <v>1</v>
      </c>
      <c r="N576" s="39">
        <f>R567</f>
        <v>0</v>
      </c>
      <c r="O576" s="39">
        <f>Q566</f>
        <v>0</v>
      </c>
      <c r="P576" s="39">
        <f>P568</f>
        <v>1</v>
      </c>
      <c r="Q576" s="39">
        <f>M567</f>
        <v>0</v>
      </c>
      <c r="R576" s="21">
        <v>12</v>
      </c>
    </row>
    <row r="577" spans="1:51" ht="9.9499999999999993" customHeight="1" x14ac:dyDescent="0.25">
      <c r="C577" s="21">
        <v>3</v>
      </c>
      <c r="D577" s="29">
        <v>23</v>
      </c>
      <c r="E577" s="54">
        <v>19</v>
      </c>
      <c r="F577" s="29">
        <v>12</v>
      </c>
      <c r="G577" s="55">
        <v>4</v>
      </c>
      <c r="H577" s="29">
        <v>26</v>
      </c>
      <c r="I577" s="27">
        <v>8</v>
      </c>
      <c r="K577" s="56">
        <v>13</v>
      </c>
      <c r="L577" s="22">
        <f>R568</f>
        <v>1</v>
      </c>
      <c r="M577" s="22">
        <f>N568</f>
        <v>1</v>
      </c>
      <c r="N577" s="22">
        <f>O567</f>
        <v>0</v>
      </c>
      <c r="O577" s="22">
        <f>O566</f>
        <v>0</v>
      </c>
      <c r="P577" s="22">
        <f>M569</f>
        <v>0</v>
      </c>
      <c r="Q577" s="22">
        <f>S566</f>
        <v>1</v>
      </c>
      <c r="R577" s="56">
        <v>18</v>
      </c>
    </row>
    <row r="578" spans="1:51" ht="9.9499999999999993" customHeight="1" x14ac:dyDescent="0.25">
      <c r="C578" s="21">
        <v>4</v>
      </c>
      <c r="D578" s="29">
        <v>16</v>
      </c>
      <c r="E578" s="54">
        <v>7</v>
      </c>
      <c r="F578" s="29">
        <v>27</v>
      </c>
      <c r="G578" s="55">
        <v>20</v>
      </c>
      <c r="H578" s="29">
        <v>13</v>
      </c>
      <c r="I578" s="27">
        <v>2</v>
      </c>
      <c r="K578" s="21">
        <v>19</v>
      </c>
      <c r="L578" s="39">
        <f>S567</f>
        <v>1</v>
      </c>
      <c r="M578" s="39">
        <f>R566</f>
        <v>0</v>
      </c>
      <c r="N578" s="39">
        <f>N569</f>
        <v>0</v>
      </c>
      <c r="O578" s="39">
        <f>O568</f>
        <v>0</v>
      </c>
      <c r="P578" s="39">
        <f>P567</f>
        <v>0</v>
      </c>
      <c r="Q578" s="39">
        <f>M566</f>
        <v>0</v>
      </c>
      <c r="R578" s="21">
        <v>24</v>
      </c>
    </row>
    <row r="579" spans="1:51" ht="9.9499999999999993" customHeight="1" x14ac:dyDescent="0.25">
      <c r="C579" s="21">
        <v>5</v>
      </c>
      <c r="D579" s="29">
        <v>41</v>
      </c>
      <c r="E579" s="54">
        <v>52</v>
      </c>
      <c r="F579" s="29">
        <v>31</v>
      </c>
      <c r="G579" s="55">
        <v>37</v>
      </c>
      <c r="H579" s="29">
        <v>47</v>
      </c>
      <c r="I579" s="27">
        <v>55</v>
      </c>
      <c r="K579" s="57">
        <v>25</v>
      </c>
      <c r="L579" s="58">
        <f>L571</f>
        <v>1</v>
      </c>
      <c r="M579" s="58">
        <f>O572</f>
        <v>0</v>
      </c>
      <c r="N579" s="58">
        <f>R569</f>
        <v>1</v>
      </c>
      <c r="O579" s="58">
        <f>P570</f>
        <v>0</v>
      </c>
      <c r="P579" s="58">
        <f>R571</f>
        <v>0</v>
      </c>
      <c r="Q579" s="58">
        <f>R572</f>
        <v>0</v>
      </c>
      <c r="R579" s="57">
        <v>30</v>
      </c>
    </row>
    <row r="580" spans="1:51" ht="9.9499999999999993" customHeight="1" x14ac:dyDescent="0.25">
      <c r="C580" s="21">
        <v>6</v>
      </c>
      <c r="D580" s="29">
        <v>30</v>
      </c>
      <c r="E580" s="54">
        <v>40</v>
      </c>
      <c r="F580" s="29">
        <v>51</v>
      </c>
      <c r="G580" s="55">
        <v>45</v>
      </c>
      <c r="H580" s="29">
        <v>33</v>
      </c>
      <c r="I580" s="27">
        <v>48</v>
      </c>
      <c r="K580" s="21">
        <v>31</v>
      </c>
      <c r="L580" s="39">
        <f>Q569</f>
        <v>0</v>
      </c>
      <c r="M580" s="39">
        <f>S570</f>
        <v>1</v>
      </c>
      <c r="N580" s="39">
        <f>N572</f>
        <v>0</v>
      </c>
      <c r="O580" s="39">
        <f>P571</f>
        <v>0</v>
      </c>
      <c r="P580" s="39">
        <f>L570</f>
        <v>0</v>
      </c>
      <c r="Q580" s="39">
        <f>S571</f>
        <v>1</v>
      </c>
      <c r="R580" s="21">
        <v>36</v>
      </c>
    </row>
    <row r="581" spans="1:51" ht="9.9499999999999993" customHeight="1" x14ac:dyDescent="0.25">
      <c r="C581" s="21">
        <v>7</v>
      </c>
      <c r="D581" s="29">
        <v>44</v>
      </c>
      <c r="E581" s="54">
        <v>49</v>
      </c>
      <c r="F581" s="29">
        <v>39</v>
      </c>
      <c r="G581" s="55">
        <v>56</v>
      </c>
      <c r="H581" s="29">
        <v>34</v>
      </c>
      <c r="I581" s="27">
        <v>53</v>
      </c>
      <c r="K581" s="50">
        <v>37</v>
      </c>
      <c r="L581" s="27">
        <f>O571</f>
        <v>1</v>
      </c>
      <c r="M581" s="27">
        <f>L572</f>
        <v>1</v>
      </c>
      <c r="N581" s="27">
        <f>R570</f>
        <v>0</v>
      </c>
      <c r="O581" s="27">
        <f>S572</f>
        <v>1</v>
      </c>
      <c r="P581" s="27">
        <f>M570</f>
        <v>1</v>
      </c>
      <c r="Q581" s="27">
        <f>P572</f>
        <v>0</v>
      </c>
      <c r="R581" s="50">
        <v>42</v>
      </c>
    </row>
    <row r="582" spans="1:51" ht="9.9499999999999993" customHeight="1" x14ac:dyDescent="0.25">
      <c r="C582" s="21">
        <v>8</v>
      </c>
      <c r="D582" s="29">
        <v>46</v>
      </c>
      <c r="E582" s="54">
        <v>42</v>
      </c>
      <c r="F582" s="29">
        <v>50</v>
      </c>
      <c r="G582" s="55">
        <v>36</v>
      </c>
      <c r="H582" s="29">
        <v>29</v>
      </c>
      <c r="I582" s="27">
        <v>32</v>
      </c>
      <c r="K582" s="21">
        <v>43</v>
      </c>
      <c r="L582" s="39">
        <f>Q571</f>
        <v>1</v>
      </c>
      <c r="M582" s="39">
        <f>M571</f>
        <v>1</v>
      </c>
      <c r="N582" s="39">
        <f>M572</f>
        <v>1</v>
      </c>
      <c r="O582" s="39">
        <f>O570</f>
        <v>0</v>
      </c>
      <c r="P582" s="39">
        <f>P569</f>
        <v>1</v>
      </c>
      <c r="Q582" s="39">
        <f>S569</f>
        <v>1</v>
      </c>
      <c r="R582" s="21">
        <v>48</v>
      </c>
    </row>
    <row r="584" spans="1:51" ht="9.9499999999999993" customHeight="1" x14ac:dyDescent="0.25">
      <c r="A584" s="51"/>
      <c r="B584" s="51" t="s">
        <v>586</v>
      </c>
      <c r="C584" s="51"/>
      <c r="D584" s="52">
        <v>1</v>
      </c>
      <c r="E584" s="52">
        <v>2</v>
      </c>
      <c r="F584" s="52">
        <v>3</v>
      </c>
      <c r="G584" s="52">
        <v>4</v>
      </c>
      <c r="H584" s="52">
        <v>5</v>
      </c>
      <c r="I584" s="52">
        <v>6</v>
      </c>
      <c r="J584" s="52">
        <v>7</v>
      </c>
      <c r="K584" s="52">
        <v>8</v>
      </c>
      <c r="L584" s="52">
        <v>9</v>
      </c>
      <c r="M584" s="52">
        <v>10</v>
      </c>
      <c r="N584" s="52">
        <v>11</v>
      </c>
      <c r="O584" s="52">
        <v>12</v>
      </c>
      <c r="P584" s="52">
        <v>13</v>
      </c>
      <c r="Q584" s="52">
        <v>14</v>
      </c>
      <c r="R584" s="52">
        <v>15</v>
      </c>
      <c r="S584" s="52">
        <v>16</v>
      </c>
      <c r="T584" s="52">
        <v>17</v>
      </c>
      <c r="U584" s="52">
        <v>18</v>
      </c>
      <c r="V584" s="52">
        <v>19</v>
      </c>
      <c r="W584" s="52">
        <v>20</v>
      </c>
      <c r="X584" s="52">
        <v>21</v>
      </c>
      <c r="Y584" s="52">
        <v>22</v>
      </c>
      <c r="Z584" s="52">
        <v>23</v>
      </c>
      <c r="AA584" s="52">
        <v>24</v>
      </c>
      <c r="AB584" s="52">
        <v>25</v>
      </c>
      <c r="AC584" s="52">
        <v>26</v>
      </c>
      <c r="AD584" s="52">
        <v>27</v>
      </c>
      <c r="AE584" s="52">
        <v>28</v>
      </c>
      <c r="AF584" s="52">
        <v>29</v>
      </c>
      <c r="AG584" s="52">
        <v>30</v>
      </c>
      <c r="AH584" s="52">
        <v>31</v>
      </c>
      <c r="AI584" s="52">
        <v>32</v>
      </c>
      <c r="AJ584" s="52">
        <v>33</v>
      </c>
      <c r="AK584" s="52">
        <v>34</v>
      </c>
      <c r="AL584" s="52">
        <v>35</v>
      </c>
      <c r="AM584" s="52">
        <v>36</v>
      </c>
      <c r="AN584" s="52">
        <v>37</v>
      </c>
      <c r="AO584" s="52">
        <v>38</v>
      </c>
      <c r="AP584" s="52">
        <v>39</v>
      </c>
      <c r="AQ584" s="52">
        <v>40</v>
      </c>
      <c r="AR584" s="52">
        <v>41</v>
      </c>
      <c r="AS584" s="52">
        <v>42</v>
      </c>
      <c r="AT584" s="52">
        <v>43</v>
      </c>
      <c r="AU584" s="52">
        <v>44</v>
      </c>
      <c r="AV584" s="52">
        <v>45</v>
      </c>
      <c r="AW584" s="52">
        <v>46</v>
      </c>
      <c r="AX584" s="52">
        <v>47</v>
      </c>
      <c r="AY584" s="52">
        <v>48</v>
      </c>
    </row>
    <row r="585" spans="1:51" ht="9.9499999999999993" customHeight="1" x14ac:dyDescent="0.25">
      <c r="D585" s="52">
        <f t="shared" ref="D585" si="751">L575</f>
        <v>0</v>
      </c>
      <c r="E585" s="52">
        <f t="shared" ref="E585" si="752">M575</f>
        <v>1</v>
      </c>
      <c r="F585" s="52">
        <f t="shared" ref="F585" si="753">N575</f>
        <v>0</v>
      </c>
      <c r="G585" s="52">
        <f t="shared" ref="G585" si="754">O575</f>
        <v>1</v>
      </c>
      <c r="H585" s="52">
        <f t="shared" ref="H585" si="755">P575</f>
        <v>0</v>
      </c>
      <c r="I585" s="52">
        <f t="shared" ref="I585" si="756">Q575</f>
        <v>0</v>
      </c>
      <c r="J585" s="52">
        <f t="shared" ref="J585" si="757">L576</f>
        <v>0</v>
      </c>
      <c r="K585" s="52">
        <f t="shared" ref="K585" si="758">M576</f>
        <v>1</v>
      </c>
      <c r="L585" s="52">
        <f t="shared" ref="L585" si="759">N576</f>
        <v>0</v>
      </c>
      <c r="M585" s="52">
        <f t="shared" ref="M585" si="760">O576</f>
        <v>0</v>
      </c>
      <c r="N585" s="52">
        <f t="shared" ref="N585" si="761">P576</f>
        <v>1</v>
      </c>
      <c r="O585" s="52">
        <f t="shared" ref="O585" si="762">Q576</f>
        <v>0</v>
      </c>
      <c r="P585" s="52">
        <f t="shared" ref="P585" si="763">L577</f>
        <v>1</v>
      </c>
      <c r="Q585" s="52">
        <f t="shared" ref="Q585" si="764">M577</f>
        <v>1</v>
      </c>
      <c r="R585" s="52">
        <f t="shared" ref="R585" si="765">N577</f>
        <v>0</v>
      </c>
      <c r="S585" s="52">
        <f t="shared" ref="S585" si="766">O577</f>
        <v>0</v>
      </c>
      <c r="T585" s="52">
        <f t="shared" ref="T585" si="767">P577</f>
        <v>0</v>
      </c>
      <c r="U585" s="52">
        <f t="shared" ref="U585" si="768">Q577</f>
        <v>1</v>
      </c>
      <c r="V585" s="52">
        <f t="shared" ref="V585" si="769">L578</f>
        <v>1</v>
      </c>
      <c r="W585" s="52">
        <f t="shared" ref="W585" si="770">M578</f>
        <v>0</v>
      </c>
      <c r="X585" s="52">
        <f t="shared" ref="X585" si="771">N578</f>
        <v>0</v>
      </c>
      <c r="Y585" s="52">
        <f t="shared" ref="Y585" si="772">O578</f>
        <v>0</v>
      </c>
      <c r="Z585" s="52">
        <f t="shared" ref="Z585" si="773">P578</f>
        <v>0</v>
      </c>
      <c r="AA585" s="52">
        <f t="shared" ref="AA585" si="774">Q578</f>
        <v>0</v>
      </c>
      <c r="AB585" s="52">
        <f t="shared" ref="AB585" si="775">L579</f>
        <v>1</v>
      </c>
      <c r="AC585" s="52">
        <f t="shared" ref="AC585" si="776">M579</f>
        <v>0</v>
      </c>
      <c r="AD585" s="52">
        <f t="shared" ref="AD585" si="777">N579</f>
        <v>1</v>
      </c>
      <c r="AE585" s="52">
        <f t="shared" ref="AE585" si="778">O579</f>
        <v>0</v>
      </c>
      <c r="AF585" s="52">
        <f t="shared" ref="AF585" si="779">P579</f>
        <v>0</v>
      </c>
      <c r="AG585" s="52">
        <f t="shared" ref="AG585" si="780">Q579</f>
        <v>0</v>
      </c>
      <c r="AH585" s="52">
        <f t="shared" ref="AH585" si="781">L580</f>
        <v>0</v>
      </c>
      <c r="AI585" s="52">
        <f t="shared" ref="AI585" si="782">M580</f>
        <v>1</v>
      </c>
      <c r="AJ585" s="52">
        <f t="shared" ref="AJ585" si="783">N580</f>
        <v>0</v>
      </c>
      <c r="AK585" s="52">
        <f t="shared" ref="AK585" si="784">O580</f>
        <v>0</v>
      </c>
      <c r="AL585" s="52">
        <f t="shared" ref="AL585" si="785">P580</f>
        <v>0</v>
      </c>
      <c r="AM585" s="52">
        <f t="shared" ref="AM585" si="786">Q580</f>
        <v>1</v>
      </c>
      <c r="AN585" s="52">
        <f t="shared" ref="AN585" si="787">L581</f>
        <v>1</v>
      </c>
      <c r="AO585" s="52">
        <f t="shared" ref="AO585" si="788">M581</f>
        <v>1</v>
      </c>
      <c r="AP585" s="52">
        <f t="shared" ref="AP585" si="789">N581</f>
        <v>0</v>
      </c>
      <c r="AQ585" s="52">
        <f t="shared" ref="AQ585" si="790">O581</f>
        <v>1</v>
      </c>
      <c r="AR585" s="52">
        <f t="shared" ref="AR585" si="791">P581</f>
        <v>1</v>
      </c>
      <c r="AS585" s="52">
        <f t="shared" ref="AS585" si="792">Q581</f>
        <v>0</v>
      </c>
      <c r="AT585" s="52">
        <f t="shared" ref="AT585" si="793">L582</f>
        <v>1</v>
      </c>
      <c r="AU585" s="52">
        <f t="shared" ref="AU585" si="794">M582</f>
        <v>1</v>
      </c>
      <c r="AV585" s="52">
        <f t="shared" ref="AV585" si="795">N582</f>
        <v>1</v>
      </c>
      <c r="AW585" s="52">
        <f t="shared" ref="AW585" si="796">O582</f>
        <v>0</v>
      </c>
      <c r="AX585" s="52">
        <f t="shared" ref="AX585" si="797">P582</f>
        <v>1</v>
      </c>
      <c r="AY585" s="52">
        <f t="shared" ref="AY585" si="798">Q582</f>
        <v>1</v>
      </c>
    </row>
  </sheetData>
  <mergeCells count="17">
    <mergeCell ref="AH4:AO5"/>
    <mergeCell ref="AP4:AW5"/>
    <mergeCell ref="AX4:BE5"/>
    <mergeCell ref="BF4:BM5"/>
    <mergeCell ref="A4:A5"/>
    <mergeCell ref="B4:I5"/>
    <mergeCell ref="J4:Q5"/>
    <mergeCell ref="R4:Y5"/>
    <mergeCell ref="Z4:AG5"/>
    <mergeCell ref="AX12:BE12"/>
    <mergeCell ref="BF12:BM12"/>
    <mergeCell ref="B12:I12"/>
    <mergeCell ref="J12:Q12"/>
    <mergeCell ref="R12:Y12"/>
    <mergeCell ref="Z12:AG12"/>
    <mergeCell ref="AH12:AO12"/>
    <mergeCell ref="AP12:AW12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U48"/>
  <sheetViews>
    <sheetView workbookViewId="0">
      <selection activeCell="J51" sqref="J51"/>
    </sheetView>
  </sheetViews>
  <sheetFormatPr defaultColWidth="9.140625" defaultRowHeight="15" x14ac:dyDescent="0.25"/>
  <cols>
    <col min="1" max="1" width="20.7109375" style="25" bestFit="1" customWidth="1"/>
    <col min="2" max="2" width="8.5703125" style="25" bestFit="1" customWidth="1"/>
    <col min="3" max="3" width="4.42578125" style="25" customWidth="1"/>
    <col min="4" max="19" width="5" style="25" bestFit="1" customWidth="1"/>
    <col min="20" max="16384" width="9.140625" style="25"/>
  </cols>
  <sheetData>
    <row r="1" spans="1:21" x14ac:dyDescent="0.25">
      <c r="A1" s="25" t="s">
        <v>544</v>
      </c>
    </row>
    <row r="2" spans="1:21" x14ac:dyDescent="0.25">
      <c r="C2" s="115" t="s">
        <v>536</v>
      </c>
      <c r="D2" s="82">
        <v>0</v>
      </c>
      <c r="E2" s="82">
        <v>1</v>
      </c>
      <c r="F2" s="82">
        <v>10</v>
      </c>
      <c r="G2" s="82">
        <v>11</v>
      </c>
      <c r="H2" s="82">
        <v>100</v>
      </c>
      <c r="I2" s="82">
        <v>101</v>
      </c>
      <c r="J2" s="82">
        <v>110</v>
      </c>
      <c r="K2" s="82">
        <v>111</v>
      </c>
      <c r="L2" s="82">
        <v>1000</v>
      </c>
      <c r="M2" s="82">
        <v>1001</v>
      </c>
      <c r="N2" s="82">
        <v>1010</v>
      </c>
      <c r="O2" s="82">
        <v>1011</v>
      </c>
      <c r="P2" s="82">
        <v>1100</v>
      </c>
      <c r="Q2" s="82">
        <v>1101</v>
      </c>
      <c r="R2" s="82">
        <v>1110</v>
      </c>
      <c r="S2" s="82">
        <v>1111</v>
      </c>
      <c r="T2" s="83"/>
      <c r="U2" s="83"/>
    </row>
    <row r="3" spans="1:21" x14ac:dyDescent="0.25">
      <c r="C3" s="84">
        <v>0</v>
      </c>
      <c r="D3" s="85">
        <v>14</v>
      </c>
      <c r="E3" s="85">
        <v>4</v>
      </c>
      <c r="F3" s="85">
        <v>13</v>
      </c>
      <c r="G3" s="85">
        <v>1</v>
      </c>
      <c r="H3" s="85">
        <v>2</v>
      </c>
      <c r="I3" s="85">
        <v>15</v>
      </c>
      <c r="J3" s="85">
        <v>11</v>
      </c>
      <c r="K3" s="85">
        <v>8</v>
      </c>
      <c r="L3" s="85">
        <v>3</v>
      </c>
      <c r="M3" s="85">
        <v>10</v>
      </c>
      <c r="N3" s="85">
        <v>6</v>
      </c>
      <c r="O3" s="85">
        <v>12</v>
      </c>
      <c r="P3" s="85">
        <v>5</v>
      </c>
      <c r="Q3" s="85">
        <v>9</v>
      </c>
      <c r="R3" s="85">
        <v>0</v>
      </c>
      <c r="S3" s="85">
        <v>7</v>
      </c>
    </row>
    <row r="4" spans="1:21" x14ac:dyDescent="0.25">
      <c r="C4" s="84">
        <v>1</v>
      </c>
      <c r="D4" s="85">
        <v>0</v>
      </c>
      <c r="E4" s="85">
        <v>15</v>
      </c>
      <c r="F4" s="85">
        <v>7</v>
      </c>
      <c r="G4" s="85">
        <v>4</v>
      </c>
      <c r="H4" s="85">
        <v>14</v>
      </c>
      <c r="I4" s="85">
        <v>2</v>
      </c>
      <c r="J4" s="85">
        <v>13</v>
      </c>
      <c r="K4" s="85">
        <v>1</v>
      </c>
      <c r="L4" s="85">
        <v>10</v>
      </c>
      <c r="M4" s="85">
        <v>6</v>
      </c>
      <c r="N4" s="85">
        <v>12</v>
      </c>
      <c r="O4" s="85">
        <v>11</v>
      </c>
      <c r="P4" s="85">
        <v>9</v>
      </c>
      <c r="Q4" s="85">
        <v>5</v>
      </c>
      <c r="R4" s="85">
        <v>3</v>
      </c>
      <c r="S4" s="85">
        <v>8</v>
      </c>
    </row>
    <row r="5" spans="1:21" x14ac:dyDescent="0.25">
      <c r="C5" s="84">
        <v>10</v>
      </c>
      <c r="D5" s="85">
        <v>4</v>
      </c>
      <c r="E5" s="85">
        <v>1</v>
      </c>
      <c r="F5" s="85">
        <v>14</v>
      </c>
      <c r="G5" s="85">
        <v>8</v>
      </c>
      <c r="H5" s="85">
        <v>13</v>
      </c>
      <c r="I5" s="85">
        <v>6</v>
      </c>
      <c r="J5" s="85">
        <v>2</v>
      </c>
      <c r="K5" s="85">
        <v>11</v>
      </c>
      <c r="L5" s="85">
        <v>15</v>
      </c>
      <c r="M5" s="85">
        <v>12</v>
      </c>
      <c r="N5" s="85">
        <v>9</v>
      </c>
      <c r="O5" s="85">
        <v>7</v>
      </c>
      <c r="P5" s="85">
        <v>3</v>
      </c>
      <c r="Q5" s="85">
        <v>10</v>
      </c>
      <c r="R5" s="85">
        <v>5</v>
      </c>
      <c r="S5" s="85">
        <v>0</v>
      </c>
    </row>
    <row r="6" spans="1:21" x14ac:dyDescent="0.25">
      <c r="C6" s="84">
        <v>11</v>
      </c>
      <c r="D6" s="85">
        <v>15</v>
      </c>
      <c r="E6" s="85">
        <v>12</v>
      </c>
      <c r="F6" s="85">
        <v>8</v>
      </c>
      <c r="G6" s="85">
        <v>2</v>
      </c>
      <c r="H6" s="85">
        <v>4</v>
      </c>
      <c r="I6" s="85">
        <v>9</v>
      </c>
      <c r="J6" s="85">
        <v>1</v>
      </c>
      <c r="K6" s="85">
        <v>7</v>
      </c>
      <c r="L6" s="85">
        <v>5</v>
      </c>
      <c r="M6" s="85">
        <v>11</v>
      </c>
      <c r="N6" s="85">
        <v>3</v>
      </c>
      <c r="O6" s="85">
        <v>14</v>
      </c>
      <c r="P6" s="85">
        <v>10</v>
      </c>
      <c r="Q6" s="85">
        <v>0</v>
      </c>
      <c r="R6" s="85">
        <v>6</v>
      </c>
      <c r="S6" s="85">
        <v>13</v>
      </c>
    </row>
    <row r="8" spans="1:21" x14ac:dyDescent="0.25">
      <c r="C8" s="115" t="s">
        <v>537</v>
      </c>
      <c r="D8" s="82">
        <v>0</v>
      </c>
      <c r="E8" s="82">
        <v>1</v>
      </c>
      <c r="F8" s="82">
        <v>10</v>
      </c>
      <c r="G8" s="82">
        <v>11</v>
      </c>
      <c r="H8" s="82">
        <v>100</v>
      </c>
      <c r="I8" s="82">
        <v>101</v>
      </c>
      <c r="J8" s="82">
        <v>110</v>
      </c>
      <c r="K8" s="82">
        <v>111</v>
      </c>
      <c r="L8" s="82">
        <v>1000</v>
      </c>
      <c r="M8" s="82">
        <v>1001</v>
      </c>
      <c r="N8" s="82">
        <v>1010</v>
      </c>
      <c r="O8" s="82">
        <v>1011</v>
      </c>
      <c r="P8" s="82">
        <v>1100</v>
      </c>
      <c r="Q8" s="82">
        <v>1101</v>
      </c>
      <c r="R8" s="82">
        <v>1110</v>
      </c>
      <c r="S8" s="82">
        <v>1111</v>
      </c>
    </row>
    <row r="9" spans="1:21" x14ac:dyDescent="0.25">
      <c r="C9" s="84">
        <v>0</v>
      </c>
      <c r="D9" s="85">
        <v>15</v>
      </c>
      <c r="E9" s="85">
        <v>1</v>
      </c>
      <c r="F9" s="85">
        <v>8</v>
      </c>
      <c r="G9" s="85">
        <v>14</v>
      </c>
      <c r="H9" s="85">
        <v>6</v>
      </c>
      <c r="I9" s="85">
        <v>11</v>
      </c>
      <c r="J9" s="85">
        <v>3</v>
      </c>
      <c r="K9" s="85">
        <v>4</v>
      </c>
      <c r="L9" s="85">
        <v>9</v>
      </c>
      <c r="M9" s="85">
        <v>7</v>
      </c>
      <c r="N9" s="85">
        <v>2</v>
      </c>
      <c r="O9" s="85">
        <v>13</v>
      </c>
      <c r="P9" s="85">
        <v>12</v>
      </c>
      <c r="Q9" s="85">
        <v>0</v>
      </c>
      <c r="R9" s="85">
        <v>5</v>
      </c>
      <c r="S9" s="85">
        <v>10</v>
      </c>
    </row>
    <row r="10" spans="1:21" x14ac:dyDescent="0.25">
      <c r="C10" s="84">
        <v>1</v>
      </c>
      <c r="D10" s="85">
        <v>3</v>
      </c>
      <c r="E10" s="85">
        <v>13</v>
      </c>
      <c r="F10" s="85">
        <v>4</v>
      </c>
      <c r="G10" s="85">
        <v>7</v>
      </c>
      <c r="H10" s="85">
        <v>15</v>
      </c>
      <c r="I10" s="85">
        <v>2</v>
      </c>
      <c r="J10" s="85">
        <v>8</v>
      </c>
      <c r="K10" s="85">
        <v>14</v>
      </c>
      <c r="L10" s="85">
        <v>12</v>
      </c>
      <c r="M10" s="85">
        <v>0</v>
      </c>
      <c r="N10" s="85">
        <v>1</v>
      </c>
      <c r="O10" s="85">
        <v>10</v>
      </c>
      <c r="P10" s="85">
        <v>6</v>
      </c>
      <c r="Q10" s="85">
        <v>9</v>
      </c>
      <c r="R10" s="85">
        <v>11</v>
      </c>
      <c r="S10" s="85">
        <v>5</v>
      </c>
    </row>
    <row r="11" spans="1:21" x14ac:dyDescent="0.25">
      <c r="C11" s="84">
        <v>10</v>
      </c>
      <c r="D11" s="85">
        <v>0</v>
      </c>
      <c r="E11" s="85">
        <v>14</v>
      </c>
      <c r="F11" s="85">
        <v>7</v>
      </c>
      <c r="G11" s="85">
        <v>11</v>
      </c>
      <c r="H11" s="85">
        <v>10</v>
      </c>
      <c r="I11" s="85">
        <v>4</v>
      </c>
      <c r="J11" s="85">
        <v>13</v>
      </c>
      <c r="K11" s="85">
        <v>1</v>
      </c>
      <c r="L11" s="85">
        <v>5</v>
      </c>
      <c r="M11" s="85">
        <v>8</v>
      </c>
      <c r="N11" s="85">
        <v>12</v>
      </c>
      <c r="O11" s="85">
        <v>6</v>
      </c>
      <c r="P11" s="85">
        <v>9</v>
      </c>
      <c r="Q11" s="85">
        <v>3</v>
      </c>
      <c r="R11" s="85">
        <v>2</v>
      </c>
      <c r="S11" s="85">
        <v>15</v>
      </c>
    </row>
    <row r="12" spans="1:21" x14ac:dyDescent="0.25">
      <c r="C12" s="84">
        <v>11</v>
      </c>
      <c r="D12" s="85">
        <v>13</v>
      </c>
      <c r="E12" s="85">
        <v>8</v>
      </c>
      <c r="F12" s="85">
        <v>10</v>
      </c>
      <c r="G12" s="85">
        <v>1</v>
      </c>
      <c r="H12" s="85">
        <v>3</v>
      </c>
      <c r="I12" s="85">
        <v>15</v>
      </c>
      <c r="J12" s="85">
        <v>4</v>
      </c>
      <c r="K12" s="85">
        <v>2</v>
      </c>
      <c r="L12" s="85">
        <v>11</v>
      </c>
      <c r="M12" s="85">
        <v>6</v>
      </c>
      <c r="N12" s="85">
        <v>7</v>
      </c>
      <c r="O12" s="85">
        <v>12</v>
      </c>
      <c r="P12" s="85">
        <v>0</v>
      </c>
      <c r="Q12" s="85">
        <v>5</v>
      </c>
      <c r="R12" s="85">
        <v>14</v>
      </c>
      <c r="S12" s="85">
        <v>9</v>
      </c>
    </row>
    <row r="14" spans="1:21" x14ac:dyDescent="0.25">
      <c r="C14" s="115" t="s">
        <v>538</v>
      </c>
      <c r="D14" s="82">
        <v>0</v>
      </c>
      <c r="E14" s="82">
        <v>1</v>
      </c>
      <c r="F14" s="82">
        <v>10</v>
      </c>
      <c r="G14" s="82">
        <v>11</v>
      </c>
      <c r="H14" s="82">
        <v>100</v>
      </c>
      <c r="I14" s="82">
        <v>101</v>
      </c>
      <c r="J14" s="82">
        <v>110</v>
      </c>
      <c r="K14" s="82">
        <v>111</v>
      </c>
      <c r="L14" s="82">
        <v>1000</v>
      </c>
      <c r="M14" s="82">
        <v>1001</v>
      </c>
      <c r="N14" s="82">
        <v>1010</v>
      </c>
      <c r="O14" s="82">
        <v>1011</v>
      </c>
      <c r="P14" s="82">
        <v>1100</v>
      </c>
      <c r="Q14" s="82">
        <v>1101</v>
      </c>
      <c r="R14" s="82">
        <v>1110</v>
      </c>
      <c r="S14" s="82">
        <v>1111</v>
      </c>
    </row>
    <row r="15" spans="1:21" x14ac:dyDescent="0.25">
      <c r="C15" s="84">
        <v>0</v>
      </c>
      <c r="D15" s="85">
        <v>10</v>
      </c>
      <c r="E15" s="85">
        <v>0</v>
      </c>
      <c r="F15" s="85">
        <v>9</v>
      </c>
      <c r="G15" s="85">
        <v>14</v>
      </c>
      <c r="H15" s="85">
        <v>6</v>
      </c>
      <c r="I15" s="85">
        <v>3</v>
      </c>
      <c r="J15" s="85">
        <v>15</v>
      </c>
      <c r="K15" s="85">
        <v>5</v>
      </c>
      <c r="L15" s="85">
        <v>1</v>
      </c>
      <c r="M15" s="85">
        <v>13</v>
      </c>
      <c r="N15" s="85">
        <v>12</v>
      </c>
      <c r="O15" s="85">
        <v>7</v>
      </c>
      <c r="P15" s="85">
        <v>11</v>
      </c>
      <c r="Q15" s="85">
        <v>4</v>
      </c>
      <c r="R15" s="85">
        <v>2</v>
      </c>
      <c r="S15" s="85">
        <v>8</v>
      </c>
    </row>
    <row r="16" spans="1:21" x14ac:dyDescent="0.25">
      <c r="C16" s="84">
        <v>1</v>
      </c>
      <c r="D16" s="85">
        <v>13</v>
      </c>
      <c r="E16" s="85">
        <v>7</v>
      </c>
      <c r="F16" s="85">
        <v>0</v>
      </c>
      <c r="G16" s="85">
        <v>9</v>
      </c>
      <c r="H16" s="85">
        <v>3</v>
      </c>
      <c r="I16" s="85">
        <v>4</v>
      </c>
      <c r="J16" s="85">
        <v>6</v>
      </c>
      <c r="K16" s="85">
        <v>10</v>
      </c>
      <c r="L16" s="85">
        <v>2</v>
      </c>
      <c r="M16" s="85">
        <v>8</v>
      </c>
      <c r="N16" s="85">
        <v>5</v>
      </c>
      <c r="O16" s="85">
        <v>14</v>
      </c>
      <c r="P16" s="85">
        <v>12</v>
      </c>
      <c r="Q16" s="85">
        <v>11</v>
      </c>
      <c r="R16" s="85">
        <v>15</v>
      </c>
      <c r="S16" s="85">
        <v>1</v>
      </c>
    </row>
    <row r="17" spans="3:19" x14ac:dyDescent="0.25">
      <c r="C17" s="84">
        <v>10</v>
      </c>
      <c r="D17" s="85">
        <v>13</v>
      </c>
      <c r="E17" s="85">
        <v>6</v>
      </c>
      <c r="F17" s="85">
        <v>4</v>
      </c>
      <c r="G17" s="85">
        <v>9</v>
      </c>
      <c r="H17" s="85">
        <v>8</v>
      </c>
      <c r="I17" s="85">
        <v>15</v>
      </c>
      <c r="J17" s="85">
        <v>3</v>
      </c>
      <c r="K17" s="85">
        <v>0</v>
      </c>
      <c r="L17" s="85">
        <v>11</v>
      </c>
      <c r="M17" s="85">
        <v>1</v>
      </c>
      <c r="N17" s="85">
        <v>2</v>
      </c>
      <c r="O17" s="85">
        <v>12</v>
      </c>
      <c r="P17" s="85">
        <v>5</v>
      </c>
      <c r="Q17" s="85">
        <v>10</v>
      </c>
      <c r="R17" s="85">
        <v>14</v>
      </c>
      <c r="S17" s="85">
        <v>7</v>
      </c>
    </row>
    <row r="18" spans="3:19" x14ac:dyDescent="0.25">
      <c r="C18" s="84">
        <v>11</v>
      </c>
      <c r="D18" s="85">
        <v>1</v>
      </c>
      <c r="E18" s="85">
        <v>10</v>
      </c>
      <c r="F18" s="85">
        <v>13</v>
      </c>
      <c r="G18" s="85">
        <v>0</v>
      </c>
      <c r="H18" s="85">
        <v>6</v>
      </c>
      <c r="I18" s="85">
        <v>9</v>
      </c>
      <c r="J18" s="85">
        <v>8</v>
      </c>
      <c r="K18" s="85">
        <v>7</v>
      </c>
      <c r="L18" s="85">
        <v>4</v>
      </c>
      <c r="M18" s="85">
        <v>15</v>
      </c>
      <c r="N18" s="85">
        <v>14</v>
      </c>
      <c r="O18" s="85">
        <v>3</v>
      </c>
      <c r="P18" s="85">
        <v>11</v>
      </c>
      <c r="Q18" s="85">
        <v>5</v>
      </c>
      <c r="R18" s="85">
        <v>2</v>
      </c>
      <c r="S18" s="85">
        <v>12</v>
      </c>
    </row>
    <row r="20" spans="3:19" x14ac:dyDescent="0.25">
      <c r="C20" s="115" t="s">
        <v>539</v>
      </c>
      <c r="D20" s="82">
        <v>0</v>
      </c>
      <c r="E20" s="82">
        <v>1</v>
      </c>
      <c r="F20" s="82">
        <v>10</v>
      </c>
      <c r="G20" s="82">
        <v>11</v>
      </c>
      <c r="H20" s="82">
        <v>100</v>
      </c>
      <c r="I20" s="82">
        <v>101</v>
      </c>
      <c r="J20" s="82">
        <v>110</v>
      </c>
      <c r="K20" s="82">
        <v>111</v>
      </c>
      <c r="L20" s="82">
        <v>1000</v>
      </c>
      <c r="M20" s="82">
        <v>1001</v>
      </c>
      <c r="N20" s="82">
        <v>1010</v>
      </c>
      <c r="O20" s="82">
        <v>1011</v>
      </c>
      <c r="P20" s="82">
        <v>1100</v>
      </c>
      <c r="Q20" s="82">
        <v>1101</v>
      </c>
      <c r="R20" s="82">
        <v>1110</v>
      </c>
      <c r="S20" s="82">
        <v>1111</v>
      </c>
    </row>
    <row r="21" spans="3:19" x14ac:dyDescent="0.25">
      <c r="C21" s="84">
        <v>0</v>
      </c>
      <c r="D21" s="85">
        <v>7</v>
      </c>
      <c r="E21" s="85">
        <v>13</v>
      </c>
      <c r="F21" s="85">
        <v>14</v>
      </c>
      <c r="G21" s="85">
        <v>3</v>
      </c>
      <c r="H21" s="85">
        <v>0</v>
      </c>
      <c r="I21" s="85">
        <v>6</v>
      </c>
      <c r="J21" s="85">
        <v>9</v>
      </c>
      <c r="K21" s="85">
        <v>10</v>
      </c>
      <c r="L21" s="85">
        <v>1</v>
      </c>
      <c r="M21" s="85">
        <v>2</v>
      </c>
      <c r="N21" s="85">
        <v>8</v>
      </c>
      <c r="O21" s="85">
        <v>5</v>
      </c>
      <c r="P21" s="85">
        <v>11</v>
      </c>
      <c r="Q21" s="85">
        <v>12</v>
      </c>
      <c r="R21" s="85">
        <v>4</v>
      </c>
      <c r="S21" s="85">
        <v>15</v>
      </c>
    </row>
    <row r="22" spans="3:19" x14ac:dyDescent="0.25">
      <c r="C22" s="84">
        <v>1</v>
      </c>
      <c r="D22" s="85">
        <v>13</v>
      </c>
      <c r="E22" s="85">
        <v>8</v>
      </c>
      <c r="F22" s="85">
        <v>11</v>
      </c>
      <c r="G22" s="85">
        <v>5</v>
      </c>
      <c r="H22" s="85">
        <v>6</v>
      </c>
      <c r="I22" s="85">
        <v>15</v>
      </c>
      <c r="J22" s="85">
        <v>0</v>
      </c>
      <c r="K22" s="85">
        <v>3</v>
      </c>
      <c r="L22" s="85">
        <v>4</v>
      </c>
      <c r="M22" s="85">
        <v>7</v>
      </c>
      <c r="N22" s="85">
        <v>2</v>
      </c>
      <c r="O22" s="85">
        <v>12</v>
      </c>
      <c r="P22" s="85">
        <v>1</v>
      </c>
      <c r="Q22" s="85">
        <v>10</v>
      </c>
      <c r="R22" s="85">
        <v>14</v>
      </c>
      <c r="S22" s="85">
        <v>9</v>
      </c>
    </row>
    <row r="23" spans="3:19" x14ac:dyDescent="0.25">
      <c r="C23" s="84">
        <v>10</v>
      </c>
      <c r="D23" s="85">
        <v>10</v>
      </c>
      <c r="E23" s="85">
        <v>6</v>
      </c>
      <c r="F23" s="85">
        <v>9</v>
      </c>
      <c r="G23" s="85">
        <v>0</v>
      </c>
      <c r="H23" s="85">
        <v>12</v>
      </c>
      <c r="I23" s="85">
        <v>11</v>
      </c>
      <c r="J23" s="85">
        <v>7</v>
      </c>
      <c r="K23" s="85">
        <v>13</v>
      </c>
      <c r="L23" s="85">
        <v>15</v>
      </c>
      <c r="M23" s="85">
        <v>1</v>
      </c>
      <c r="N23" s="85">
        <v>3</v>
      </c>
      <c r="O23" s="85">
        <v>14</v>
      </c>
      <c r="P23" s="85">
        <v>5</v>
      </c>
      <c r="Q23" s="85">
        <v>2</v>
      </c>
      <c r="R23" s="85">
        <v>8</v>
      </c>
      <c r="S23" s="85">
        <v>4</v>
      </c>
    </row>
    <row r="24" spans="3:19" x14ac:dyDescent="0.25">
      <c r="C24" s="84">
        <v>11</v>
      </c>
      <c r="D24" s="85">
        <v>3</v>
      </c>
      <c r="E24" s="85">
        <v>15</v>
      </c>
      <c r="F24" s="85">
        <v>0</v>
      </c>
      <c r="G24" s="85">
        <v>6</v>
      </c>
      <c r="H24" s="85">
        <v>10</v>
      </c>
      <c r="I24" s="85">
        <v>1</v>
      </c>
      <c r="J24" s="85">
        <v>13</v>
      </c>
      <c r="K24" s="85">
        <v>8</v>
      </c>
      <c r="L24" s="85">
        <v>9</v>
      </c>
      <c r="M24" s="85">
        <v>4</v>
      </c>
      <c r="N24" s="85">
        <v>5</v>
      </c>
      <c r="O24" s="85">
        <v>11</v>
      </c>
      <c r="P24" s="85">
        <v>12</v>
      </c>
      <c r="Q24" s="85">
        <v>7</v>
      </c>
      <c r="R24" s="85">
        <v>2</v>
      </c>
      <c r="S24" s="85">
        <v>14</v>
      </c>
    </row>
    <row r="26" spans="3:19" x14ac:dyDescent="0.25">
      <c r="C26" s="115" t="s">
        <v>540</v>
      </c>
      <c r="D26" s="82">
        <v>0</v>
      </c>
      <c r="E26" s="82">
        <v>1</v>
      </c>
      <c r="F26" s="82">
        <v>10</v>
      </c>
      <c r="G26" s="82">
        <v>11</v>
      </c>
      <c r="H26" s="82">
        <v>100</v>
      </c>
      <c r="I26" s="82">
        <v>101</v>
      </c>
      <c r="J26" s="82">
        <v>110</v>
      </c>
      <c r="K26" s="82">
        <v>111</v>
      </c>
      <c r="L26" s="82">
        <v>1000</v>
      </c>
      <c r="M26" s="82">
        <v>1001</v>
      </c>
      <c r="N26" s="82">
        <v>1010</v>
      </c>
      <c r="O26" s="82">
        <v>1011</v>
      </c>
      <c r="P26" s="82">
        <v>1100</v>
      </c>
      <c r="Q26" s="82">
        <v>1101</v>
      </c>
      <c r="R26" s="82">
        <v>1110</v>
      </c>
      <c r="S26" s="82">
        <v>1111</v>
      </c>
    </row>
    <row r="27" spans="3:19" x14ac:dyDescent="0.25">
      <c r="C27" s="84">
        <v>0</v>
      </c>
      <c r="D27" s="85">
        <v>2</v>
      </c>
      <c r="E27" s="85">
        <v>12</v>
      </c>
      <c r="F27" s="85">
        <v>4</v>
      </c>
      <c r="G27" s="85">
        <v>1</v>
      </c>
      <c r="H27" s="85">
        <v>7</v>
      </c>
      <c r="I27" s="85">
        <v>10</v>
      </c>
      <c r="J27" s="85">
        <v>11</v>
      </c>
      <c r="K27" s="85">
        <v>6</v>
      </c>
      <c r="L27" s="85">
        <v>8</v>
      </c>
      <c r="M27" s="85">
        <v>5</v>
      </c>
      <c r="N27" s="85">
        <v>3</v>
      </c>
      <c r="O27" s="85">
        <v>15</v>
      </c>
      <c r="P27" s="85">
        <v>13</v>
      </c>
      <c r="Q27" s="85">
        <v>0</v>
      </c>
      <c r="R27" s="85">
        <v>14</v>
      </c>
      <c r="S27" s="85">
        <v>9</v>
      </c>
    </row>
    <row r="28" spans="3:19" x14ac:dyDescent="0.25">
      <c r="C28" s="84">
        <v>1</v>
      </c>
      <c r="D28" s="85">
        <v>14</v>
      </c>
      <c r="E28" s="85">
        <v>11</v>
      </c>
      <c r="F28" s="85">
        <v>2</v>
      </c>
      <c r="G28" s="85">
        <v>12</v>
      </c>
      <c r="H28" s="85">
        <v>4</v>
      </c>
      <c r="I28" s="85">
        <v>7</v>
      </c>
      <c r="J28" s="85">
        <v>13</v>
      </c>
      <c r="K28" s="85">
        <v>1</v>
      </c>
      <c r="L28" s="85">
        <v>5</v>
      </c>
      <c r="M28" s="85">
        <v>0</v>
      </c>
      <c r="N28" s="85">
        <v>15</v>
      </c>
      <c r="O28" s="85">
        <v>10</v>
      </c>
      <c r="P28" s="85">
        <v>3</v>
      </c>
      <c r="Q28" s="85">
        <v>9</v>
      </c>
      <c r="R28" s="85">
        <v>8</v>
      </c>
      <c r="S28" s="85">
        <v>6</v>
      </c>
    </row>
    <row r="29" spans="3:19" x14ac:dyDescent="0.25">
      <c r="C29" s="84">
        <v>10</v>
      </c>
      <c r="D29" s="85">
        <v>4</v>
      </c>
      <c r="E29" s="85">
        <v>2</v>
      </c>
      <c r="F29" s="85">
        <v>1</v>
      </c>
      <c r="G29" s="85">
        <v>11</v>
      </c>
      <c r="H29" s="85">
        <v>10</v>
      </c>
      <c r="I29" s="85">
        <v>13</v>
      </c>
      <c r="J29" s="85">
        <v>7</v>
      </c>
      <c r="K29" s="85">
        <v>8</v>
      </c>
      <c r="L29" s="85">
        <v>15</v>
      </c>
      <c r="M29" s="85">
        <v>9</v>
      </c>
      <c r="N29" s="85">
        <v>12</v>
      </c>
      <c r="O29" s="85">
        <v>5</v>
      </c>
      <c r="P29" s="85">
        <v>6</v>
      </c>
      <c r="Q29" s="85">
        <v>3</v>
      </c>
      <c r="R29" s="85">
        <v>0</v>
      </c>
      <c r="S29" s="85">
        <v>14</v>
      </c>
    </row>
    <row r="30" spans="3:19" x14ac:dyDescent="0.25">
      <c r="C30" s="84">
        <v>11</v>
      </c>
      <c r="D30" s="85">
        <v>11</v>
      </c>
      <c r="E30" s="85">
        <v>8</v>
      </c>
      <c r="F30" s="85">
        <v>12</v>
      </c>
      <c r="G30" s="85">
        <v>7</v>
      </c>
      <c r="H30" s="85">
        <v>1</v>
      </c>
      <c r="I30" s="85">
        <v>14</v>
      </c>
      <c r="J30" s="85">
        <v>2</v>
      </c>
      <c r="K30" s="85">
        <v>13</v>
      </c>
      <c r="L30" s="85">
        <v>6</v>
      </c>
      <c r="M30" s="85">
        <v>15</v>
      </c>
      <c r="N30" s="85">
        <v>0</v>
      </c>
      <c r="O30" s="85">
        <v>9</v>
      </c>
      <c r="P30" s="85">
        <v>10</v>
      </c>
      <c r="Q30" s="85">
        <v>4</v>
      </c>
      <c r="R30" s="85">
        <v>5</v>
      </c>
      <c r="S30" s="85">
        <v>3</v>
      </c>
    </row>
    <row r="32" spans="3:19" x14ac:dyDescent="0.25">
      <c r="C32" s="115" t="s">
        <v>541</v>
      </c>
      <c r="D32" s="82">
        <v>0</v>
      </c>
      <c r="E32" s="82">
        <v>1</v>
      </c>
      <c r="F32" s="82">
        <v>10</v>
      </c>
      <c r="G32" s="82">
        <v>11</v>
      </c>
      <c r="H32" s="82">
        <v>100</v>
      </c>
      <c r="I32" s="82">
        <v>101</v>
      </c>
      <c r="J32" s="82">
        <v>110</v>
      </c>
      <c r="K32" s="82">
        <v>111</v>
      </c>
      <c r="L32" s="82">
        <v>1000</v>
      </c>
      <c r="M32" s="82">
        <v>1001</v>
      </c>
      <c r="N32" s="82">
        <v>1010</v>
      </c>
      <c r="O32" s="82">
        <v>1011</v>
      </c>
      <c r="P32" s="82">
        <v>1100</v>
      </c>
      <c r="Q32" s="82">
        <v>1101</v>
      </c>
      <c r="R32" s="82">
        <v>1110</v>
      </c>
      <c r="S32" s="82">
        <v>1111</v>
      </c>
    </row>
    <row r="33" spans="3:19" x14ac:dyDescent="0.25">
      <c r="C33" s="84">
        <v>0</v>
      </c>
      <c r="D33" s="85">
        <v>12</v>
      </c>
      <c r="E33" s="85">
        <v>1</v>
      </c>
      <c r="F33" s="85">
        <v>10</v>
      </c>
      <c r="G33" s="85">
        <v>15</v>
      </c>
      <c r="H33" s="85">
        <v>9</v>
      </c>
      <c r="I33" s="85">
        <v>2</v>
      </c>
      <c r="J33" s="85">
        <v>6</v>
      </c>
      <c r="K33" s="85">
        <v>8</v>
      </c>
      <c r="L33" s="85">
        <v>0</v>
      </c>
      <c r="M33" s="85">
        <v>13</v>
      </c>
      <c r="N33" s="85">
        <v>3</v>
      </c>
      <c r="O33" s="85">
        <v>4</v>
      </c>
      <c r="P33" s="85">
        <v>14</v>
      </c>
      <c r="Q33" s="85">
        <v>7</v>
      </c>
      <c r="R33" s="85">
        <v>5</v>
      </c>
      <c r="S33" s="85">
        <v>11</v>
      </c>
    </row>
    <row r="34" spans="3:19" x14ac:dyDescent="0.25">
      <c r="C34" s="84">
        <v>1</v>
      </c>
      <c r="D34" s="85">
        <v>10</v>
      </c>
      <c r="E34" s="85">
        <v>15</v>
      </c>
      <c r="F34" s="85">
        <v>4</v>
      </c>
      <c r="G34" s="85">
        <v>2</v>
      </c>
      <c r="H34" s="85">
        <v>7</v>
      </c>
      <c r="I34" s="85">
        <v>12</v>
      </c>
      <c r="J34" s="85">
        <v>9</v>
      </c>
      <c r="K34" s="85">
        <v>5</v>
      </c>
      <c r="L34" s="85">
        <v>6</v>
      </c>
      <c r="M34" s="85">
        <v>1</v>
      </c>
      <c r="N34" s="85">
        <v>13</v>
      </c>
      <c r="O34" s="85">
        <v>14</v>
      </c>
      <c r="P34" s="85">
        <v>0</v>
      </c>
      <c r="Q34" s="85">
        <v>11</v>
      </c>
      <c r="R34" s="85">
        <v>3</v>
      </c>
      <c r="S34" s="85">
        <v>8</v>
      </c>
    </row>
    <row r="35" spans="3:19" x14ac:dyDescent="0.25">
      <c r="C35" s="84">
        <v>10</v>
      </c>
      <c r="D35" s="85">
        <v>9</v>
      </c>
      <c r="E35" s="85">
        <v>14</v>
      </c>
      <c r="F35" s="85">
        <v>15</v>
      </c>
      <c r="G35" s="85">
        <v>5</v>
      </c>
      <c r="H35" s="85">
        <v>2</v>
      </c>
      <c r="I35" s="85">
        <v>8</v>
      </c>
      <c r="J35" s="85">
        <v>12</v>
      </c>
      <c r="K35" s="85">
        <v>3</v>
      </c>
      <c r="L35" s="85">
        <v>7</v>
      </c>
      <c r="M35" s="85">
        <v>0</v>
      </c>
      <c r="N35" s="85">
        <v>4</v>
      </c>
      <c r="O35" s="85">
        <v>10</v>
      </c>
      <c r="P35" s="85">
        <v>1</v>
      </c>
      <c r="Q35" s="85">
        <v>13</v>
      </c>
      <c r="R35" s="85">
        <v>11</v>
      </c>
      <c r="S35" s="85">
        <v>6</v>
      </c>
    </row>
    <row r="36" spans="3:19" x14ac:dyDescent="0.25">
      <c r="C36" s="84">
        <v>11</v>
      </c>
      <c r="D36" s="85">
        <v>4</v>
      </c>
      <c r="E36" s="85">
        <v>3</v>
      </c>
      <c r="F36" s="85">
        <v>2</v>
      </c>
      <c r="G36" s="85">
        <v>12</v>
      </c>
      <c r="H36" s="85">
        <v>9</v>
      </c>
      <c r="I36" s="85">
        <v>5</v>
      </c>
      <c r="J36" s="85">
        <v>15</v>
      </c>
      <c r="K36" s="85">
        <v>10</v>
      </c>
      <c r="L36" s="85">
        <v>11</v>
      </c>
      <c r="M36" s="85">
        <v>14</v>
      </c>
      <c r="N36" s="85">
        <v>1</v>
      </c>
      <c r="O36" s="85">
        <v>7</v>
      </c>
      <c r="P36" s="85">
        <v>6</v>
      </c>
      <c r="Q36" s="85">
        <v>0</v>
      </c>
      <c r="R36" s="85">
        <v>8</v>
      </c>
      <c r="S36" s="85">
        <v>13</v>
      </c>
    </row>
    <row r="38" spans="3:19" x14ac:dyDescent="0.25">
      <c r="C38" s="115" t="s">
        <v>542</v>
      </c>
      <c r="D38" s="82">
        <v>0</v>
      </c>
      <c r="E38" s="82">
        <v>1</v>
      </c>
      <c r="F38" s="82">
        <v>10</v>
      </c>
      <c r="G38" s="82">
        <v>11</v>
      </c>
      <c r="H38" s="82">
        <v>100</v>
      </c>
      <c r="I38" s="82">
        <v>101</v>
      </c>
      <c r="J38" s="82">
        <v>110</v>
      </c>
      <c r="K38" s="82">
        <v>111</v>
      </c>
      <c r="L38" s="82">
        <v>1000</v>
      </c>
      <c r="M38" s="82">
        <v>1001</v>
      </c>
      <c r="N38" s="82">
        <v>1010</v>
      </c>
      <c r="O38" s="82">
        <v>1011</v>
      </c>
      <c r="P38" s="82">
        <v>1100</v>
      </c>
      <c r="Q38" s="82">
        <v>1101</v>
      </c>
      <c r="R38" s="82">
        <v>1110</v>
      </c>
      <c r="S38" s="82">
        <v>1111</v>
      </c>
    </row>
    <row r="39" spans="3:19" x14ac:dyDescent="0.25">
      <c r="C39" s="84">
        <v>0</v>
      </c>
      <c r="D39" s="85">
        <v>4</v>
      </c>
      <c r="E39" s="85">
        <v>11</v>
      </c>
      <c r="F39" s="85">
        <v>2</v>
      </c>
      <c r="G39" s="85">
        <v>14</v>
      </c>
      <c r="H39" s="85">
        <v>15</v>
      </c>
      <c r="I39" s="85">
        <v>0</v>
      </c>
      <c r="J39" s="85">
        <v>8</v>
      </c>
      <c r="K39" s="85">
        <v>13</v>
      </c>
      <c r="L39" s="85">
        <v>3</v>
      </c>
      <c r="M39" s="85">
        <v>12</v>
      </c>
      <c r="N39" s="85">
        <v>9</v>
      </c>
      <c r="O39" s="85">
        <v>7</v>
      </c>
      <c r="P39" s="85">
        <v>5</v>
      </c>
      <c r="Q39" s="85">
        <v>10</v>
      </c>
      <c r="R39" s="85">
        <v>6</v>
      </c>
      <c r="S39" s="85">
        <v>1</v>
      </c>
    </row>
    <row r="40" spans="3:19" x14ac:dyDescent="0.25">
      <c r="C40" s="84">
        <v>1</v>
      </c>
      <c r="D40" s="85">
        <v>13</v>
      </c>
      <c r="E40" s="85">
        <v>0</v>
      </c>
      <c r="F40" s="85">
        <v>11</v>
      </c>
      <c r="G40" s="85">
        <v>7</v>
      </c>
      <c r="H40" s="85">
        <v>4</v>
      </c>
      <c r="I40" s="85">
        <v>9</v>
      </c>
      <c r="J40" s="85">
        <v>1</v>
      </c>
      <c r="K40" s="85">
        <v>10</v>
      </c>
      <c r="L40" s="85">
        <v>14</v>
      </c>
      <c r="M40" s="85">
        <v>3</v>
      </c>
      <c r="N40" s="85">
        <v>5</v>
      </c>
      <c r="O40" s="85">
        <v>12</v>
      </c>
      <c r="P40" s="85">
        <v>2</v>
      </c>
      <c r="Q40" s="85">
        <v>15</v>
      </c>
      <c r="R40" s="85">
        <v>8</v>
      </c>
      <c r="S40" s="85">
        <v>6</v>
      </c>
    </row>
    <row r="41" spans="3:19" x14ac:dyDescent="0.25">
      <c r="C41" s="84">
        <v>10</v>
      </c>
      <c r="D41" s="85">
        <v>1</v>
      </c>
      <c r="E41" s="85">
        <v>4</v>
      </c>
      <c r="F41" s="85">
        <v>11</v>
      </c>
      <c r="G41" s="85">
        <v>13</v>
      </c>
      <c r="H41" s="85">
        <v>12</v>
      </c>
      <c r="I41" s="85">
        <v>3</v>
      </c>
      <c r="J41" s="85">
        <v>7</v>
      </c>
      <c r="K41" s="85">
        <v>14</v>
      </c>
      <c r="L41" s="85">
        <v>10</v>
      </c>
      <c r="M41" s="85">
        <v>15</v>
      </c>
      <c r="N41" s="85">
        <v>6</v>
      </c>
      <c r="O41" s="85">
        <v>8</v>
      </c>
      <c r="P41" s="85">
        <v>0</v>
      </c>
      <c r="Q41" s="85">
        <v>5</v>
      </c>
      <c r="R41" s="85">
        <v>9</v>
      </c>
      <c r="S41" s="85">
        <v>2</v>
      </c>
    </row>
    <row r="42" spans="3:19" x14ac:dyDescent="0.25">
      <c r="C42" s="84">
        <v>11</v>
      </c>
      <c r="D42" s="85">
        <v>6</v>
      </c>
      <c r="E42" s="85">
        <v>11</v>
      </c>
      <c r="F42" s="85">
        <v>13</v>
      </c>
      <c r="G42" s="85">
        <v>8</v>
      </c>
      <c r="H42" s="85">
        <v>1</v>
      </c>
      <c r="I42" s="85">
        <v>4</v>
      </c>
      <c r="J42" s="85">
        <v>10</v>
      </c>
      <c r="K42" s="85">
        <v>7</v>
      </c>
      <c r="L42" s="85">
        <v>9</v>
      </c>
      <c r="M42" s="85">
        <v>5</v>
      </c>
      <c r="N42" s="85">
        <v>0</v>
      </c>
      <c r="O42" s="85">
        <v>15</v>
      </c>
      <c r="P42" s="85">
        <v>14</v>
      </c>
      <c r="Q42" s="85">
        <v>2</v>
      </c>
      <c r="R42" s="85">
        <v>3</v>
      </c>
      <c r="S42" s="85">
        <v>12</v>
      </c>
    </row>
    <row r="44" spans="3:19" x14ac:dyDescent="0.25">
      <c r="C44" s="115" t="s">
        <v>543</v>
      </c>
      <c r="D44" s="82">
        <v>0</v>
      </c>
      <c r="E44" s="82">
        <v>1</v>
      </c>
      <c r="F44" s="82">
        <v>10</v>
      </c>
      <c r="G44" s="82">
        <v>11</v>
      </c>
      <c r="H44" s="82">
        <v>100</v>
      </c>
      <c r="I44" s="82">
        <v>101</v>
      </c>
      <c r="J44" s="82">
        <v>110</v>
      </c>
      <c r="K44" s="82">
        <v>111</v>
      </c>
      <c r="L44" s="82">
        <v>1000</v>
      </c>
      <c r="M44" s="82">
        <v>1001</v>
      </c>
      <c r="N44" s="82">
        <v>1010</v>
      </c>
      <c r="O44" s="82">
        <v>1011</v>
      </c>
      <c r="P44" s="82">
        <v>1100</v>
      </c>
      <c r="Q44" s="82">
        <v>1101</v>
      </c>
      <c r="R44" s="82">
        <v>1110</v>
      </c>
      <c r="S44" s="82">
        <v>1111</v>
      </c>
    </row>
    <row r="45" spans="3:19" x14ac:dyDescent="0.25">
      <c r="C45" s="84">
        <v>0</v>
      </c>
      <c r="D45" s="85">
        <v>13</v>
      </c>
      <c r="E45" s="85">
        <v>2</v>
      </c>
      <c r="F45" s="85">
        <v>8</v>
      </c>
      <c r="G45" s="85">
        <v>4</v>
      </c>
      <c r="H45" s="85">
        <v>6</v>
      </c>
      <c r="I45" s="85">
        <v>15</v>
      </c>
      <c r="J45" s="85">
        <v>11</v>
      </c>
      <c r="K45" s="85">
        <v>1</v>
      </c>
      <c r="L45" s="85">
        <v>10</v>
      </c>
      <c r="M45" s="85">
        <v>9</v>
      </c>
      <c r="N45" s="85">
        <v>3</v>
      </c>
      <c r="O45" s="85">
        <v>14</v>
      </c>
      <c r="P45" s="85">
        <v>5</v>
      </c>
      <c r="Q45" s="85">
        <v>0</v>
      </c>
      <c r="R45" s="85">
        <v>12</v>
      </c>
      <c r="S45" s="85">
        <v>7</v>
      </c>
    </row>
    <row r="46" spans="3:19" x14ac:dyDescent="0.25">
      <c r="C46" s="84">
        <v>1</v>
      </c>
      <c r="D46" s="85">
        <v>1</v>
      </c>
      <c r="E46" s="85">
        <v>15</v>
      </c>
      <c r="F46" s="85">
        <v>13</v>
      </c>
      <c r="G46" s="85">
        <v>8</v>
      </c>
      <c r="H46" s="85">
        <v>10</v>
      </c>
      <c r="I46" s="85">
        <v>3</v>
      </c>
      <c r="J46" s="85">
        <v>7</v>
      </c>
      <c r="K46" s="85">
        <v>4</v>
      </c>
      <c r="L46" s="85">
        <v>12</v>
      </c>
      <c r="M46" s="85">
        <v>5</v>
      </c>
      <c r="N46" s="85">
        <v>6</v>
      </c>
      <c r="O46" s="85">
        <v>11</v>
      </c>
      <c r="P46" s="85">
        <v>0</v>
      </c>
      <c r="Q46" s="85">
        <v>14</v>
      </c>
      <c r="R46" s="85">
        <v>9</v>
      </c>
      <c r="S46" s="85">
        <v>2</v>
      </c>
    </row>
    <row r="47" spans="3:19" x14ac:dyDescent="0.25">
      <c r="C47" s="84">
        <v>10</v>
      </c>
      <c r="D47" s="85">
        <v>7</v>
      </c>
      <c r="E47" s="85">
        <v>11</v>
      </c>
      <c r="F47" s="85">
        <v>4</v>
      </c>
      <c r="G47" s="85">
        <v>1</v>
      </c>
      <c r="H47" s="85">
        <v>9</v>
      </c>
      <c r="I47" s="85">
        <v>12</v>
      </c>
      <c r="J47" s="85">
        <v>14</v>
      </c>
      <c r="K47" s="85">
        <v>2</v>
      </c>
      <c r="L47" s="85">
        <v>0</v>
      </c>
      <c r="M47" s="85">
        <v>6</v>
      </c>
      <c r="N47" s="85">
        <v>10</v>
      </c>
      <c r="O47" s="85">
        <v>13</v>
      </c>
      <c r="P47" s="85">
        <v>15</v>
      </c>
      <c r="Q47" s="85">
        <v>3</v>
      </c>
      <c r="R47" s="85">
        <v>5</v>
      </c>
      <c r="S47" s="85">
        <v>8</v>
      </c>
    </row>
    <row r="48" spans="3:19" x14ac:dyDescent="0.25">
      <c r="C48" s="84">
        <v>11</v>
      </c>
      <c r="D48" s="85">
        <v>2</v>
      </c>
      <c r="E48" s="85">
        <v>1</v>
      </c>
      <c r="F48" s="85">
        <v>14</v>
      </c>
      <c r="G48" s="85">
        <v>7</v>
      </c>
      <c r="H48" s="85">
        <v>4</v>
      </c>
      <c r="I48" s="85">
        <v>10</v>
      </c>
      <c r="J48" s="85">
        <v>8</v>
      </c>
      <c r="K48" s="85">
        <v>13</v>
      </c>
      <c r="L48" s="85">
        <v>15</v>
      </c>
      <c r="M48" s="85">
        <v>12</v>
      </c>
      <c r="N48" s="85">
        <v>9</v>
      </c>
      <c r="O48" s="85">
        <v>0</v>
      </c>
      <c r="P48" s="85">
        <v>3</v>
      </c>
      <c r="Q48" s="85">
        <v>5</v>
      </c>
      <c r="R48" s="85">
        <v>6</v>
      </c>
      <c r="S48" s="85">
        <v>11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N258"/>
  <sheetViews>
    <sheetView workbookViewId="0">
      <selection activeCell="A2" sqref="A2"/>
    </sheetView>
  </sheetViews>
  <sheetFormatPr defaultColWidth="9.140625" defaultRowHeight="15" x14ac:dyDescent="0.25"/>
  <cols>
    <col min="1" max="4" width="9.140625" style="7"/>
    <col min="5" max="5" width="9" style="7" bestFit="1" customWidth="1"/>
    <col min="6" max="6" width="9" style="7" customWidth="1"/>
    <col min="7" max="16384" width="9.140625" style="7"/>
  </cols>
  <sheetData>
    <row r="1" spans="1:14" ht="15.75" x14ac:dyDescent="0.25">
      <c r="A1" s="3" t="s">
        <v>1</v>
      </c>
      <c r="B1" s="3" t="s">
        <v>2</v>
      </c>
      <c r="C1" s="6"/>
      <c r="D1" s="3" t="s">
        <v>1</v>
      </c>
      <c r="E1" s="274" t="s">
        <v>3</v>
      </c>
      <c r="F1" s="274"/>
      <c r="G1" s="274"/>
      <c r="H1" s="274"/>
      <c r="I1" s="274"/>
      <c r="J1" s="274"/>
      <c r="K1" s="274"/>
      <c r="L1" s="274"/>
      <c r="M1" s="3" t="s">
        <v>3</v>
      </c>
      <c r="N1" s="3" t="s">
        <v>1</v>
      </c>
    </row>
    <row r="2" spans="1:14" x14ac:dyDescent="0.25">
      <c r="A2" s="17"/>
      <c r="B2" s="10">
        <v>0</v>
      </c>
      <c r="C2" s="8"/>
      <c r="D2" s="1"/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>
        <v>0</v>
      </c>
      <c r="L2" s="136">
        <v>0</v>
      </c>
      <c r="M2" s="4" t="s">
        <v>4</v>
      </c>
      <c r="N2" s="1"/>
    </row>
    <row r="3" spans="1:14" ht="15.75" x14ac:dyDescent="0.25">
      <c r="A3" s="2" t="s">
        <v>263</v>
      </c>
      <c r="B3" s="10">
        <v>1</v>
      </c>
      <c r="C3" s="8"/>
      <c r="D3" s="2" t="str">
        <f>A3</f>
        <v>A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1</v>
      </c>
      <c r="M3" s="4" t="s">
        <v>5</v>
      </c>
      <c r="N3" s="2" t="str">
        <f>A3</f>
        <v>A</v>
      </c>
    </row>
    <row r="4" spans="1:14" ht="15.75" x14ac:dyDescent="0.25">
      <c r="A4" s="2" t="s">
        <v>375</v>
      </c>
      <c r="B4" s="10">
        <v>2</v>
      </c>
      <c r="C4" s="8"/>
      <c r="D4" s="2" t="str">
        <f>A4</f>
        <v>B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1</v>
      </c>
      <c r="L4" s="136">
        <v>0</v>
      </c>
      <c r="M4" s="4" t="s">
        <v>6</v>
      </c>
      <c r="N4" s="2" t="str">
        <f t="shared" ref="N4:N67" si="0">A4</f>
        <v>B</v>
      </c>
    </row>
    <row r="5" spans="1:14" ht="15.75" x14ac:dyDescent="0.25">
      <c r="A5" s="2" t="s">
        <v>376</v>
      </c>
      <c r="B5" s="10">
        <v>3</v>
      </c>
      <c r="C5" s="8"/>
      <c r="D5" s="2" t="str">
        <f t="shared" ref="D5:D68" si="1">A5</f>
        <v>C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1</v>
      </c>
      <c r="L5" s="136">
        <v>1</v>
      </c>
      <c r="M5" s="4" t="s">
        <v>7</v>
      </c>
      <c r="N5" s="2" t="str">
        <f t="shared" si="0"/>
        <v>C</v>
      </c>
    </row>
    <row r="6" spans="1:14" ht="15.75" x14ac:dyDescent="0.25">
      <c r="A6" s="2" t="s">
        <v>265</v>
      </c>
      <c r="B6" s="10">
        <v>4</v>
      </c>
      <c r="C6" s="8"/>
      <c r="D6" s="2" t="str">
        <f t="shared" si="1"/>
        <v>D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1</v>
      </c>
      <c r="K6" s="136">
        <v>0</v>
      </c>
      <c r="L6" s="136">
        <v>0</v>
      </c>
      <c r="M6" s="4" t="s">
        <v>8</v>
      </c>
      <c r="N6" s="2" t="str">
        <f t="shared" si="0"/>
        <v>D</v>
      </c>
    </row>
    <row r="7" spans="1:14" ht="15.75" x14ac:dyDescent="0.25">
      <c r="A7" s="2" t="s">
        <v>377</v>
      </c>
      <c r="B7" s="10">
        <v>5</v>
      </c>
      <c r="C7" s="8"/>
      <c r="D7" s="2" t="str">
        <f t="shared" si="1"/>
        <v>E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1</v>
      </c>
      <c r="K7" s="136">
        <v>0</v>
      </c>
      <c r="L7" s="136">
        <v>1</v>
      </c>
      <c r="M7" s="4" t="s">
        <v>9</v>
      </c>
      <c r="N7" s="2" t="str">
        <f t="shared" si="0"/>
        <v>E</v>
      </c>
    </row>
    <row r="8" spans="1:14" ht="15.75" x14ac:dyDescent="0.25">
      <c r="A8" s="2" t="s">
        <v>378</v>
      </c>
      <c r="B8" s="10">
        <v>6</v>
      </c>
      <c r="C8" s="8"/>
      <c r="D8" s="2" t="str">
        <f t="shared" si="1"/>
        <v>F</v>
      </c>
      <c r="E8" s="136">
        <v>0</v>
      </c>
      <c r="F8" s="136">
        <v>0</v>
      </c>
      <c r="G8" s="136">
        <v>0</v>
      </c>
      <c r="H8" s="136">
        <v>0</v>
      </c>
      <c r="I8" s="136">
        <v>0</v>
      </c>
      <c r="J8" s="136">
        <v>1</v>
      </c>
      <c r="K8" s="136">
        <v>1</v>
      </c>
      <c r="L8" s="136">
        <v>0</v>
      </c>
      <c r="M8" s="4" t="s">
        <v>10</v>
      </c>
      <c r="N8" s="2" t="str">
        <f t="shared" si="0"/>
        <v>F</v>
      </c>
    </row>
    <row r="9" spans="1:14" ht="15.75" x14ac:dyDescent="0.25">
      <c r="A9" s="2" t="s">
        <v>260</v>
      </c>
      <c r="B9" s="10">
        <v>7</v>
      </c>
      <c r="C9" s="8"/>
      <c r="D9" s="2" t="str">
        <f t="shared" si="1"/>
        <v>G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1</v>
      </c>
      <c r="K9" s="136">
        <v>1</v>
      </c>
      <c r="L9" s="136">
        <v>1</v>
      </c>
      <c r="M9" s="4" t="s">
        <v>11</v>
      </c>
      <c r="N9" s="2" t="str">
        <f t="shared" si="0"/>
        <v>G</v>
      </c>
    </row>
    <row r="10" spans="1:14" ht="15.75" x14ac:dyDescent="0.25">
      <c r="A10" s="2" t="s">
        <v>269</v>
      </c>
      <c r="B10" s="10">
        <v>8</v>
      </c>
      <c r="C10" s="8"/>
      <c r="D10" s="2" t="str">
        <f t="shared" si="1"/>
        <v>H</v>
      </c>
      <c r="E10" s="136">
        <v>0</v>
      </c>
      <c r="F10" s="136">
        <v>0</v>
      </c>
      <c r="G10" s="136">
        <v>0</v>
      </c>
      <c r="H10" s="136">
        <v>0</v>
      </c>
      <c r="I10" s="136">
        <v>1</v>
      </c>
      <c r="J10" s="136">
        <v>0</v>
      </c>
      <c r="K10" s="136">
        <v>0</v>
      </c>
      <c r="L10" s="136">
        <v>0</v>
      </c>
      <c r="M10" s="4" t="s">
        <v>12</v>
      </c>
      <c r="N10" s="2" t="str">
        <f t="shared" si="0"/>
        <v>H</v>
      </c>
    </row>
    <row r="11" spans="1:14" ht="15.75" x14ac:dyDescent="0.25">
      <c r="A11" s="2" t="s">
        <v>379</v>
      </c>
      <c r="B11" s="10">
        <v>9</v>
      </c>
      <c r="C11" s="8"/>
      <c r="D11" s="2" t="str">
        <f t="shared" si="1"/>
        <v>I</v>
      </c>
      <c r="E11" s="136">
        <v>0</v>
      </c>
      <c r="F11" s="136">
        <v>0</v>
      </c>
      <c r="G11" s="136">
        <v>0</v>
      </c>
      <c r="H11" s="136">
        <v>0</v>
      </c>
      <c r="I11" s="136">
        <v>1</v>
      </c>
      <c r="J11" s="136">
        <v>0</v>
      </c>
      <c r="K11" s="136">
        <v>0</v>
      </c>
      <c r="L11" s="136">
        <v>1</v>
      </c>
      <c r="M11" s="4" t="s">
        <v>13</v>
      </c>
      <c r="N11" s="2" t="str">
        <f t="shared" si="0"/>
        <v>I</v>
      </c>
    </row>
    <row r="12" spans="1:14" ht="15.75" x14ac:dyDescent="0.25">
      <c r="A12" s="2" t="s">
        <v>380</v>
      </c>
      <c r="B12" s="10">
        <v>10</v>
      </c>
      <c r="C12" s="8"/>
      <c r="D12" s="2" t="str">
        <f t="shared" si="1"/>
        <v>J</v>
      </c>
      <c r="E12" s="136">
        <v>0</v>
      </c>
      <c r="F12" s="136">
        <v>0</v>
      </c>
      <c r="G12" s="136">
        <v>0</v>
      </c>
      <c r="H12" s="136">
        <v>0</v>
      </c>
      <c r="I12" s="136">
        <v>1</v>
      </c>
      <c r="J12" s="136">
        <v>0</v>
      </c>
      <c r="K12" s="136">
        <v>1</v>
      </c>
      <c r="L12" s="136">
        <v>0</v>
      </c>
      <c r="M12" s="4" t="s">
        <v>14</v>
      </c>
      <c r="N12" s="2" t="str">
        <f t="shared" si="0"/>
        <v>J</v>
      </c>
    </row>
    <row r="13" spans="1:14" ht="15.75" x14ac:dyDescent="0.25">
      <c r="A13" s="2" t="s">
        <v>267</v>
      </c>
      <c r="B13" s="10">
        <v>11</v>
      </c>
      <c r="C13" s="8"/>
      <c r="D13" s="2" t="str">
        <f t="shared" si="1"/>
        <v>K</v>
      </c>
      <c r="E13" s="136">
        <v>0</v>
      </c>
      <c r="F13" s="136">
        <v>0</v>
      </c>
      <c r="G13" s="136">
        <v>0</v>
      </c>
      <c r="H13" s="136">
        <v>0</v>
      </c>
      <c r="I13" s="136">
        <v>1</v>
      </c>
      <c r="J13" s="136">
        <v>0</v>
      </c>
      <c r="K13" s="136">
        <v>1</v>
      </c>
      <c r="L13" s="136">
        <v>1</v>
      </c>
      <c r="M13" s="4" t="s">
        <v>15</v>
      </c>
      <c r="N13" s="2" t="str">
        <f t="shared" si="0"/>
        <v>K</v>
      </c>
    </row>
    <row r="14" spans="1:14" ht="15.75" x14ac:dyDescent="0.25">
      <c r="A14" s="2" t="s">
        <v>0</v>
      </c>
      <c r="B14" s="10">
        <v>12</v>
      </c>
      <c r="C14" s="8"/>
      <c r="D14" s="2" t="str">
        <f t="shared" si="1"/>
        <v>L</v>
      </c>
      <c r="E14" s="136">
        <v>0</v>
      </c>
      <c r="F14" s="136">
        <v>0</v>
      </c>
      <c r="G14" s="136">
        <v>0</v>
      </c>
      <c r="H14" s="136">
        <v>0</v>
      </c>
      <c r="I14" s="136">
        <v>1</v>
      </c>
      <c r="J14" s="136">
        <v>1</v>
      </c>
      <c r="K14" s="136">
        <v>0</v>
      </c>
      <c r="L14" s="136">
        <v>0</v>
      </c>
      <c r="M14" s="4" t="s">
        <v>16</v>
      </c>
      <c r="N14" s="2" t="str">
        <f t="shared" si="0"/>
        <v>L</v>
      </c>
    </row>
    <row r="15" spans="1:14" ht="15.75" x14ac:dyDescent="0.25">
      <c r="A15" s="2" t="s">
        <v>270</v>
      </c>
      <c r="B15" s="10">
        <v>13</v>
      </c>
      <c r="C15" s="8"/>
      <c r="D15" s="2" t="str">
        <f t="shared" si="1"/>
        <v>M</v>
      </c>
      <c r="E15" s="136">
        <v>0</v>
      </c>
      <c r="F15" s="136">
        <v>0</v>
      </c>
      <c r="G15" s="136">
        <v>0</v>
      </c>
      <c r="H15" s="136">
        <v>0</v>
      </c>
      <c r="I15" s="136">
        <v>1</v>
      </c>
      <c r="J15" s="136">
        <v>1</v>
      </c>
      <c r="K15" s="136">
        <v>0</v>
      </c>
      <c r="L15" s="136">
        <v>1</v>
      </c>
      <c r="M15" s="4" t="s">
        <v>17</v>
      </c>
      <c r="N15" s="2" t="str">
        <f t="shared" si="0"/>
        <v>M</v>
      </c>
    </row>
    <row r="16" spans="1:14" ht="15.75" x14ac:dyDescent="0.25">
      <c r="A16" s="2" t="s">
        <v>264</v>
      </c>
      <c r="B16" s="10">
        <v>14</v>
      </c>
      <c r="C16" s="8"/>
      <c r="D16" s="2" t="str">
        <f t="shared" si="1"/>
        <v>N</v>
      </c>
      <c r="E16" s="136">
        <v>0</v>
      </c>
      <c r="F16" s="136">
        <v>0</v>
      </c>
      <c r="G16" s="136">
        <v>0</v>
      </c>
      <c r="H16" s="136">
        <v>0</v>
      </c>
      <c r="I16" s="136">
        <v>1</v>
      </c>
      <c r="J16" s="136">
        <v>1</v>
      </c>
      <c r="K16" s="136">
        <v>1</v>
      </c>
      <c r="L16" s="136">
        <v>0</v>
      </c>
      <c r="M16" s="4" t="s">
        <v>18</v>
      </c>
      <c r="N16" s="2" t="str">
        <f t="shared" si="0"/>
        <v>N</v>
      </c>
    </row>
    <row r="17" spans="1:14" ht="15.75" x14ac:dyDescent="0.25">
      <c r="A17" s="2" t="s">
        <v>261</v>
      </c>
      <c r="B17" s="10">
        <v>15</v>
      </c>
      <c r="C17" s="8"/>
      <c r="D17" s="2" t="str">
        <f t="shared" si="1"/>
        <v>O</v>
      </c>
      <c r="E17" s="136">
        <v>0</v>
      </c>
      <c r="F17" s="136">
        <v>0</v>
      </c>
      <c r="G17" s="136">
        <v>0</v>
      </c>
      <c r="H17" s="136">
        <v>0</v>
      </c>
      <c r="I17" s="136">
        <v>1</v>
      </c>
      <c r="J17" s="136">
        <v>1</v>
      </c>
      <c r="K17" s="136">
        <v>1</v>
      </c>
      <c r="L17" s="136">
        <v>1</v>
      </c>
      <c r="M17" s="4" t="s">
        <v>19</v>
      </c>
      <c r="N17" s="2" t="str">
        <f t="shared" si="0"/>
        <v>O</v>
      </c>
    </row>
    <row r="18" spans="1:14" ht="15.75" x14ac:dyDescent="0.25">
      <c r="A18" s="2" t="s">
        <v>381</v>
      </c>
      <c r="B18" s="10">
        <v>16</v>
      </c>
      <c r="C18" s="8"/>
      <c r="D18" s="2" t="str">
        <f t="shared" si="1"/>
        <v>P</v>
      </c>
      <c r="E18" s="136">
        <v>0</v>
      </c>
      <c r="F18" s="136">
        <v>0</v>
      </c>
      <c r="G18" s="136">
        <v>0</v>
      </c>
      <c r="H18" s="136">
        <v>1</v>
      </c>
      <c r="I18" s="136">
        <v>0</v>
      </c>
      <c r="J18" s="136">
        <v>0</v>
      </c>
      <c r="K18" s="136">
        <v>0</v>
      </c>
      <c r="L18" s="136">
        <v>0</v>
      </c>
      <c r="M18" s="4" t="s">
        <v>20</v>
      </c>
      <c r="N18" s="2" t="str">
        <f t="shared" si="0"/>
        <v>P</v>
      </c>
    </row>
    <row r="19" spans="1:14" ht="15.75" x14ac:dyDescent="0.25">
      <c r="A19" s="2" t="s">
        <v>382</v>
      </c>
      <c r="B19" s="10">
        <v>17</v>
      </c>
      <c r="C19" s="8"/>
      <c r="D19" s="2" t="str">
        <f t="shared" si="1"/>
        <v>Q</v>
      </c>
      <c r="E19" s="136">
        <v>0</v>
      </c>
      <c r="F19" s="136">
        <v>0</v>
      </c>
      <c r="G19" s="136">
        <v>0</v>
      </c>
      <c r="H19" s="136">
        <v>1</v>
      </c>
      <c r="I19" s="136">
        <v>0</v>
      </c>
      <c r="J19" s="136">
        <v>0</v>
      </c>
      <c r="K19" s="136">
        <v>0</v>
      </c>
      <c r="L19" s="136">
        <v>1</v>
      </c>
      <c r="M19" s="4" t="s">
        <v>21</v>
      </c>
      <c r="N19" s="2" t="str">
        <f t="shared" si="0"/>
        <v>Q</v>
      </c>
    </row>
    <row r="20" spans="1:14" ht="15.75" x14ac:dyDescent="0.25">
      <c r="A20" s="2" t="s">
        <v>268</v>
      </c>
      <c r="B20" s="10">
        <v>18</v>
      </c>
      <c r="C20" s="8"/>
      <c r="D20" s="2" t="str">
        <f t="shared" si="1"/>
        <v>R</v>
      </c>
      <c r="E20" s="136">
        <v>0</v>
      </c>
      <c r="F20" s="136">
        <v>0</v>
      </c>
      <c r="G20" s="136">
        <v>0</v>
      </c>
      <c r="H20" s="136">
        <v>1</v>
      </c>
      <c r="I20" s="136">
        <v>0</v>
      </c>
      <c r="J20" s="136">
        <v>0</v>
      </c>
      <c r="K20" s="136">
        <v>1</v>
      </c>
      <c r="L20" s="136">
        <v>0</v>
      </c>
      <c r="M20" s="4" t="s">
        <v>22</v>
      </c>
      <c r="N20" s="2" t="str">
        <f t="shared" si="0"/>
        <v>R</v>
      </c>
    </row>
    <row r="21" spans="1:14" ht="15.75" x14ac:dyDescent="0.25">
      <c r="A21" s="2" t="s">
        <v>266</v>
      </c>
      <c r="B21" s="10">
        <v>19</v>
      </c>
      <c r="C21" s="8"/>
      <c r="D21" s="2" t="str">
        <f t="shared" si="1"/>
        <v>S</v>
      </c>
      <c r="E21" s="136">
        <v>0</v>
      </c>
      <c r="F21" s="136">
        <v>0</v>
      </c>
      <c r="G21" s="136">
        <v>0</v>
      </c>
      <c r="H21" s="136">
        <v>1</v>
      </c>
      <c r="I21" s="136">
        <v>0</v>
      </c>
      <c r="J21" s="136">
        <v>0</v>
      </c>
      <c r="K21" s="136">
        <v>1</v>
      </c>
      <c r="L21" s="136">
        <v>1</v>
      </c>
      <c r="M21" s="4" t="s">
        <v>23</v>
      </c>
      <c r="N21" s="2" t="str">
        <f t="shared" si="0"/>
        <v>S</v>
      </c>
    </row>
    <row r="22" spans="1:14" ht="15.75" x14ac:dyDescent="0.25">
      <c r="A22" s="2" t="s">
        <v>383</v>
      </c>
      <c r="B22" s="10">
        <v>20</v>
      </c>
      <c r="C22" s="8"/>
      <c r="D22" s="2" t="str">
        <f t="shared" si="1"/>
        <v>T</v>
      </c>
      <c r="E22" s="136">
        <v>0</v>
      </c>
      <c r="F22" s="136">
        <v>0</v>
      </c>
      <c r="G22" s="136">
        <v>0</v>
      </c>
      <c r="H22" s="136">
        <v>1</v>
      </c>
      <c r="I22" s="136">
        <v>0</v>
      </c>
      <c r="J22" s="136">
        <v>1</v>
      </c>
      <c r="K22" s="136">
        <v>0</v>
      </c>
      <c r="L22" s="136">
        <v>0</v>
      </c>
      <c r="M22" s="4" t="s">
        <v>24</v>
      </c>
      <c r="N22" s="2" t="str">
        <f t="shared" si="0"/>
        <v>T</v>
      </c>
    </row>
    <row r="23" spans="1:14" ht="15.75" x14ac:dyDescent="0.25">
      <c r="A23" s="2" t="s">
        <v>384</v>
      </c>
      <c r="B23" s="10">
        <v>21</v>
      </c>
      <c r="C23" s="8"/>
      <c r="D23" s="2" t="str">
        <f t="shared" si="1"/>
        <v>U</v>
      </c>
      <c r="E23" s="136">
        <v>0</v>
      </c>
      <c r="F23" s="136">
        <v>0</v>
      </c>
      <c r="G23" s="136">
        <v>0</v>
      </c>
      <c r="H23" s="136">
        <v>1</v>
      </c>
      <c r="I23" s="136">
        <v>0</v>
      </c>
      <c r="J23" s="136">
        <v>1</v>
      </c>
      <c r="K23" s="136">
        <v>0</v>
      </c>
      <c r="L23" s="136">
        <v>1</v>
      </c>
      <c r="M23" s="4" t="s">
        <v>25</v>
      </c>
      <c r="N23" s="2" t="str">
        <f t="shared" si="0"/>
        <v>U</v>
      </c>
    </row>
    <row r="24" spans="1:14" ht="15.75" x14ac:dyDescent="0.25">
      <c r="A24" s="2" t="s">
        <v>262</v>
      </c>
      <c r="B24" s="10">
        <v>22</v>
      </c>
      <c r="C24" s="8"/>
      <c r="D24" s="2" t="str">
        <f t="shared" si="1"/>
        <v>V</v>
      </c>
      <c r="E24" s="136">
        <v>0</v>
      </c>
      <c r="F24" s="136">
        <v>0</v>
      </c>
      <c r="G24" s="136">
        <v>0</v>
      </c>
      <c r="H24" s="136">
        <v>1</v>
      </c>
      <c r="I24" s="136">
        <v>0</v>
      </c>
      <c r="J24" s="136">
        <v>1</v>
      </c>
      <c r="K24" s="136">
        <v>1</v>
      </c>
      <c r="L24" s="136">
        <v>0</v>
      </c>
      <c r="M24" s="4" t="s">
        <v>26</v>
      </c>
      <c r="N24" s="2" t="str">
        <f t="shared" si="0"/>
        <v>V</v>
      </c>
    </row>
    <row r="25" spans="1:14" ht="15.75" x14ac:dyDescent="0.25">
      <c r="A25" s="2" t="s">
        <v>385</v>
      </c>
      <c r="B25" s="10">
        <v>23</v>
      </c>
      <c r="C25" s="8"/>
      <c r="D25" s="2" t="str">
        <f t="shared" si="1"/>
        <v>W</v>
      </c>
      <c r="E25" s="136">
        <v>0</v>
      </c>
      <c r="F25" s="136">
        <v>0</v>
      </c>
      <c r="G25" s="136">
        <v>0</v>
      </c>
      <c r="H25" s="136">
        <v>1</v>
      </c>
      <c r="I25" s="136">
        <v>0</v>
      </c>
      <c r="J25" s="136">
        <v>1</v>
      </c>
      <c r="K25" s="136">
        <v>1</v>
      </c>
      <c r="L25" s="136">
        <v>1</v>
      </c>
      <c r="M25" s="4" t="s">
        <v>27</v>
      </c>
      <c r="N25" s="2" t="str">
        <f t="shared" si="0"/>
        <v>W</v>
      </c>
    </row>
    <row r="26" spans="1:14" ht="15.75" x14ac:dyDescent="0.25">
      <c r="A26" s="2" t="s">
        <v>386</v>
      </c>
      <c r="B26" s="10">
        <v>24</v>
      </c>
      <c r="C26" s="8"/>
      <c r="D26" s="2" t="str">
        <f t="shared" si="1"/>
        <v>X</v>
      </c>
      <c r="E26" s="136">
        <v>0</v>
      </c>
      <c r="F26" s="136">
        <v>0</v>
      </c>
      <c r="G26" s="136">
        <v>0</v>
      </c>
      <c r="H26" s="136">
        <v>1</v>
      </c>
      <c r="I26" s="136">
        <v>1</v>
      </c>
      <c r="J26" s="136">
        <v>0</v>
      </c>
      <c r="K26" s="136">
        <v>0</v>
      </c>
      <c r="L26" s="136">
        <v>0</v>
      </c>
      <c r="M26" s="4" t="s">
        <v>28</v>
      </c>
      <c r="N26" s="2" t="str">
        <f t="shared" si="0"/>
        <v>X</v>
      </c>
    </row>
    <row r="27" spans="1:14" ht="15.75" x14ac:dyDescent="0.25">
      <c r="A27" s="2" t="s">
        <v>387</v>
      </c>
      <c r="B27" s="10">
        <v>25</v>
      </c>
      <c r="C27" s="8"/>
      <c r="D27" s="2" t="str">
        <f t="shared" si="1"/>
        <v>Y</v>
      </c>
      <c r="E27" s="136">
        <v>0</v>
      </c>
      <c r="F27" s="136">
        <v>0</v>
      </c>
      <c r="G27" s="136">
        <v>0</v>
      </c>
      <c r="H27" s="136">
        <v>1</v>
      </c>
      <c r="I27" s="136">
        <v>1</v>
      </c>
      <c r="J27" s="136">
        <v>0</v>
      </c>
      <c r="K27" s="136">
        <v>0</v>
      </c>
      <c r="L27" s="136">
        <v>1</v>
      </c>
      <c r="M27" s="4" t="s">
        <v>29</v>
      </c>
      <c r="N27" s="2" t="str">
        <f t="shared" si="0"/>
        <v>Y</v>
      </c>
    </row>
    <row r="28" spans="1:14" ht="15.75" x14ac:dyDescent="0.25">
      <c r="A28" s="2" t="s">
        <v>388</v>
      </c>
      <c r="B28" s="10">
        <v>26</v>
      </c>
      <c r="C28" s="8"/>
      <c r="D28" s="2" t="str">
        <f t="shared" si="1"/>
        <v>Z</v>
      </c>
      <c r="E28" s="136">
        <v>0</v>
      </c>
      <c r="F28" s="136">
        <v>0</v>
      </c>
      <c r="G28" s="136">
        <v>0</v>
      </c>
      <c r="H28" s="136">
        <v>1</v>
      </c>
      <c r="I28" s="136">
        <v>1</v>
      </c>
      <c r="J28" s="136">
        <v>0</v>
      </c>
      <c r="K28" s="136">
        <v>1</v>
      </c>
      <c r="L28" s="136">
        <v>0</v>
      </c>
      <c r="M28" s="4" t="s">
        <v>30</v>
      </c>
      <c r="N28" s="2" t="str">
        <f t="shared" si="0"/>
        <v>Z</v>
      </c>
    </row>
    <row r="29" spans="1:14" ht="15.75" x14ac:dyDescent="0.25">
      <c r="A29" s="18" t="s">
        <v>401</v>
      </c>
      <c r="B29" s="10">
        <v>27</v>
      </c>
      <c r="C29" s="8"/>
      <c r="D29" s="2" t="str">
        <f t="shared" si="1"/>
        <v>a</v>
      </c>
      <c r="E29" s="136">
        <v>0</v>
      </c>
      <c r="F29" s="136">
        <v>0</v>
      </c>
      <c r="G29" s="136">
        <v>0</v>
      </c>
      <c r="H29" s="136">
        <v>1</v>
      </c>
      <c r="I29" s="136">
        <v>1</v>
      </c>
      <c r="J29" s="136">
        <v>0</v>
      </c>
      <c r="K29" s="136">
        <v>1</v>
      </c>
      <c r="L29" s="136">
        <v>1</v>
      </c>
      <c r="M29" s="4" t="s">
        <v>31</v>
      </c>
      <c r="N29" s="2" t="str">
        <f t="shared" si="0"/>
        <v>a</v>
      </c>
    </row>
    <row r="30" spans="1:14" ht="15.75" x14ac:dyDescent="0.25">
      <c r="A30" s="18" t="s">
        <v>402</v>
      </c>
      <c r="B30" s="10">
        <v>28</v>
      </c>
      <c r="C30" s="8"/>
      <c r="D30" s="2" t="str">
        <f t="shared" si="1"/>
        <v>b</v>
      </c>
      <c r="E30" s="136">
        <v>0</v>
      </c>
      <c r="F30" s="136">
        <v>0</v>
      </c>
      <c r="G30" s="136">
        <v>0</v>
      </c>
      <c r="H30" s="136">
        <v>1</v>
      </c>
      <c r="I30" s="136">
        <v>1</v>
      </c>
      <c r="J30" s="136">
        <v>1</v>
      </c>
      <c r="K30" s="136">
        <v>0</v>
      </c>
      <c r="L30" s="136">
        <v>0</v>
      </c>
      <c r="M30" s="4" t="s">
        <v>32</v>
      </c>
      <c r="N30" s="2" t="str">
        <f t="shared" si="0"/>
        <v>b</v>
      </c>
    </row>
    <row r="31" spans="1:14" ht="15.75" x14ac:dyDescent="0.25">
      <c r="A31" s="18" t="s">
        <v>403</v>
      </c>
      <c r="B31" s="10">
        <v>29</v>
      </c>
      <c r="C31" s="8"/>
      <c r="D31" s="2" t="str">
        <f t="shared" si="1"/>
        <v>c</v>
      </c>
      <c r="E31" s="136">
        <v>0</v>
      </c>
      <c r="F31" s="136">
        <v>0</v>
      </c>
      <c r="G31" s="136">
        <v>0</v>
      </c>
      <c r="H31" s="136">
        <v>1</v>
      </c>
      <c r="I31" s="136">
        <v>1</v>
      </c>
      <c r="J31" s="136">
        <v>1</v>
      </c>
      <c r="K31" s="136">
        <v>0</v>
      </c>
      <c r="L31" s="136">
        <v>1</v>
      </c>
      <c r="M31" s="4" t="s">
        <v>33</v>
      </c>
      <c r="N31" s="2" t="str">
        <f t="shared" si="0"/>
        <v>c</v>
      </c>
    </row>
    <row r="32" spans="1:14" ht="15.75" x14ac:dyDescent="0.25">
      <c r="A32" s="18" t="s">
        <v>404</v>
      </c>
      <c r="B32" s="10">
        <v>30</v>
      </c>
      <c r="C32" s="8"/>
      <c r="D32" s="2" t="str">
        <f t="shared" si="1"/>
        <v>d</v>
      </c>
      <c r="E32" s="136">
        <v>0</v>
      </c>
      <c r="F32" s="136">
        <v>0</v>
      </c>
      <c r="G32" s="136">
        <v>0</v>
      </c>
      <c r="H32" s="136">
        <v>1</v>
      </c>
      <c r="I32" s="136">
        <v>1</v>
      </c>
      <c r="J32" s="136">
        <v>1</v>
      </c>
      <c r="K32" s="136">
        <v>1</v>
      </c>
      <c r="L32" s="136">
        <v>0</v>
      </c>
      <c r="M32" s="4" t="s">
        <v>34</v>
      </c>
      <c r="N32" s="2" t="str">
        <f t="shared" si="0"/>
        <v>d</v>
      </c>
    </row>
    <row r="33" spans="1:14" ht="15.75" x14ac:dyDescent="0.25">
      <c r="A33" s="18" t="s">
        <v>405</v>
      </c>
      <c r="B33" s="10">
        <v>31</v>
      </c>
      <c r="C33" s="8"/>
      <c r="D33" s="2" t="str">
        <f t="shared" si="1"/>
        <v>e</v>
      </c>
      <c r="E33" s="136">
        <v>0</v>
      </c>
      <c r="F33" s="136">
        <v>0</v>
      </c>
      <c r="G33" s="136">
        <v>0</v>
      </c>
      <c r="H33" s="136">
        <v>1</v>
      </c>
      <c r="I33" s="136">
        <v>1</v>
      </c>
      <c r="J33" s="136">
        <v>1</v>
      </c>
      <c r="K33" s="136">
        <v>1</v>
      </c>
      <c r="L33" s="136">
        <v>1</v>
      </c>
      <c r="M33" s="4" t="s">
        <v>35</v>
      </c>
      <c r="N33" s="2" t="str">
        <f t="shared" si="0"/>
        <v>e</v>
      </c>
    </row>
    <row r="34" spans="1:14" ht="15.75" x14ac:dyDescent="0.25">
      <c r="A34" s="18" t="s">
        <v>406</v>
      </c>
      <c r="B34" s="10">
        <v>32</v>
      </c>
      <c r="C34" s="8"/>
      <c r="D34" s="2" t="str">
        <f t="shared" si="1"/>
        <v>f</v>
      </c>
      <c r="E34" s="136">
        <v>0</v>
      </c>
      <c r="F34" s="136">
        <v>0</v>
      </c>
      <c r="G34" s="136">
        <v>1</v>
      </c>
      <c r="H34" s="136">
        <v>0</v>
      </c>
      <c r="I34" s="136">
        <v>0</v>
      </c>
      <c r="J34" s="136">
        <v>0</v>
      </c>
      <c r="K34" s="136">
        <v>0</v>
      </c>
      <c r="L34" s="136">
        <v>0</v>
      </c>
      <c r="M34" s="4" t="s">
        <v>36</v>
      </c>
      <c r="N34" s="2" t="str">
        <f t="shared" si="0"/>
        <v>f</v>
      </c>
    </row>
    <row r="35" spans="1:14" ht="15.75" x14ac:dyDescent="0.25">
      <c r="A35" s="18" t="s">
        <v>407</v>
      </c>
      <c r="B35" s="10">
        <v>33</v>
      </c>
      <c r="C35" s="8"/>
      <c r="D35" s="2" t="str">
        <f t="shared" si="1"/>
        <v>g</v>
      </c>
      <c r="E35" s="136">
        <v>0</v>
      </c>
      <c r="F35" s="136">
        <v>0</v>
      </c>
      <c r="G35" s="136">
        <v>1</v>
      </c>
      <c r="H35" s="136">
        <v>0</v>
      </c>
      <c r="I35" s="136">
        <v>0</v>
      </c>
      <c r="J35" s="136">
        <v>0</v>
      </c>
      <c r="K35" s="136">
        <v>0</v>
      </c>
      <c r="L35" s="136">
        <v>1</v>
      </c>
      <c r="M35" s="4" t="s">
        <v>37</v>
      </c>
      <c r="N35" s="2" t="str">
        <f t="shared" si="0"/>
        <v>g</v>
      </c>
    </row>
    <row r="36" spans="1:14" ht="15.75" x14ac:dyDescent="0.25">
      <c r="A36" s="18" t="s">
        <v>408</v>
      </c>
      <c r="B36" s="10">
        <v>34</v>
      </c>
      <c r="C36" s="8"/>
      <c r="D36" s="2" t="str">
        <f t="shared" si="1"/>
        <v>h</v>
      </c>
      <c r="E36" s="136">
        <v>0</v>
      </c>
      <c r="F36" s="136">
        <v>0</v>
      </c>
      <c r="G36" s="136">
        <v>1</v>
      </c>
      <c r="H36" s="136">
        <v>0</v>
      </c>
      <c r="I36" s="136">
        <v>0</v>
      </c>
      <c r="J36" s="136">
        <v>0</v>
      </c>
      <c r="K36" s="136">
        <v>1</v>
      </c>
      <c r="L36" s="136">
        <v>0</v>
      </c>
      <c r="M36" s="4" t="s">
        <v>38</v>
      </c>
      <c r="N36" s="2" t="str">
        <f t="shared" si="0"/>
        <v>h</v>
      </c>
    </row>
    <row r="37" spans="1:14" ht="15.75" x14ac:dyDescent="0.25">
      <c r="A37" s="18" t="s">
        <v>409</v>
      </c>
      <c r="B37" s="10">
        <v>35</v>
      </c>
      <c r="C37" s="8"/>
      <c r="D37" s="2" t="str">
        <f t="shared" si="1"/>
        <v>i</v>
      </c>
      <c r="E37" s="136">
        <v>0</v>
      </c>
      <c r="F37" s="136">
        <v>0</v>
      </c>
      <c r="G37" s="136">
        <v>1</v>
      </c>
      <c r="H37" s="136">
        <v>0</v>
      </c>
      <c r="I37" s="136">
        <v>0</v>
      </c>
      <c r="J37" s="136">
        <v>0</v>
      </c>
      <c r="K37" s="136">
        <v>1</v>
      </c>
      <c r="L37" s="136">
        <v>1</v>
      </c>
      <c r="M37" s="4" t="s">
        <v>39</v>
      </c>
      <c r="N37" s="2" t="str">
        <f t="shared" si="0"/>
        <v>i</v>
      </c>
    </row>
    <row r="38" spans="1:14" ht="15.75" x14ac:dyDescent="0.25">
      <c r="A38" s="18" t="s">
        <v>410</v>
      </c>
      <c r="B38" s="10">
        <v>36</v>
      </c>
      <c r="C38" s="8"/>
      <c r="D38" s="2" t="str">
        <f t="shared" si="1"/>
        <v>j</v>
      </c>
      <c r="E38" s="136">
        <v>0</v>
      </c>
      <c r="F38" s="136">
        <v>0</v>
      </c>
      <c r="G38" s="136">
        <v>1</v>
      </c>
      <c r="H38" s="136">
        <v>0</v>
      </c>
      <c r="I38" s="136">
        <v>0</v>
      </c>
      <c r="J38" s="136">
        <v>1</v>
      </c>
      <c r="K38" s="136">
        <v>0</v>
      </c>
      <c r="L38" s="136">
        <v>0</v>
      </c>
      <c r="M38" s="4" t="s">
        <v>40</v>
      </c>
      <c r="N38" s="2" t="str">
        <f t="shared" si="0"/>
        <v>j</v>
      </c>
    </row>
    <row r="39" spans="1:14" ht="15.75" x14ac:dyDescent="0.25">
      <c r="A39" s="18" t="s">
        <v>411</v>
      </c>
      <c r="B39" s="10">
        <v>37</v>
      </c>
      <c r="C39" s="8"/>
      <c r="D39" s="2" t="str">
        <f t="shared" si="1"/>
        <v>k</v>
      </c>
      <c r="E39" s="136">
        <v>0</v>
      </c>
      <c r="F39" s="136">
        <v>0</v>
      </c>
      <c r="G39" s="136">
        <v>1</v>
      </c>
      <c r="H39" s="136">
        <v>0</v>
      </c>
      <c r="I39" s="136">
        <v>0</v>
      </c>
      <c r="J39" s="136">
        <v>1</v>
      </c>
      <c r="K39" s="136">
        <v>0</v>
      </c>
      <c r="L39" s="136">
        <v>1</v>
      </c>
      <c r="M39" s="4" t="s">
        <v>41</v>
      </c>
      <c r="N39" s="2" t="str">
        <f t="shared" si="0"/>
        <v>k</v>
      </c>
    </row>
    <row r="40" spans="1:14" ht="15.75" x14ac:dyDescent="0.25">
      <c r="A40" s="18" t="s">
        <v>412</v>
      </c>
      <c r="B40" s="10">
        <v>38</v>
      </c>
      <c r="C40" s="8"/>
      <c r="D40" s="2" t="str">
        <f t="shared" si="1"/>
        <v>l</v>
      </c>
      <c r="E40" s="136">
        <v>0</v>
      </c>
      <c r="F40" s="136">
        <v>0</v>
      </c>
      <c r="G40" s="136">
        <v>1</v>
      </c>
      <c r="H40" s="136">
        <v>0</v>
      </c>
      <c r="I40" s="136">
        <v>0</v>
      </c>
      <c r="J40" s="136">
        <v>1</v>
      </c>
      <c r="K40" s="136">
        <v>1</v>
      </c>
      <c r="L40" s="136">
        <v>0</v>
      </c>
      <c r="M40" s="4" t="s">
        <v>42</v>
      </c>
      <c r="N40" s="2" t="str">
        <f t="shared" si="0"/>
        <v>l</v>
      </c>
    </row>
    <row r="41" spans="1:14" ht="15.75" x14ac:dyDescent="0.25">
      <c r="A41" s="18" t="s">
        <v>413</v>
      </c>
      <c r="B41" s="10">
        <v>39</v>
      </c>
      <c r="C41" s="8"/>
      <c r="D41" s="2" t="str">
        <f t="shared" si="1"/>
        <v>m</v>
      </c>
      <c r="E41" s="136">
        <v>0</v>
      </c>
      <c r="F41" s="136">
        <v>0</v>
      </c>
      <c r="G41" s="136">
        <v>1</v>
      </c>
      <c r="H41" s="136">
        <v>0</v>
      </c>
      <c r="I41" s="136">
        <v>0</v>
      </c>
      <c r="J41" s="136">
        <v>1</v>
      </c>
      <c r="K41" s="136">
        <v>1</v>
      </c>
      <c r="L41" s="136">
        <v>1</v>
      </c>
      <c r="M41" s="4" t="s">
        <v>43</v>
      </c>
      <c r="N41" s="2" t="str">
        <f t="shared" si="0"/>
        <v>m</v>
      </c>
    </row>
    <row r="42" spans="1:14" ht="15.75" x14ac:dyDescent="0.25">
      <c r="A42" s="18" t="s">
        <v>414</v>
      </c>
      <c r="B42" s="10">
        <v>40</v>
      </c>
      <c r="C42" s="8"/>
      <c r="D42" s="2" t="str">
        <f t="shared" si="1"/>
        <v>n</v>
      </c>
      <c r="E42" s="136">
        <v>0</v>
      </c>
      <c r="F42" s="136">
        <v>0</v>
      </c>
      <c r="G42" s="136">
        <v>1</v>
      </c>
      <c r="H42" s="136">
        <v>0</v>
      </c>
      <c r="I42" s="136">
        <v>1</v>
      </c>
      <c r="J42" s="136">
        <v>0</v>
      </c>
      <c r="K42" s="136">
        <v>0</v>
      </c>
      <c r="L42" s="136">
        <v>0</v>
      </c>
      <c r="M42" s="4" t="s">
        <v>44</v>
      </c>
      <c r="N42" s="2" t="str">
        <f t="shared" si="0"/>
        <v>n</v>
      </c>
    </row>
    <row r="43" spans="1:14" ht="15.75" x14ac:dyDescent="0.25">
      <c r="A43" s="18" t="s">
        <v>415</v>
      </c>
      <c r="B43" s="10">
        <v>41</v>
      </c>
      <c r="C43" s="8"/>
      <c r="D43" s="2" t="str">
        <f t="shared" si="1"/>
        <v>o</v>
      </c>
      <c r="E43" s="136">
        <v>0</v>
      </c>
      <c r="F43" s="136">
        <v>0</v>
      </c>
      <c r="G43" s="136">
        <v>1</v>
      </c>
      <c r="H43" s="136">
        <v>0</v>
      </c>
      <c r="I43" s="136">
        <v>1</v>
      </c>
      <c r="J43" s="136">
        <v>0</v>
      </c>
      <c r="K43" s="136">
        <v>0</v>
      </c>
      <c r="L43" s="136">
        <v>1</v>
      </c>
      <c r="M43" s="4" t="s">
        <v>45</v>
      </c>
      <c r="N43" s="2" t="str">
        <f t="shared" si="0"/>
        <v>o</v>
      </c>
    </row>
    <row r="44" spans="1:14" ht="15.75" x14ac:dyDescent="0.25">
      <c r="A44" s="18" t="s">
        <v>416</v>
      </c>
      <c r="B44" s="10">
        <v>42</v>
      </c>
      <c r="C44" s="8"/>
      <c r="D44" s="2" t="str">
        <f t="shared" si="1"/>
        <v>p</v>
      </c>
      <c r="E44" s="136">
        <v>0</v>
      </c>
      <c r="F44" s="136">
        <v>0</v>
      </c>
      <c r="G44" s="136">
        <v>1</v>
      </c>
      <c r="H44" s="136">
        <v>0</v>
      </c>
      <c r="I44" s="136">
        <v>1</v>
      </c>
      <c r="J44" s="136">
        <v>0</v>
      </c>
      <c r="K44" s="136">
        <v>1</v>
      </c>
      <c r="L44" s="136">
        <v>0</v>
      </c>
      <c r="M44" s="4" t="s">
        <v>46</v>
      </c>
      <c r="N44" s="2" t="str">
        <f t="shared" si="0"/>
        <v>p</v>
      </c>
    </row>
    <row r="45" spans="1:14" ht="15.75" x14ac:dyDescent="0.25">
      <c r="A45" s="18" t="s">
        <v>417</v>
      </c>
      <c r="B45" s="11">
        <v>43</v>
      </c>
      <c r="C45" s="9"/>
      <c r="D45" s="2" t="str">
        <f t="shared" si="1"/>
        <v>q</v>
      </c>
      <c r="E45" s="136">
        <v>0</v>
      </c>
      <c r="F45" s="136">
        <v>0</v>
      </c>
      <c r="G45" s="136">
        <v>1</v>
      </c>
      <c r="H45" s="136">
        <v>0</v>
      </c>
      <c r="I45" s="136">
        <v>1</v>
      </c>
      <c r="J45" s="136">
        <v>0</v>
      </c>
      <c r="K45" s="136">
        <v>1</v>
      </c>
      <c r="L45" s="136">
        <v>1</v>
      </c>
      <c r="M45" s="5" t="s">
        <v>47</v>
      </c>
      <c r="N45" s="2" t="str">
        <f t="shared" si="0"/>
        <v>q</v>
      </c>
    </row>
    <row r="46" spans="1:14" ht="15.75" x14ac:dyDescent="0.25">
      <c r="A46" s="18" t="s">
        <v>418</v>
      </c>
      <c r="B46" s="10">
        <v>44</v>
      </c>
      <c r="C46" s="8"/>
      <c r="D46" s="2" t="str">
        <f t="shared" si="1"/>
        <v>r</v>
      </c>
      <c r="E46" s="136">
        <v>0</v>
      </c>
      <c r="F46" s="136">
        <v>0</v>
      </c>
      <c r="G46" s="136">
        <v>1</v>
      </c>
      <c r="H46" s="136">
        <v>0</v>
      </c>
      <c r="I46" s="136">
        <v>1</v>
      </c>
      <c r="J46" s="136">
        <v>1</v>
      </c>
      <c r="K46" s="136">
        <v>0</v>
      </c>
      <c r="L46" s="136">
        <v>0</v>
      </c>
      <c r="M46" s="4" t="s">
        <v>48</v>
      </c>
      <c r="N46" s="2" t="str">
        <f t="shared" si="0"/>
        <v>r</v>
      </c>
    </row>
    <row r="47" spans="1:14" ht="15.75" x14ac:dyDescent="0.25">
      <c r="A47" s="18" t="s">
        <v>419</v>
      </c>
      <c r="B47" s="10">
        <v>45</v>
      </c>
      <c r="C47" s="8"/>
      <c r="D47" s="2" t="str">
        <f t="shared" si="1"/>
        <v>s</v>
      </c>
      <c r="E47" s="136">
        <v>0</v>
      </c>
      <c r="F47" s="136">
        <v>0</v>
      </c>
      <c r="G47" s="136">
        <v>1</v>
      </c>
      <c r="H47" s="136">
        <v>0</v>
      </c>
      <c r="I47" s="136">
        <v>1</v>
      </c>
      <c r="J47" s="136">
        <v>1</v>
      </c>
      <c r="K47" s="136">
        <v>0</v>
      </c>
      <c r="L47" s="136">
        <v>1</v>
      </c>
      <c r="M47" s="4" t="s">
        <v>49</v>
      </c>
      <c r="N47" s="2" t="str">
        <f t="shared" si="0"/>
        <v>s</v>
      </c>
    </row>
    <row r="48" spans="1:14" ht="15.75" x14ac:dyDescent="0.25">
      <c r="A48" s="18" t="s">
        <v>420</v>
      </c>
      <c r="B48" s="10">
        <v>46</v>
      </c>
      <c r="C48" s="8"/>
      <c r="D48" s="2" t="str">
        <f t="shared" si="1"/>
        <v>t</v>
      </c>
      <c r="E48" s="136">
        <v>0</v>
      </c>
      <c r="F48" s="136">
        <v>0</v>
      </c>
      <c r="G48" s="136">
        <v>1</v>
      </c>
      <c r="H48" s="136">
        <v>0</v>
      </c>
      <c r="I48" s="136">
        <v>1</v>
      </c>
      <c r="J48" s="136">
        <v>1</v>
      </c>
      <c r="K48" s="136">
        <v>1</v>
      </c>
      <c r="L48" s="136">
        <v>0</v>
      </c>
      <c r="M48" s="4" t="s">
        <v>50</v>
      </c>
      <c r="N48" s="2" t="str">
        <f t="shared" si="0"/>
        <v>t</v>
      </c>
    </row>
    <row r="49" spans="1:14" ht="15.75" x14ac:dyDescent="0.25">
      <c r="A49" s="18" t="s">
        <v>421</v>
      </c>
      <c r="B49" s="10">
        <v>47</v>
      </c>
      <c r="C49" s="8"/>
      <c r="D49" s="2" t="str">
        <f t="shared" si="1"/>
        <v>u</v>
      </c>
      <c r="E49" s="136">
        <v>0</v>
      </c>
      <c r="F49" s="136">
        <v>0</v>
      </c>
      <c r="G49" s="136">
        <v>1</v>
      </c>
      <c r="H49" s="136">
        <v>0</v>
      </c>
      <c r="I49" s="136">
        <v>1</v>
      </c>
      <c r="J49" s="136">
        <v>1</v>
      </c>
      <c r="K49" s="136">
        <v>1</v>
      </c>
      <c r="L49" s="136">
        <v>1</v>
      </c>
      <c r="M49" s="4" t="s">
        <v>51</v>
      </c>
      <c r="N49" s="2" t="str">
        <f t="shared" si="0"/>
        <v>u</v>
      </c>
    </row>
    <row r="50" spans="1:14" ht="15.75" x14ac:dyDescent="0.25">
      <c r="A50" s="18" t="s">
        <v>422</v>
      </c>
      <c r="B50" s="10">
        <v>48</v>
      </c>
      <c r="C50" s="8"/>
      <c r="D50" s="2" t="str">
        <f t="shared" si="1"/>
        <v>v</v>
      </c>
      <c r="E50" s="136">
        <v>0</v>
      </c>
      <c r="F50" s="136">
        <v>0</v>
      </c>
      <c r="G50" s="136">
        <v>1</v>
      </c>
      <c r="H50" s="136">
        <v>1</v>
      </c>
      <c r="I50" s="136">
        <v>0</v>
      </c>
      <c r="J50" s="136">
        <v>0</v>
      </c>
      <c r="K50" s="136">
        <v>0</v>
      </c>
      <c r="L50" s="136">
        <v>0</v>
      </c>
      <c r="M50" s="4" t="s">
        <v>52</v>
      </c>
      <c r="N50" s="2" t="str">
        <f t="shared" si="0"/>
        <v>v</v>
      </c>
    </row>
    <row r="51" spans="1:14" ht="15.75" x14ac:dyDescent="0.25">
      <c r="A51" s="18" t="s">
        <v>423</v>
      </c>
      <c r="B51" s="10">
        <v>49</v>
      </c>
      <c r="C51" s="8"/>
      <c r="D51" s="2" t="str">
        <f t="shared" si="1"/>
        <v>w</v>
      </c>
      <c r="E51" s="136">
        <v>0</v>
      </c>
      <c r="F51" s="136">
        <v>0</v>
      </c>
      <c r="G51" s="136">
        <v>1</v>
      </c>
      <c r="H51" s="136">
        <v>1</v>
      </c>
      <c r="I51" s="136">
        <v>0</v>
      </c>
      <c r="J51" s="136">
        <v>0</v>
      </c>
      <c r="K51" s="136">
        <v>0</v>
      </c>
      <c r="L51" s="136">
        <v>1</v>
      </c>
      <c r="M51" s="4" t="s">
        <v>53</v>
      </c>
      <c r="N51" s="2" t="str">
        <f t="shared" si="0"/>
        <v>w</v>
      </c>
    </row>
    <row r="52" spans="1:14" ht="15.75" x14ac:dyDescent="0.25">
      <c r="A52" s="18" t="s">
        <v>424</v>
      </c>
      <c r="B52" s="10">
        <v>50</v>
      </c>
      <c r="C52" s="8"/>
      <c r="D52" s="2" t="str">
        <f t="shared" si="1"/>
        <v>x</v>
      </c>
      <c r="E52" s="136">
        <v>0</v>
      </c>
      <c r="F52" s="136">
        <v>0</v>
      </c>
      <c r="G52" s="136">
        <v>1</v>
      </c>
      <c r="H52" s="136">
        <v>1</v>
      </c>
      <c r="I52" s="136">
        <v>0</v>
      </c>
      <c r="J52" s="136">
        <v>0</v>
      </c>
      <c r="K52" s="136">
        <v>1</v>
      </c>
      <c r="L52" s="136">
        <v>0</v>
      </c>
      <c r="M52" s="4" t="s">
        <v>54</v>
      </c>
      <c r="N52" s="2" t="str">
        <f t="shared" si="0"/>
        <v>x</v>
      </c>
    </row>
    <row r="53" spans="1:14" ht="15.75" x14ac:dyDescent="0.25">
      <c r="A53" s="18" t="s">
        <v>425</v>
      </c>
      <c r="B53" s="10">
        <v>51</v>
      </c>
      <c r="C53" s="8"/>
      <c r="D53" s="2" t="str">
        <f t="shared" si="1"/>
        <v>y</v>
      </c>
      <c r="E53" s="136">
        <v>0</v>
      </c>
      <c r="F53" s="136">
        <v>0</v>
      </c>
      <c r="G53" s="136">
        <v>1</v>
      </c>
      <c r="H53" s="136">
        <v>1</v>
      </c>
      <c r="I53" s="136">
        <v>0</v>
      </c>
      <c r="J53" s="136">
        <v>0</v>
      </c>
      <c r="K53" s="136">
        <v>1</v>
      </c>
      <c r="L53" s="136">
        <v>1</v>
      </c>
      <c r="M53" s="4" t="s">
        <v>55</v>
      </c>
      <c r="N53" s="2" t="str">
        <f t="shared" si="0"/>
        <v>y</v>
      </c>
    </row>
    <row r="54" spans="1:14" ht="15.75" x14ac:dyDescent="0.25">
      <c r="A54" s="18" t="s">
        <v>426</v>
      </c>
      <c r="B54" s="10">
        <v>52</v>
      </c>
      <c r="C54" s="8"/>
      <c r="D54" s="2" t="str">
        <f t="shared" si="1"/>
        <v>z</v>
      </c>
      <c r="E54" s="136">
        <v>0</v>
      </c>
      <c r="F54" s="136">
        <v>0</v>
      </c>
      <c r="G54" s="136">
        <v>1</v>
      </c>
      <c r="H54" s="136">
        <v>1</v>
      </c>
      <c r="I54" s="136">
        <v>0</v>
      </c>
      <c r="J54" s="136">
        <v>1</v>
      </c>
      <c r="K54" s="136">
        <v>0</v>
      </c>
      <c r="L54" s="136">
        <v>0</v>
      </c>
      <c r="M54" s="4" t="s">
        <v>56</v>
      </c>
      <c r="N54" s="2" t="str">
        <f t="shared" si="0"/>
        <v>z</v>
      </c>
    </row>
    <row r="55" spans="1:14" ht="15.75" x14ac:dyDescent="0.25">
      <c r="A55" s="2" t="s">
        <v>271</v>
      </c>
      <c r="B55" s="10">
        <v>53</v>
      </c>
      <c r="C55" s="8"/>
      <c r="D55" s="2" t="str">
        <f t="shared" si="1"/>
        <v>1A</v>
      </c>
      <c r="E55" s="136">
        <v>0</v>
      </c>
      <c r="F55" s="136">
        <v>0</v>
      </c>
      <c r="G55" s="136">
        <v>1</v>
      </c>
      <c r="H55" s="136">
        <v>1</v>
      </c>
      <c r="I55" s="136">
        <v>0</v>
      </c>
      <c r="J55" s="136">
        <v>1</v>
      </c>
      <c r="K55" s="136">
        <v>0</v>
      </c>
      <c r="L55" s="136">
        <v>1</v>
      </c>
      <c r="M55" s="4" t="s">
        <v>57</v>
      </c>
      <c r="N55" s="2" t="str">
        <f t="shared" si="0"/>
        <v>1A</v>
      </c>
    </row>
    <row r="56" spans="1:14" ht="15.75" x14ac:dyDescent="0.25">
      <c r="A56" s="2" t="s">
        <v>272</v>
      </c>
      <c r="B56" s="10">
        <v>54</v>
      </c>
      <c r="C56" s="8"/>
      <c r="D56" s="2" t="str">
        <f t="shared" si="1"/>
        <v>1B</v>
      </c>
      <c r="E56" s="136">
        <v>0</v>
      </c>
      <c r="F56" s="136">
        <v>0</v>
      </c>
      <c r="G56" s="136">
        <v>1</v>
      </c>
      <c r="H56" s="136">
        <v>1</v>
      </c>
      <c r="I56" s="136">
        <v>0</v>
      </c>
      <c r="J56" s="136">
        <v>1</v>
      </c>
      <c r="K56" s="136">
        <v>1</v>
      </c>
      <c r="L56" s="136">
        <v>0</v>
      </c>
      <c r="M56" s="4" t="s">
        <v>58</v>
      </c>
      <c r="N56" s="2" t="str">
        <f t="shared" si="0"/>
        <v>1B</v>
      </c>
    </row>
    <row r="57" spans="1:14" ht="15.75" x14ac:dyDescent="0.25">
      <c r="A57" s="2" t="s">
        <v>273</v>
      </c>
      <c r="B57" s="10">
        <v>55</v>
      </c>
      <c r="C57" s="8"/>
      <c r="D57" s="2" t="str">
        <f t="shared" si="1"/>
        <v>1C</v>
      </c>
      <c r="E57" s="136">
        <v>0</v>
      </c>
      <c r="F57" s="136">
        <v>0</v>
      </c>
      <c r="G57" s="136">
        <v>1</v>
      </c>
      <c r="H57" s="136">
        <v>1</v>
      </c>
      <c r="I57" s="136">
        <v>0</v>
      </c>
      <c r="J57" s="136">
        <v>1</v>
      </c>
      <c r="K57" s="136">
        <v>1</v>
      </c>
      <c r="L57" s="136">
        <v>1</v>
      </c>
      <c r="M57" s="4" t="s">
        <v>59</v>
      </c>
      <c r="N57" s="2" t="str">
        <f t="shared" si="0"/>
        <v>1C</v>
      </c>
    </row>
    <row r="58" spans="1:14" ht="15.75" x14ac:dyDescent="0.25">
      <c r="A58" s="2" t="s">
        <v>274</v>
      </c>
      <c r="B58" s="10">
        <v>56</v>
      </c>
      <c r="C58" s="8"/>
      <c r="D58" s="2" t="str">
        <f t="shared" si="1"/>
        <v>1D</v>
      </c>
      <c r="E58" s="136">
        <v>0</v>
      </c>
      <c r="F58" s="136">
        <v>0</v>
      </c>
      <c r="G58" s="136">
        <v>1</v>
      </c>
      <c r="H58" s="136">
        <v>1</v>
      </c>
      <c r="I58" s="136">
        <v>1</v>
      </c>
      <c r="J58" s="136">
        <v>0</v>
      </c>
      <c r="K58" s="136">
        <v>0</v>
      </c>
      <c r="L58" s="136">
        <v>0</v>
      </c>
      <c r="M58" s="4" t="s">
        <v>60</v>
      </c>
      <c r="N58" s="2" t="str">
        <f t="shared" si="0"/>
        <v>1D</v>
      </c>
    </row>
    <row r="59" spans="1:14" ht="15.75" x14ac:dyDescent="0.25">
      <c r="A59" s="2" t="s">
        <v>275</v>
      </c>
      <c r="B59" s="10">
        <v>57</v>
      </c>
      <c r="C59" s="8"/>
      <c r="D59" s="2" t="str">
        <f t="shared" si="1"/>
        <v>1E</v>
      </c>
      <c r="E59" s="136">
        <v>0</v>
      </c>
      <c r="F59" s="136">
        <v>0</v>
      </c>
      <c r="G59" s="136">
        <v>1</v>
      </c>
      <c r="H59" s="136">
        <v>1</v>
      </c>
      <c r="I59" s="136">
        <v>1</v>
      </c>
      <c r="J59" s="136">
        <v>0</v>
      </c>
      <c r="K59" s="136">
        <v>0</v>
      </c>
      <c r="L59" s="136">
        <v>1</v>
      </c>
      <c r="M59" s="4" t="s">
        <v>61</v>
      </c>
      <c r="N59" s="2" t="str">
        <f t="shared" si="0"/>
        <v>1E</v>
      </c>
    </row>
    <row r="60" spans="1:14" ht="15.75" x14ac:dyDescent="0.25">
      <c r="A60" s="2" t="s">
        <v>276</v>
      </c>
      <c r="B60" s="10">
        <v>58</v>
      </c>
      <c r="C60" s="8"/>
      <c r="D60" s="2" t="str">
        <f t="shared" si="1"/>
        <v>1F</v>
      </c>
      <c r="E60" s="136">
        <v>0</v>
      </c>
      <c r="F60" s="136">
        <v>0</v>
      </c>
      <c r="G60" s="136">
        <v>1</v>
      </c>
      <c r="H60" s="136">
        <v>1</v>
      </c>
      <c r="I60" s="136">
        <v>1</v>
      </c>
      <c r="J60" s="136">
        <v>0</v>
      </c>
      <c r="K60" s="136">
        <v>1</v>
      </c>
      <c r="L60" s="136">
        <v>0</v>
      </c>
      <c r="M60" s="4" t="s">
        <v>62</v>
      </c>
      <c r="N60" s="2" t="str">
        <f t="shared" si="0"/>
        <v>1F</v>
      </c>
    </row>
    <row r="61" spans="1:14" ht="15.75" x14ac:dyDescent="0.25">
      <c r="A61" s="2" t="s">
        <v>277</v>
      </c>
      <c r="B61" s="10">
        <v>59</v>
      </c>
      <c r="C61" s="8"/>
      <c r="D61" s="2" t="str">
        <f t="shared" si="1"/>
        <v>1G</v>
      </c>
      <c r="E61" s="136">
        <v>0</v>
      </c>
      <c r="F61" s="136">
        <v>0</v>
      </c>
      <c r="G61" s="136">
        <v>1</v>
      </c>
      <c r="H61" s="136">
        <v>1</v>
      </c>
      <c r="I61" s="136">
        <v>1</v>
      </c>
      <c r="J61" s="136">
        <v>0</v>
      </c>
      <c r="K61" s="136">
        <v>1</v>
      </c>
      <c r="L61" s="136">
        <v>1</v>
      </c>
      <c r="M61" s="4" t="s">
        <v>63</v>
      </c>
      <c r="N61" s="2" t="str">
        <f t="shared" si="0"/>
        <v>1G</v>
      </c>
    </row>
    <row r="62" spans="1:14" ht="15.75" x14ac:dyDescent="0.25">
      <c r="A62" s="2" t="s">
        <v>278</v>
      </c>
      <c r="B62" s="10">
        <v>60</v>
      </c>
      <c r="C62" s="8"/>
      <c r="D62" s="2" t="str">
        <f t="shared" si="1"/>
        <v>1H</v>
      </c>
      <c r="E62" s="136">
        <v>0</v>
      </c>
      <c r="F62" s="136">
        <v>0</v>
      </c>
      <c r="G62" s="136">
        <v>1</v>
      </c>
      <c r="H62" s="136">
        <v>1</v>
      </c>
      <c r="I62" s="136">
        <v>1</v>
      </c>
      <c r="J62" s="136">
        <v>1</v>
      </c>
      <c r="K62" s="136">
        <v>0</v>
      </c>
      <c r="L62" s="136">
        <v>0</v>
      </c>
      <c r="M62" s="4" t="s">
        <v>64</v>
      </c>
      <c r="N62" s="2" t="str">
        <f t="shared" si="0"/>
        <v>1H</v>
      </c>
    </row>
    <row r="63" spans="1:14" ht="15.75" x14ac:dyDescent="0.25">
      <c r="A63" s="2" t="s">
        <v>279</v>
      </c>
      <c r="B63" s="10">
        <v>61</v>
      </c>
      <c r="C63" s="8"/>
      <c r="D63" s="2" t="str">
        <f t="shared" si="1"/>
        <v>1I</v>
      </c>
      <c r="E63" s="136">
        <v>0</v>
      </c>
      <c r="F63" s="136">
        <v>0</v>
      </c>
      <c r="G63" s="136">
        <v>1</v>
      </c>
      <c r="H63" s="136">
        <v>1</v>
      </c>
      <c r="I63" s="136">
        <v>1</v>
      </c>
      <c r="J63" s="136">
        <v>1</v>
      </c>
      <c r="K63" s="136">
        <v>0</v>
      </c>
      <c r="L63" s="136">
        <v>1</v>
      </c>
      <c r="M63" s="4" t="s">
        <v>65</v>
      </c>
      <c r="N63" s="2" t="str">
        <f t="shared" si="0"/>
        <v>1I</v>
      </c>
    </row>
    <row r="64" spans="1:14" ht="15.75" x14ac:dyDescent="0.25">
      <c r="A64" s="2" t="s">
        <v>280</v>
      </c>
      <c r="B64" s="10">
        <v>62</v>
      </c>
      <c r="C64" s="8"/>
      <c r="D64" s="2" t="str">
        <f t="shared" si="1"/>
        <v>1J</v>
      </c>
      <c r="E64" s="136">
        <v>0</v>
      </c>
      <c r="F64" s="136">
        <v>0</v>
      </c>
      <c r="G64" s="136">
        <v>1</v>
      </c>
      <c r="H64" s="136">
        <v>1</v>
      </c>
      <c r="I64" s="136">
        <v>1</v>
      </c>
      <c r="J64" s="136">
        <v>1</v>
      </c>
      <c r="K64" s="136">
        <v>1</v>
      </c>
      <c r="L64" s="136">
        <v>0</v>
      </c>
      <c r="M64" s="4" t="s">
        <v>66</v>
      </c>
      <c r="N64" s="2" t="str">
        <f t="shared" si="0"/>
        <v>1J</v>
      </c>
    </row>
    <row r="65" spans="1:14" ht="15.75" x14ac:dyDescent="0.25">
      <c r="A65" s="2" t="s">
        <v>281</v>
      </c>
      <c r="B65" s="10">
        <v>63</v>
      </c>
      <c r="C65" s="8"/>
      <c r="D65" s="2" t="str">
        <f t="shared" si="1"/>
        <v>1K</v>
      </c>
      <c r="E65" s="136">
        <v>0</v>
      </c>
      <c r="F65" s="136">
        <v>0</v>
      </c>
      <c r="G65" s="136">
        <v>1</v>
      </c>
      <c r="H65" s="136">
        <v>1</v>
      </c>
      <c r="I65" s="136">
        <v>1</v>
      </c>
      <c r="J65" s="136">
        <v>1</v>
      </c>
      <c r="K65" s="136">
        <v>1</v>
      </c>
      <c r="L65" s="136">
        <v>1</v>
      </c>
      <c r="M65" s="4" t="s">
        <v>67</v>
      </c>
      <c r="N65" s="2" t="str">
        <f t="shared" si="0"/>
        <v>1K</v>
      </c>
    </row>
    <row r="66" spans="1:14" ht="15.75" x14ac:dyDescent="0.25">
      <c r="A66" s="2" t="s">
        <v>282</v>
      </c>
      <c r="B66" s="10">
        <v>64</v>
      </c>
      <c r="C66" s="8"/>
      <c r="D66" s="2" t="str">
        <f t="shared" si="1"/>
        <v>1L</v>
      </c>
      <c r="E66" s="136">
        <v>0</v>
      </c>
      <c r="F66" s="136">
        <v>1</v>
      </c>
      <c r="G66" s="136">
        <v>0</v>
      </c>
      <c r="H66" s="136">
        <v>0</v>
      </c>
      <c r="I66" s="136">
        <v>0</v>
      </c>
      <c r="J66" s="136">
        <v>0</v>
      </c>
      <c r="K66" s="136">
        <v>0</v>
      </c>
      <c r="L66" s="136">
        <v>0</v>
      </c>
      <c r="M66" s="4" t="s">
        <v>68</v>
      </c>
      <c r="N66" s="2" t="str">
        <f t="shared" si="0"/>
        <v>1L</v>
      </c>
    </row>
    <row r="67" spans="1:14" ht="15.75" x14ac:dyDescent="0.25">
      <c r="A67" s="2" t="s">
        <v>283</v>
      </c>
      <c r="B67" s="10">
        <v>65</v>
      </c>
      <c r="C67" s="8"/>
      <c r="D67" s="2" t="str">
        <f t="shared" si="1"/>
        <v>1M</v>
      </c>
      <c r="E67" s="136">
        <v>0</v>
      </c>
      <c r="F67" s="136">
        <v>1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1</v>
      </c>
      <c r="M67" s="4" t="s">
        <v>69</v>
      </c>
      <c r="N67" s="2" t="str">
        <f t="shared" si="0"/>
        <v>1M</v>
      </c>
    </row>
    <row r="68" spans="1:14" ht="15.75" x14ac:dyDescent="0.25">
      <c r="A68" s="2" t="s">
        <v>284</v>
      </c>
      <c r="B68" s="10">
        <v>66</v>
      </c>
      <c r="C68" s="8"/>
      <c r="D68" s="2" t="str">
        <f t="shared" si="1"/>
        <v>1N</v>
      </c>
      <c r="E68" s="136">
        <v>0</v>
      </c>
      <c r="F68" s="136">
        <v>1</v>
      </c>
      <c r="G68" s="136">
        <v>0</v>
      </c>
      <c r="H68" s="136">
        <v>0</v>
      </c>
      <c r="I68" s="136">
        <v>0</v>
      </c>
      <c r="J68" s="136">
        <v>0</v>
      </c>
      <c r="K68" s="136">
        <v>1</v>
      </c>
      <c r="L68" s="136">
        <v>0</v>
      </c>
      <c r="M68" s="4" t="s">
        <v>70</v>
      </c>
      <c r="N68" s="2" t="str">
        <f t="shared" ref="N68:N131" si="2">A68</f>
        <v>1N</v>
      </c>
    </row>
    <row r="69" spans="1:14" ht="15.75" x14ac:dyDescent="0.25">
      <c r="A69" s="2" t="s">
        <v>285</v>
      </c>
      <c r="B69" s="10">
        <v>67</v>
      </c>
      <c r="C69" s="8"/>
      <c r="D69" s="2" t="str">
        <f t="shared" ref="D69:D132" si="3">A69</f>
        <v>1O</v>
      </c>
      <c r="E69" s="136">
        <v>0</v>
      </c>
      <c r="F69" s="136">
        <v>1</v>
      </c>
      <c r="G69" s="136">
        <v>0</v>
      </c>
      <c r="H69" s="136">
        <v>0</v>
      </c>
      <c r="I69" s="136">
        <v>0</v>
      </c>
      <c r="J69" s="136">
        <v>0</v>
      </c>
      <c r="K69" s="136">
        <v>1</v>
      </c>
      <c r="L69" s="136">
        <v>1</v>
      </c>
      <c r="M69" s="4" t="s">
        <v>71</v>
      </c>
      <c r="N69" s="2" t="str">
        <f t="shared" si="2"/>
        <v>1O</v>
      </c>
    </row>
    <row r="70" spans="1:14" ht="15.75" x14ac:dyDescent="0.25">
      <c r="A70" s="2" t="s">
        <v>286</v>
      </c>
      <c r="B70" s="10">
        <v>68</v>
      </c>
      <c r="C70" s="8"/>
      <c r="D70" s="2" t="str">
        <f t="shared" si="3"/>
        <v>1P</v>
      </c>
      <c r="E70" s="136">
        <v>0</v>
      </c>
      <c r="F70" s="136">
        <v>1</v>
      </c>
      <c r="G70" s="136">
        <v>0</v>
      </c>
      <c r="H70" s="136">
        <v>0</v>
      </c>
      <c r="I70" s="136">
        <v>0</v>
      </c>
      <c r="J70" s="136">
        <v>1</v>
      </c>
      <c r="K70" s="136">
        <v>0</v>
      </c>
      <c r="L70" s="136">
        <v>0</v>
      </c>
      <c r="M70" s="4" t="s">
        <v>72</v>
      </c>
      <c r="N70" s="2" t="str">
        <f t="shared" si="2"/>
        <v>1P</v>
      </c>
    </row>
    <row r="71" spans="1:14" ht="15.75" x14ac:dyDescent="0.25">
      <c r="A71" s="2" t="s">
        <v>287</v>
      </c>
      <c r="B71" s="10">
        <v>69</v>
      </c>
      <c r="C71" s="8"/>
      <c r="D71" s="2" t="str">
        <f t="shared" si="3"/>
        <v>1Q</v>
      </c>
      <c r="E71" s="136">
        <v>0</v>
      </c>
      <c r="F71" s="136">
        <v>1</v>
      </c>
      <c r="G71" s="136">
        <v>0</v>
      </c>
      <c r="H71" s="136">
        <v>0</v>
      </c>
      <c r="I71" s="136">
        <v>0</v>
      </c>
      <c r="J71" s="136">
        <v>1</v>
      </c>
      <c r="K71" s="136">
        <v>0</v>
      </c>
      <c r="L71" s="136">
        <v>1</v>
      </c>
      <c r="M71" s="4" t="s">
        <v>73</v>
      </c>
      <c r="N71" s="2" t="str">
        <f t="shared" si="2"/>
        <v>1Q</v>
      </c>
    </row>
    <row r="72" spans="1:14" ht="15.75" x14ac:dyDescent="0.25">
      <c r="A72" s="2" t="s">
        <v>288</v>
      </c>
      <c r="B72" s="10">
        <v>70</v>
      </c>
      <c r="C72" s="8"/>
      <c r="D72" s="2" t="str">
        <f t="shared" si="3"/>
        <v>1R</v>
      </c>
      <c r="E72" s="136">
        <v>0</v>
      </c>
      <c r="F72" s="136">
        <v>1</v>
      </c>
      <c r="G72" s="136">
        <v>0</v>
      </c>
      <c r="H72" s="136">
        <v>0</v>
      </c>
      <c r="I72" s="136">
        <v>0</v>
      </c>
      <c r="J72" s="136">
        <v>1</v>
      </c>
      <c r="K72" s="136">
        <v>1</v>
      </c>
      <c r="L72" s="136">
        <v>0</v>
      </c>
      <c r="M72" s="4" t="s">
        <v>74</v>
      </c>
      <c r="N72" s="2" t="str">
        <f t="shared" si="2"/>
        <v>1R</v>
      </c>
    </row>
    <row r="73" spans="1:14" ht="15.75" x14ac:dyDescent="0.25">
      <c r="A73" s="2" t="s">
        <v>289</v>
      </c>
      <c r="B73" s="10">
        <v>71</v>
      </c>
      <c r="C73" s="8"/>
      <c r="D73" s="2" t="str">
        <f t="shared" si="3"/>
        <v>1S</v>
      </c>
      <c r="E73" s="136">
        <v>0</v>
      </c>
      <c r="F73" s="136">
        <v>1</v>
      </c>
      <c r="G73" s="136">
        <v>0</v>
      </c>
      <c r="H73" s="136">
        <v>0</v>
      </c>
      <c r="I73" s="136">
        <v>0</v>
      </c>
      <c r="J73" s="136">
        <v>1</v>
      </c>
      <c r="K73" s="136">
        <v>1</v>
      </c>
      <c r="L73" s="136">
        <v>1</v>
      </c>
      <c r="M73" s="4" t="s">
        <v>75</v>
      </c>
      <c r="N73" s="2" t="str">
        <f t="shared" si="2"/>
        <v>1S</v>
      </c>
    </row>
    <row r="74" spans="1:14" ht="15.75" x14ac:dyDescent="0.25">
      <c r="A74" s="2" t="s">
        <v>290</v>
      </c>
      <c r="B74" s="10">
        <v>72</v>
      </c>
      <c r="C74" s="8"/>
      <c r="D74" s="2" t="str">
        <f t="shared" si="3"/>
        <v>1T</v>
      </c>
      <c r="E74" s="136">
        <v>0</v>
      </c>
      <c r="F74" s="136">
        <v>1</v>
      </c>
      <c r="G74" s="136">
        <v>0</v>
      </c>
      <c r="H74" s="136">
        <v>0</v>
      </c>
      <c r="I74" s="136">
        <v>1</v>
      </c>
      <c r="J74" s="136">
        <v>0</v>
      </c>
      <c r="K74" s="136">
        <v>0</v>
      </c>
      <c r="L74" s="136">
        <v>0</v>
      </c>
      <c r="M74" s="4" t="s">
        <v>76</v>
      </c>
      <c r="N74" s="2" t="str">
        <f t="shared" si="2"/>
        <v>1T</v>
      </c>
    </row>
    <row r="75" spans="1:14" ht="15.75" x14ac:dyDescent="0.25">
      <c r="A75" s="2" t="s">
        <v>291</v>
      </c>
      <c r="B75" s="10">
        <v>73</v>
      </c>
      <c r="C75" s="8"/>
      <c r="D75" s="2" t="str">
        <f t="shared" si="3"/>
        <v>1U</v>
      </c>
      <c r="E75" s="136">
        <v>0</v>
      </c>
      <c r="F75" s="136">
        <v>1</v>
      </c>
      <c r="G75" s="136">
        <v>0</v>
      </c>
      <c r="H75" s="136">
        <v>0</v>
      </c>
      <c r="I75" s="136">
        <v>1</v>
      </c>
      <c r="J75" s="136">
        <v>0</v>
      </c>
      <c r="K75" s="136">
        <v>0</v>
      </c>
      <c r="L75" s="136">
        <v>1</v>
      </c>
      <c r="M75" s="4" t="s">
        <v>77</v>
      </c>
      <c r="N75" s="2" t="str">
        <f t="shared" si="2"/>
        <v>1U</v>
      </c>
    </row>
    <row r="76" spans="1:14" ht="15.75" x14ac:dyDescent="0.25">
      <c r="A76" s="2" t="s">
        <v>292</v>
      </c>
      <c r="B76" s="10">
        <v>74</v>
      </c>
      <c r="C76" s="8"/>
      <c r="D76" s="2" t="str">
        <f t="shared" si="3"/>
        <v>1V</v>
      </c>
      <c r="E76" s="136">
        <v>0</v>
      </c>
      <c r="F76" s="136">
        <v>1</v>
      </c>
      <c r="G76" s="136">
        <v>0</v>
      </c>
      <c r="H76" s="136">
        <v>0</v>
      </c>
      <c r="I76" s="136">
        <v>1</v>
      </c>
      <c r="J76" s="136">
        <v>0</v>
      </c>
      <c r="K76" s="136">
        <v>1</v>
      </c>
      <c r="L76" s="136">
        <v>0</v>
      </c>
      <c r="M76" s="4" t="s">
        <v>78</v>
      </c>
      <c r="N76" s="2" t="str">
        <f t="shared" si="2"/>
        <v>1V</v>
      </c>
    </row>
    <row r="77" spans="1:14" ht="15.75" x14ac:dyDescent="0.25">
      <c r="A77" s="2" t="s">
        <v>293</v>
      </c>
      <c r="B77" s="10">
        <v>75</v>
      </c>
      <c r="C77" s="8"/>
      <c r="D77" s="2" t="str">
        <f t="shared" si="3"/>
        <v>1W</v>
      </c>
      <c r="E77" s="136">
        <v>0</v>
      </c>
      <c r="F77" s="136">
        <v>1</v>
      </c>
      <c r="G77" s="136">
        <v>0</v>
      </c>
      <c r="H77" s="136">
        <v>0</v>
      </c>
      <c r="I77" s="136">
        <v>1</v>
      </c>
      <c r="J77" s="136">
        <v>0</v>
      </c>
      <c r="K77" s="136">
        <v>1</v>
      </c>
      <c r="L77" s="136">
        <v>1</v>
      </c>
      <c r="M77" s="4" t="s">
        <v>79</v>
      </c>
      <c r="N77" s="2" t="str">
        <f t="shared" si="2"/>
        <v>1W</v>
      </c>
    </row>
    <row r="78" spans="1:14" ht="15.75" x14ac:dyDescent="0.25">
      <c r="A78" s="2" t="s">
        <v>294</v>
      </c>
      <c r="B78" s="10">
        <v>76</v>
      </c>
      <c r="C78" s="8"/>
      <c r="D78" s="2" t="str">
        <f t="shared" si="3"/>
        <v>1X</v>
      </c>
      <c r="E78" s="136">
        <v>0</v>
      </c>
      <c r="F78" s="136">
        <v>1</v>
      </c>
      <c r="G78" s="136">
        <v>0</v>
      </c>
      <c r="H78" s="136">
        <v>0</v>
      </c>
      <c r="I78" s="136">
        <v>1</v>
      </c>
      <c r="J78" s="136">
        <v>1</v>
      </c>
      <c r="K78" s="136">
        <v>0</v>
      </c>
      <c r="L78" s="136">
        <v>0</v>
      </c>
      <c r="M78" s="4" t="s">
        <v>80</v>
      </c>
      <c r="N78" s="2" t="str">
        <f t="shared" si="2"/>
        <v>1X</v>
      </c>
    </row>
    <row r="79" spans="1:14" ht="15.75" x14ac:dyDescent="0.25">
      <c r="A79" s="2" t="s">
        <v>295</v>
      </c>
      <c r="B79" s="10">
        <v>77</v>
      </c>
      <c r="C79" s="8"/>
      <c r="D79" s="2" t="str">
        <f t="shared" si="3"/>
        <v>1Y</v>
      </c>
      <c r="E79" s="136">
        <v>0</v>
      </c>
      <c r="F79" s="136">
        <v>1</v>
      </c>
      <c r="G79" s="136">
        <v>0</v>
      </c>
      <c r="H79" s="136">
        <v>0</v>
      </c>
      <c r="I79" s="136">
        <v>1</v>
      </c>
      <c r="J79" s="136">
        <v>1</v>
      </c>
      <c r="K79" s="136">
        <v>0</v>
      </c>
      <c r="L79" s="136">
        <v>1</v>
      </c>
      <c r="M79" s="4" t="s">
        <v>81</v>
      </c>
      <c r="N79" s="2" t="str">
        <f t="shared" si="2"/>
        <v>1Y</v>
      </c>
    </row>
    <row r="80" spans="1:14" ht="15.75" x14ac:dyDescent="0.25">
      <c r="A80" s="2" t="s">
        <v>296</v>
      </c>
      <c r="B80" s="10">
        <v>78</v>
      </c>
      <c r="C80" s="8"/>
      <c r="D80" s="2" t="str">
        <f t="shared" si="3"/>
        <v>1Z</v>
      </c>
      <c r="E80" s="136">
        <v>0</v>
      </c>
      <c r="F80" s="136">
        <v>1</v>
      </c>
      <c r="G80" s="136">
        <v>0</v>
      </c>
      <c r="H80" s="136">
        <v>0</v>
      </c>
      <c r="I80" s="136">
        <v>1</v>
      </c>
      <c r="J80" s="136">
        <v>1</v>
      </c>
      <c r="K80" s="136">
        <v>1</v>
      </c>
      <c r="L80" s="136">
        <v>0</v>
      </c>
      <c r="M80" s="4" t="s">
        <v>82</v>
      </c>
      <c r="N80" s="2" t="str">
        <f t="shared" si="2"/>
        <v>1Z</v>
      </c>
    </row>
    <row r="81" spans="1:14" ht="15.75" x14ac:dyDescent="0.25">
      <c r="A81" s="18" t="s">
        <v>427</v>
      </c>
      <c r="B81" s="10">
        <v>79</v>
      </c>
      <c r="C81" s="8"/>
      <c r="D81" s="2" t="str">
        <f t="shared" si="3"/>
        <v>1a</v>
      </c>
      <c r="E81" s="136">
        <v>0</v>
      </c>
      <c r="F81" s="136">
        <v>1</v>
      </c>
      <c r="G81" s="136">
        <v>0</v>
      </c>
      <c r="H81" s="136">
        <v>0</v>
      </c>
      <c r="I81" s="136">
        <v>1</v>
      </c>
      <c r="J81" s="136">
        <v>1</v>
      </c>
      <c r="K81" s="136">
        <v>1</v>
      </c>
      <c r="L81" s="136">
        <v>1</v>
      </c>
      <c r="M81" s="4" t="s">
        <v>83</v>
      </c>
      <c r="N81" s="2" t="str">
        <f t="shared" si="2"/>
        <v>1a</v>
      </c>
    </row>
    <row r="82" spans="1:14" ht="15.75" x14ac:dyDescent="0.25">
      <c r="A82" s="18" t="s">
        <v>428</v>
      </c>
      <c r="B82" s="10">
        <v>80</v>
      </c>
      <c r="C82" s="8"/>
      <c r="D82" s="2" t="str">
        <f t="shared" si="3"/>
        <v>1b</v>
      </c>
      <c r="E82" s="136">
        <v>0</v>
      </c>
      <c r="F82" s="136">
        <v>1</v>
      </c>
      <c r="G82" s="136">
        <v>0</v>
      </c>
      <c r="H82" s="136">
        <v>1</v>
      </c>
      <c r="I82" s="136">
        <v>0</v>
      </c>
      <c r="J82" s="136">
        <v>0</v>
      </c>
      <c r="K82" s="136">
        <v>0</v>
      </c>
      <c r="L82" s="136">
        <v>0</v>
      </c>
      <c r="M82" s="4" t="s">
        <v>84</v>
      </c>
      <c r="N82" s="2" t="str">
        <f t="shared" si="2"/>
        <v>1b</v>
      </c>
    </row>
    <row r="83" spans="1:14" ht="15.75" x14ac:dyDescent="0.25">
      <c r="A83" s="18" t="s">
        <v>429</v>
      </c>
      <c r="B83" s="10">
        <v>81</v>
      </c>
      <c r="C83" s="8"/>
      <c r="D83" s="2" t="str">
        <f t="shared" si="3"/>
        <v>1c</v>
      </c>
      <c r="E83" s="136">
        <v>0</v>
      </c>
      <c r="F83" s="136">
        <v>1</v>
      </c>
      <c r="G83" s="136">
        <v>0</v>
      </c>
      <c r="H83" s="136">
        <v>1</v>
      </c>
      <c r="I83" s="136">
        <v>0</v>
      </c>
      <c r="J83" s="136">
        <v>0</v>
      </c>
      <c r="K83" s="136">
        <v>0</v>
      </c>
      <c r="L83" s="136">
        <v>1</v>
      </c>
      <c r="M83" s="4" t="s">
        <v>85</v>
      </c>
      <c r="N83" s="2" t="str">
        <f t="shared" si="2"/>
        <v>1c</v>
      </c>
    </row>
    <row r="84" spans="1:14" ht="15.75" x14ac:dyDescent="0.25">
      <c r="A84" s="17" t="s">
        <v>430</v>
      </c>
      <c r="B84" s="10">
        <v>82</v>
      </c>
      <c r="C84" s="8"/>
      <c r="D84" s="2" t="str">
        <f t="shared" si="3"/>
        <v>1d</v>
      </c>
      <c r="E84" s="136">
        <v>0</v>
      </c>
      <c r="F84" s="136">
        <v>1</v>
      </c>
      <c r="G84" s="136">
        <v>0</v>
      </c>
      <c r="H84" s="136">
        <v>1</v>
      </c>
      <c r="I84" s="136">
        <v>0</v>
      </c>
      <c r="J84" s="136">
        <v>0</v>
      </c>
      <c r="K84" s="136">
        <v>1</v>
      </c>
      <c r="L84" s="136">
        <v>0</v>
      </c>
      <c r="M84" s="4" t="s">
        <v>86</v>
      </c>
      <c r="N84" s="2" t="str">
        <f t="shared" si="2"/>
        <v>1d</v>
      </c>
    </row>
    <row r="85" spans="1:14" ht="15.75" x14ac:dyDescent="0.25">
      <c r="A85" s="18" t="s">
        <v>431</v>
      </c>
      <c r="B85" s="10">
        <v>83</v>
      </c>
      <c r="C85" s="8"/>
      <c r="D85" s="2" t="str">
        <f t="shared" si="3"/>
        <v>1e</v>
      </c>
      <c r="E85" s="136">
        <v>0</v>
      </c>
      <c r="F85" s="136">
        <v>1</v>
      </c>
      <c r="G85" s="136">
        <v>0</v>
      </c>
      <c r="H85" s="136">
        <v>1</v>
      </c>
      <c r="I85" s="136">
        <v>0</v>
      </c>
      <c r="J85" s="136">
        <v>0</v>
      </c>
      <c r="K85" s="136">
        <v>1</v>
      </c>
      <c r="L85" s="136">
        <v>1</v>
      </c>
      <c r="M85" s="4" t="s">
        <v>87</v>
      </c>
      <c r="N85" s="2" t="str">
        <f t="shared" si="2"/>
        <v>1e</v>
      </c>
    </row>
    <row r="86" spans="1:14" ht="15.75" x14ac:dyDescent="0.25">
      <c r="A86" s="17" t="s">
        <v>432</v>
      </c>
      <c r="B86" s="10">
        <v>84</v>
      </c>
      <c r="C86" s="8"/>
      <c r="D86" s="2" t="str">
        <f t="shared" si="3"/>
        <v>1f</v>
      </c>
      <c r="E86" s="136">
        <v>0</v>
      </c>
      <c r="F86" s="136">
        <v>1</v>
      </c>
      <c r="G86" s="136">
        <v>0</v>
      </c>
      <c r="H86" s="136">
        <v>1</v>
      </c>
      <c r="I86" s="136">
        <v>0</v>
      </c>
      <c r="J86" s="136">
        <v>1</v>
      </c>
      <c r="K86" s="136">
        <v>0</v>
      </c>
      <c r="L86" s="136">
        <v>0</v>
      </c>
      <c r="M86" s="4" t="s">
        <v>88</v>
      </c>
      <c r="N86" s="2" t="str">
        <f t="shared" si="2"/>
        <v>1f</v>
      </c>
    </row>
    <row r="87" spans="1:14" ht="15.75" x14ac:dyDescent="0.25">
      <c r="A87" s="18" t="s">
        <v>433</v>
      </c>
      <c r="B87" s="10">
        <v>85</v>
      </c>
      <c r="C87" s="8"/>
      <c r="D87" s="2" t="str">
        <f t="shared" si="3"/>
        <v>1g</v>
      </c>
      <c r="E87" s="136">
        <v>0</v>
      </c>
      <c r="F87" s="136">
        <v>1</v>
      </c>
      <c r="G87" s="136">
        <v>0</v>
      </c>
      <c r="H87" s="136">
        <v>1</v>
      </c>
      <c r="I87" s="136">
        <v>0</v>
      </c>
      <c r="J87" s="136">
        <v>1</v>
      </c>
      <c r="K87" s="136">
        <v>0</v>
      </c>
      <c r="L87" s="136">
        <v>1</v>
      </c>
      <c r="M87" s="4" t="s">
        <v>89</v>
      </c>
      <c r="N87" s="2" t="str">
        <f t="shared" si="2"/>
        <v>1g</v>
      </c>
    </row>
    <row r="88" spans="1:14" ht="15.75" x14ac:dyDescent="0.25">
      <c r="A88" s="19" t="s">
        <v>434</v>
      </c>
      <c r="B88" s="10">
        <v>86</v>
      </c>
      <c r="C88" s="8"/>
      <c r="D88" s="2" t="str">
        <f t="shared" si="3"/>
        <v>1h</v>
      </c>
      <c r="E88" s="136">
        <v>0</v>
      </c>
      <c r="F88" s="136">
        <v>1</v>
      </c>
      <c r="G88" s="136">
        <v>0</v>
      </c>
      <c r="H88" s="136">
        <v>1</v>
      </c>
      <c r="I88" s="136">
        <v>0</v>
      </c>
      <c r="J88" s="136">
        <v>1</v>
      </c>
      <c r="K88" s="136">
        <v>1</v>
      </c>
      <c r="L88" s="136">
        <v>0</v>
      </c>
      <c r="M88" s="4" t="s">
        <v>90</v>
      </c>
      <c r="N88" s="2" t="str">
        <f t="shared" si="2"/>
        <v>1h</v>
      </c>
    </row>
    <row r="89" spans="1:14" ht="15.75" x14ac:dyDescent="0.25">
      <c r="A89" s="18" t="s">
        <v>435</v>
      </c>
      <c r="B89" s="10">
        <v>87</v>
      </c>
      <c r="C89" s="8"/>
      <c r="D89" s="2" t="str">
        <f t="shared" si="3"/>
        <v>1i</v>
      </c>
      <c r="E89" s="136">
        <v>0</v>
      </c>
      <c r="F89" s="136">
        <v>1</v>
      </c>
      <c r="G89" s="136">
        <v>0</v>
      </c>
      <c r="H89" s="136">
        <v>1</v>
      </c>
      <c r="I89" s="136">
        <v>0</v>
      </c>
      <c r="J89" s="136">
        <v>1</v>
      </c>
      <c r="K89" s="136">
        <v>1</v>
      </c>
      <c r="L89" s="136">
        <v>1</v>
      </c>
      <c r="M89" s="4" t="s">
        <v>91</v>
      </c>
      <c r="N89" s="2" t="str">
        <f t="shared" si="2"/>
        <v>1i</v>
      </c>
    </row>
    <row r="90" spans="1:14" ht="15.75" x14ac:dyDescent="0.25">
      <c r="A90" s="19" t="s">
        <v>436</v>
      </c>
      <c r="B90" s="10">
        <v>88</v>
      </c>
      <c r="C90" s="8"/>
      <c r="D90" s="2" t="str">
        <f t="shared" si="3"/>
        <v>1j</v>
      </c>
      <c r="E90" s="136">
        <v>0</v>
      </c>
      <c r="F90" s="136">
        <v>1</v>
      </c>
      <c r="G90" s="136">
        <v>0</v>
      </c>
      <c r="H90" s="136">
        <v>1</v>
      </c>
      <c r="I90" s="136">
        <v>1</v>
      </c>
      <c r="J90" s="136">
        <v>0</v>
      </c>
      <c r="K90" s="136">
        <v>0</v>
      </c>
      <c r="L90" s="136">
        <v>0</v>
      </c>
      <c r="M90" s="4" t="s">
        <v>92</v>
      </c>
      <c r="N90" s="2" t="str">
        <f t="shared" si="2"/>
        <v>1j</v>
      </c>
    </row>
    <row r="91" spans="1:14" ht="15.75" x14ac:dyDescent="0.25">
      <c r="A91" s="18" t="s">
        <v>437</v>
      </c>
      <c r="B91" s="10">
        <v>89</v>
      </c>
      <c r="C91" s="8"/>
      <c r="D91" s="2" t="str">
        <f t="shared" si="3"/>
        <v>1k</v>
      </c>
      <c r="E91" s="136">
        <v>0</v>
      </c>
      <c r="F91" s="136">
        <v>1</v>
      </c>
      <c r="G91" s="136">
        <v>0</v>
      </c>
      <c r="H91" s="136">
        <v>1</v>
      </c>
      <c r="I91" s="136">
        <v>1</v>
      </c>
      <c r="J91" s="136">
        <v>0</v>
      </c>
      <c r="K91" s="136">
        <v>0</v>
      </c>
      <c r="L91" s="136">
        <v>1</v>
      </c>
      <c r="M91" s="4" t="s">
        <v>93</v>
      </c>
      <c r="N91" s="2" t="str">
        <f t="shared" si="2"/>
        <v>1k</v>
      </c>
    </row>
    <row r="92" spans="1:14" ht="15.75" x14ac:dyDescent="0.25">
      <c r="A92" s="19" t="s">
        <v>438</v>
      </c>
      <c r="B92" s="10">
        <v>90</v>
      </c>
      <c r="C92" s="8"/>
      <c r="D92" s="2" t="str">
        <f t="shared" si="3"/>
        <v>1l</v>
      </c>
      <c r="E92" s="136">
        <v>0</v>
      </c>
      <c r="F92" s="136">
        <v>1</v>
      </c>
      <c r="G92" s="136">
        <v>0</v>
      </c>
      <c r="H92" s="136">
        <v>1</v>
      </c>
      <c r="I92" s="136">
        <v>1</v>
      </c>
      <c r="J92" s="136">
        <v>0</v>
      </c>
      <c r="K92" s="136">
        <v>1</v>
      </c>
      <c r="L92" s="136">
        <v>0</v>
      </c>
      <c r="M92" s="4" t="s">
        <v>94</v>
      </c>
      <c r="N92" s="2" t="str">
        <f t="shared" si="2"/>
        <v>1l</v>
      </c>
    </row>
    <row r="93" spans="1:14" ht="15.75" x14ac:dyDescent="0.25">
      <c r="A93" s="18" t="s">
        <v>439</v>
      </c>
      <c r="B93" s="10">
        <v>91</v>
      </c>
      <c r="C93" s="8"/>
      <c r="D93" s="2" t="str">
        <f t="shared" si="3"/>
        <v>1m</v>
      </c>
      <c r="E93" s="136">
        <v>0</v>
      </c>
      <c r="F93" s="136">
        <v>1</v>
      </c>
      <c r="G93" s="136">
        <v>0</v>
      </c>
      <c r="H93" s="136">
        <v>1</v>
      </c>
      <c r="I93" s="136">
        <v>1</v>
      </c>
      <c r="J93" s="136">
        <v>0</v>
      </c>
      <c r="K93" s="136">
        <v>1</v>
      </c>
      <c r="L93" s="136">
        <v>1</v>
      </c>
      <c r="M93" s="4" t="s">
        <v>95</v>
      </c>
      <c r="N93" s="2" t="str">
        <f t="shared" si="2"/>
        <v>1m</v>
      </c>
    </row>
    <row r="94" spans="1:14" ht="15.75" x14ac:dyDescent="0.25">
      <c r="A94" s="19" t="s">
        <v>440</v>
      </c>
      <c r="B94" s="10">
        <v>92</v>
      </c>
      <c r="C94" s="8"/>
      <c r="D94" s="2" t="str">
        <f t="shared" si="3"/>
        <v>1n</v>
      </c>
      <c r="E94" s="136">
        <v>0</v>
      </c>
      <c r="F94" s="136">
        <v>1</v>
      </c>
      <c r="G94" s="136">
        <v>0</v>
      </c>
      <c r="H94" s="136">
        <v>1</v>
      </c>
      <c r="I94" s="136">
        <v>1</v>
      </c>
      <c r="J94" s="136">
        <v>1</v>
      </c>
      <c r="K94" s="136">
        <v>0</v>
      </c>
      <c r="L94" s="136">
        <v>0</v>
      </c>
      <c r="M94" s="4" t="s">
        <v>96</v>
      </c>
      <c r="N94" s="2" t="str">
        <f t="shared" si="2"/>
        <v>1n</v>
      </c>
    </row>
    <row r="95" spans="1:14" ht="15.75" x14ac:dyDescent="0.25">
      <c r="A95" s="18" t="s">
        <v>441</v>
      </c>
      <c r="B95" s="10">
        <v>93</v>
      </c>
      <c r="C95" s="8"/>
      <c r="D95" s="2" t="str">
        <f t="shared" si="3"/>
        <v>1o</v>
      </c>
      <c r="E95" s="136">
        <v>0</v>
      </c>
      <c r="F95" s="136">
        <v>1</v>
      </c>
      <c r="G95" s="136">
        <v>0</v>
      </c>
      <c r="H95" s="136">
        <v>1</v>
      </c>
      <c r="I95" s="136">
        <v>1</v>
      </c>
      <c r="J95" s="136">
        <v>1</v>
      </c>
      <c r="K95" s="136">
        <v>0</v>
      </c>
      <c r="L95" s="136">
        <v>1</v>
      </c>
      <c r="M95" s="4" t="s">
        <v>97</v>
      </c>
      <c r="N95" s="2" t="str">
        <f t="shared" si="2"/>
        <v>1o</v>
      </c>
    </row>
    <row r="96" spans="1:14" ht="15.75" x14ac:dyDescent="0.25">
      <c r="A96" s="19" t="s">
        <v>442</v>
      </c>
      <c r="B96" s="10">
        <v>94</v>
      </c>
      <c r="C96" s="8"/>
      <c r="D96" s="2" t="str">
        <f t="shared" si="3"/>
        <v>1p</v>
      </c>
      <c r="E96" s="136">
        <v>0</v>
      </c>
      <c r="F96" s="136">
        <v>1</v>
      </c>
      <c r="G96" s="136">
        <v>0</v>
      </c>
      <c r="H96" s="136">
        <v>1</v>
      </c>
      <c r="I96" s="136">
        <v>1</v>
      </c>
      <c r="J96" s="136">
        <v>1</v>
      </c>
      <c r="K96" s="136">
        <v>1</v>
      </c>
      <c r="L96" s="136">
        <v>0</v>
      </c>
      <c r="M96" s="4" t="s">
        <v>98</v>
      </c>
      <c r="N96" s="2" t="str">
        <f t="shared" si="2"/>
        <v>1p</v>
      </c>
    </row>
    <row r="97" spans="1:14" ht="15.75" x14ac:dyDescent="0.25">
      <c r="A97" s="18" t="s">
        <v>443</v>
      </c>
      <c r="B97" s="10">
        <v>95</v>
      </c>
      <c r="C97" s="8"/>
      <c r="D97" s="2" t="str">
        <f t="shared" si="3"/>
        <v>1q</v>
      </c>
      <c r="E97" s="136">
        <v>0</v>
      </c>
      <c r="F97" s="136">
        <v>1</v>
      </c>
      <c r="G97" s="136">
        <v>0</v>
      </c>
      <c r="H97" s="136">
        <v>1</v>
      </c>
      <c r="I97" s="136">
        <v>1</v>
      </c>
      <c r="J97" s="136">
        <v>1</v>
      </c>
      <c r="K97" s="136">
        <v>1</v>
      </c>
      <c r="L97" s="136">
        <v>1</v>
      </c>
      <c r="M97" s="4" t="s">
        <v>99</v>
      </c>
      <c r="N97" s="2" t="str">
        <f t="shared" si="2"/>
        <v>1q</v>
      </c>
    </row>
    <row r="98" spans="1:14" ht="15.75" x14ac:dyDescent="0.25">
      <c r="A98" s="19" t="s">
        <v>444</v>
      </c>
      <c r="B98" s="10">
        <v>96</v>
      </c>
      <c r="C98" s="8"/>
      <c r="D98" s="2" t="str">
        <f t="shared" si="3"/>
        <v>1r</v>
      </c>
      <c r="E98" s="136">
        <v>0</v>
      </c>
      <c r="F98" s="136">
        <v>1</v>
      </c>
      <c r="G98" s="136">
        <v>1</v>
      </c>
      <c r="H98" s="136">
        <v>0</v>
      </c>
      <c r="I98" s="136">
        <v>0</v>
      </c>
      <c r="J98" s="136">
        <v>0</v>
      </c>
      <c r="K98" s="136">
        <v>0</v>
      </c>
      <c r="L98" s="136">
        <v>0</v>
      </c>
      <c r="M98" s="4" t="s">
        <v>100</v>
      </c>
      <c r="N98" s="2" t="str">
        <f t="shared" si="2"/>
        <v>1r</v>
      </c>
    </row>
    <row r="99" spans="1:14" ht="15.75" x14ac:dyDescent="0.25">
      <c r="A99" s="18" t="s">
        <v>445</v>
      </c>
      <c r="B99" s="10">
        <v>97</v>
      </c>
      <c r="C99" s="8"/>
      <c r="D99" s="2" t="str">
        <f t="shared" si="3"/>
        <v>1s</v>
      </c>
      <c r="E99" s="136">
        <v>0</v>
      </c>
      <c r="F99" s="136">
        <v>1</v>
      </c>
      <c r="G99" s="136">
        <v>1</v>
      </c>
      <c r="H99" s="136">
        <v>0</v>
      </c>
      <c r="I99" s="136">
        <v>0</v>
      </c>
      <c r="J99" s="136">
        <v>0</v>
      </c>
      <c r="K99" s="136">
        <v>0</v>
      </c>
      <c r="L99" s="136">
        <v>1</v>
      </c>
      <c r="M99" s="4" t="s">
        <v>101</v>
      </c>
      <c r="N99" s="2" t="str">
        <f t="shared" si="2"/>
        <v>1s</v>
      </c>
    </row>
    <row r="100" spans="1:14" ht="15.75" x14ac:dyDescent="0.25">
      <c r="A100" s="19" t="s">
        <v>446</v>
      </c>
      <c r="B100" s="10">
        <v>98</v>
      </c>
      <c r="C100" s="8"/>
      <c r="D100" s="2" t="str">
        <f t="shared" si="3"/>
        <v>1t</v>
      </c>
      <c r="E100" s="136">
        <v>0</v>
      </c>
      <c r="F100" s="136">
        <v>1</v>
      </c>
      <c r="G100" s="136">
        <v>1</v>
      </c>
      <c r="H100" s="136">
        <v>0</v>
      </c>
      <c r="I100" s="136">
        <v>0</v>
      </c>
      <c r="J100" s="136">
        <v>0</v>
      </c>
      <c r="K100" s="136">
        <v>1</v>
      </c>
      <c r="L100" s="136">
        <v>0</v>
      </c>
      <c r="M100" s="4" t="s">
        <v>102</v>
      </c>
      <c r="N100" s="2" t="str">
        <f t="shared" si="2"/>
        <v>1t</v>
      </c>
    </row>
    <row r="101" spans="1:14" ht="15.75" x14ac:dyDescent="0.25">
      <c r="A101" s="18" t="s">
        <v>447</v>
      </c>
      <c r="B101" s="10">
        <v>99</v>
      </c>
      <c r="C101" s="8"/>
      <c r="D101" s="2" t="str">
        <f t="shared" si="3"/>
        <v>1u</v>
      </c>
      <c r="E101" s="136">
        <v>0</v>
      </c>
      <c r="F101" s="136">
        <v>1</v>
      </c>
      <c r="G101" s="136">
        <v>1</v>
      </c>
      <c r="H101" s="136">
        <v>0</v>
      </c>
      <c r="I101" s="136">
        <v>0</v>
      </c>
      <c r="J101" s="136">
        <v>0</v>
      </c>
      <c r="K101" s="136">
        <v>1</v>
      </c>
      <c r="L101" s="136">
        <v>1</v>
      </c>
      <c r="M101" s="4" t="s">
        <v>103</v>
      </c>
      <c r="N101" s="2" t="str">
        <f t="shared" si="2"/>
        <v>1u</v>
      </c>
    </row>
    <row r="102" spans="1:14" ht="15.75" x14ac:dyDescent="0.25">
      <c r="A102" s="19" t="s">
        <v>448</v>
      </c>
      <c r="B102" s="10">
        <v>100</v>
      </c>
      <c r="C102" s="8"/>
      <c r="D102" s="2" t="str">
        <f t="shared" si="3"/>
        <v>1v</v>
      </c>
      <c r="E102" s="136">
        <v>0</v>
      </c>
      <c r="F102" s="136">
        <v>1</v>
      </c>
      <c r="G102" s="136">
        <v>1</v>
      </c>
      <c r="H102" s="136">
        <v>0</v>
      </c>
      <c r="I102" s="136">
        <v>0</v>
      </c>
      <c r="J102" s="136">
        <v>1</v>
      </c>
      <c r="K102" s="136">
        <v>0</v>
      </c>
      <c r="L102" s="136">
        <v>0</v>
      </c>
      <c r="M102" s="4" t="s">
        <v>104</v>
      </c>
      <c r="N102" s="2" t="str">
        <f t="shared" si="2"/>
        <v>1v</v>
      </c>
    </row>
    <row r="103" spans="1:14" ht="15.75" x14ac:dyDescent="0.25">
      <c r="A103" s="18" t="s">
        <v>449</v>
      </c>
      <c r="B103" s="10">
        <v>101</v>
      </c>
      <c r="C103" s="8"/>
      <c r="D103" s="2" t="str">
        <f t="shared" si="3"/>
        <v>1w</v>
      </c>
      <c r="E103" s="136">
        <v>0</v>
      </c>
      <c r="F103" s="136">
        <v>1</v>
      </c>
      <c r="G103" s="136">
        <v>1</v>
      </c>
      <c r="H103" s="136">
        <v>0</v>
      </c>
      <c r="I103" s="136">
        <v>0</v>
      </c>
      <c r="J103" s="136">
        <v>1</v>
      </c>
      <c r="K103" s="136">
        <v>0</v>
      </c>
      <c r="L103" s="136">
        <v>1</v>
      </c>
      <c r="M103" s="4" t="s">
        <v>105</v>
      </c>
      <c r="N103" s="2" t="str">
        <f t="shared" si="2"/>
        <v>1w</v>
      </c>
    </row>
    <row r="104" spans="1:14" ht="15.75" x14ac:dyDescent="0.25">
      <c r="A104" s="19" t="s">
        <v>450</v>
      </c>
      <c r="B104" s="10">
        <v>102</v>
      </c>
      <c r="C104" s="8"/>
      <c r="D104" s="2" t="str">
        <f t="shared" si="3"/>
        <v>1x</v>
      </c>
      <c r="E104" s="136">
        <v>0</v>
      </c>
      <c r="F104" s="136">
        <v>1</v>
      </c>
      <c r="G104" s="136">
        <v>1</v>
      </c>
      <c r="H104" s="136">
        <v>0</v>
      </c>
      <c r="I104" s="136">
        <v>0</v>
      </c>
      <c r="J104" s="136">
        <v>1</v>
      </c>
      <c r="K104" s="136">
        <v>1</v>
      </c>
      <c r="L104" s="136">
        <v>0</v>
      </c>
      <c r="M104" s="4" t="s">
        <v>106</v>
      </c>
      <c r="N104" s="2" t="str">
        <f t="shared" si="2"/>
        <v>1x</v>
      </c>
    </row>
    <row r="105" spans="1:14" ht="15.75" x14ac:dyDescent="0.25">
      <c r="A105" s="18" t="s">
        <v>451</v>
      </c>
      <c r="B105" s="10">
        <v>103</v>
      </c>
      <c r="C105" s="8"/>
      <c r="D105" s="2" t="str">
        <f t="shared" si="3"/>
        <v>1y</v>
      </c>
      <c r="E105" s="136">
        <v>0</v>
      </c>
      <c r="F105" s="136">
        <v>1</v>
      </c>
      <c r="G105" s="136">
        <v>1</v>
      </c>
      <c r="H105" s="136">
        <v>0</v>
      </c>
      <c r="I105" s="136">
        <v>0</v>
      </c>
      <c r="J105" s="136">
        <v>1</v>
      </c>
      <c r="K105" s="136">
        <v>1</v>
      </c>
      <c r="L105" s="136">
        <v>1</v>
      </c>
      <c r="M105" s="4" t="s">
        <v>107</v>
      </c>
      <c r="N105" s="2" t="str">
        <f t="shared" si="2"/>
        <v>1y</v>
      </c>
    </row>
    <row r="106" spans="1:14" ht="15.75" x14ac:dyDescent="0.25">
      <c r="A106" s="19" t="s">
        <v>452</v>
      </c>
      <c r="B106" s="10">
        <v>104</v>
      </c>
      <c r="C106" s="8"/>
      <c r="D106" s="2" t="str">
        <f t="shared" si="3"/>
        <v>1z</v>
      </c>
      <c r="E106" s="136">
        <v>0</v>
      </c>
      <c r="F106" s="136">
        <v>1</v>
      </c>
      <c r="G106" s="136">
        <v>1</v>
      </c>
      <c r="H106" s="136">
        <v>0</v>
      </c>
      <c r="I106" s="136">
        <v>1</v>
      </c>
      <c r="J106" s="136">
        <v>0</v>
      </c>
      <c r="K106" s="136">
        <v>0</v>
      </c>
      <c r="L106" s="136">
        <v>0</v>
      </c>
      <c r="M106" s="4" t="s">
        <v>108</v>
      </c>
      <c r="N106" s="2" t="str">
        <f t="shared" si="2"/>
        <v>1z</v>
      </c>
    </row>
    <row r="107" spans="1:14" ht="15.75" x14ac:dyDescent="0.25">
      <c r="A107" s="2" t="s">
        <v>297</v>
      </c>
      <c r="B107" s="10">
        <v>105</v>
      </c>
      <c r="C107" s="8"/>
      <c r="D107" s="2" t="str">
        <f t="shared" si="3"/>
        <v>2A</v>
      </c>
      <c r="E107" s="136">
        <v>0</v>
      </c>
      <c r="F107" s="136">
        <v>1</v>
      </c>
      <c r="G107" s="136">
        <v>1</v>
      </c>
      <c r="H107" s="136">
        <v>0</v>
      </c>
      <c r="I107" s="136">
        <v>1</v>
      </c>
      <c r="J107" s="136">
        <v>0</v>
      </c>
      <c r="K107" s="136">
        <v>0</v>
      </c>
      <c r="L107" s="136">
        <v>1</v>
      </c>
      <c r="M107" s="4" t="s">
        <v>109</v>
      </c>
      <c r="N107" s="2" t="str">
        <f t="shared" si="2"/>
        <v>2A</v>
      </c>
    </row>
    <row r="108" spans="1:14" ht="15.75" x14ac:dyDescent="0.25">
      <c r="A108" s="2" t="s">
        <v>298</v>
      </c>
      <c r="B108" s="10">
        <v>106</v>
      </c>
      <c r="C108" s="8"/>
      <c r="D108" s="2" t="str">
        <f t="shared" si="3"/>
        <v>2B</v>
      </c>
      <c r="E108" s="136">
        <v>0</v>
      </c>
      <c r="F108" s="136">
        <v>1</v>
      </c>
      <c r="G108" s="136">
        <v>1</v>
      </c>
      <c r="H108" s="136">
        <v>0</v>
      </c>
      <c r="I108" s="136">
        <v>1</v>
      </c>
      <c r="J108" s="136">
        <v>0</v>
      </c>
      <c r="K108" s="136">
        <v>1</v>
      </c>
      <c r="L108" s="136">
        <v>0</v>
      </c>
      <c r="M108" s="4" t="s">
        <v>110</v>
      </c>
      <c r="N108" s="2" t="str">
        <f t="shared" si="2"/>
        <v>2B</v>
      </c>
    </row>
    <row r="109" spans="1:14" ht="15.75" x14ac:dyDescent="0.25">
      <c r="A109" s="2" t="s">
        <v>299</v>
      </c>
      <c r="B109" s="10">
        <v>107</v>
      </c>
      <c r="C109" s="8"/>
      <c r="D109" s="2" t="str">
        <f t="shared" si="3"/>
        <v>2C</v>
      </c>
      <c r="E109" s="136">
        <v>0</v>
      </c>
      <c r="F109" s="136">
        <v>1</v>
      </c>
      <c r="G109" s="136">
        <v>1</v>
      </c>
      <c r="H109" s="136">
        <v>0</v>
      </c>
      <c r="I109" s="136">
        <v>1</v>
      </c>
      <c r="J109" s="136">
        <v>0</v>
      </c>
      <c r="K109" s="136">
        <v>1</v>
      </c>
      <c r="L109" s="136">
        <v>1</v>
      </c>
      <c r="M109" s="4" t="s">
        <v>111</v>
      </c>
      <c r="N109" s="2" t="str">
        <f t="shared" si="2"/>
        <v>2C</v>
      </c>
    </row>
    <row r="110" spans="1:14" ht="15.75" x14ac:dyDescent="0.25">
      <c r="A110" s="2" t="s">
        <v>300</v>
      </c>
      <c r="B110" s="10">
        <v>108</v>
      </c>
      <c r="C110" s="8"/>
      <c r="D110" s="2" t="str">
        <f t="shared" si="3"/>
        <v>2D</v>
      </c>
      <c r="E110" s="136">
        <v>0</v>
      </c>
      <c r="F110" s="136">
        <v>1</v>
      </c>
      <c r="G110" s="136">
        <v>1</v>
      </c>
      <c r="H110" s="136">
        <v>0</v>
      </c>
      <c r="I110" s="136">
        <v>1</v>
      </c>
      <c r="J110" s="136">
        <v>1</v>
      </c>
      <c r="K110" s="136">
        <v>0</v>
      </c>
      <c r="L110" s="136">
        <v>0</v>
      </c>
      <c r="M110" s="4" t="s">
        <v>112</v>
      </c>
      <c r="N110" s="2" t="str">
        <f t="shared" si="2"/>
        <v>2D</v>
      </c>
    </row>
    <row r="111" spans="1:14" ht="15.75" x14ac:dyDescent="0.25">
      <c r="A111" s="2" t="s">
        <v>301</v>
      </c>
      <c r="B111" s="10">
        <v>109</v>
      </c>
      <c r="C111" s="8"/>
      <c r="D111" s="2" t="str">
        <f t="shared" si="3"/>
        <v>2E</v>
      </c>
      <c r="E111" s="136">
        <v>0</v>
      </c>
      <c r="F111" s="136">
        <v>1</v>
      </c>
      <c r="G111" s="136">
        <v>1</v>
      </c>
      <c r="H111" s="136">
        <v>0</v>
      </c>
      <c r="I111" s="136">
        <v>1</v>
      </c>
      <c r="J111" s="136">
        <v>1</v>
      </c>
      <c r="K111" s="136">
        <v>0</v>
      </c>
      <c r="L111" s="136">
        <v>1</v>
      </c>
      <c r="M111" s="4" t="s">
        <v>113</v>
      </c>
      <c r="N111" s="2" t="str">
        <f t="shared" si="2"/>
        <v>2E</v>
      </c>
    </row>
    <row r="112" spans="1:14" ht="15.75" x14ac:dyDescent="0.25">
      <c r="A112" s="2" t="s">
        <v>302</v>
      </c>
      <c r="B112" s="10">
        <v>110</v>
      </c>
      <c r="C112" s="8"/>
      <c r="D112" s="2" t="str">
        <f t="shared" si="3"/>
        <v>2F</v>
      </c>
      <c r="E112" s="136">
        <v>0</v>
      </c>
      <c r="F112" s="136">
        <v>1</v>
      </c>
      <c r="G112" s="136">
        <v>1</v>
      </c>
      <c r="H112" s="136">
        <v>0</v>
      </c>
      <c r="I112" s="136">
        <v>1</v>
      </c>
      <c r="J112" s="136">
        <v>1</v>
      </c>
      <c r="K112" s="136">
        <v>1</v>
      </c>
      <c r="L112" s="136">
        <v>0</v>
      </c>
      <c r="M112" s="4" t="s">
        <v>114</v>
      </c>
      <c r="N112" s="2" t="str">
        <f t="shared" si="2"/>
        <v>2F</v>
      </c>
    </row>
    <row r="113" spans="1:14" ht="15.75" x14ac:dyDescent="0.25">
      <c r="A113" s="2" t="s">
        <v>303</v>
      </c>
      <c r="B113" s="10">
        <v>111</v>
      </c>
      <c r="C113" s="8"/>
      <c r="D113" s="2" t="str">
        <f t="shared" si="3"/>
        <v>2G</v>
      </c>
      <c r="E113" s="136">
        <v>0</v>
      </c>
      <c r="F113" s="136">
        <v>1</v>
      </c>
      <c r="G113" s="136">
        <v>1</v>
      </c>
      <c r="H113" s="136">
        <v>0</v>
      </c>
      <c r="I113" s="136">
        <v>1</v>
      </c>
      <c r="J113" s="136">
        <v>1</v>
      </c>
      <c r="K113" s="136">
        <v>1</v>
      </c>
      <c r="L113" s="136">
        <v>1</v>
      </c>
      <c r="M113" s="4" t="s">
        <v>115</v>
      </c>
      <c r="N113" s="2" t="str">
        <f t="shared" si="2"/>
        <v>2G</v>
      </c>
    </row>
    <row r="114" spans="1:14" ht="15.75" x14ac:dyDescent="0.25">
      <c r="A114" s="2" t="s">
        <v>304</v>
      </c>
      <c r="B114" s="10">
        <v>112</v>
      </c>
      <c r="C114" s="8"/>
      <c r="D114" s="2" t="str">
        <f t="shared" si="3"/>
        <v>2H</v>
      </c>
      <c r="E114" s="136">
        <v>0</v>
      </c>
      <c r="F114" s="136">
        <v>1</v>
      </c>
      <c r="G114" s="136">
        <v>1</v>
      </c>
      <c r="H114" s="136">
        <v>1</v>
      </c>
      <c r="I114" s="136">
        <v>0</v>
      </c>
      <c r="J114" s="136">
        <v>0</v>
      </c>
      <c r="K114" s="136">
        <v>0</v>
      </c>
      <c r="L114" s="136">
        <v>0</v>
      </c>
      <c r="M114" s="4" t="s">
        <v>116</v>
      </c>
      <c r="N114" s="2" t="str">
        <f t="shared" si="2"/>
        <v>2H</v>
      </c>
    </row>
    <row r="115" spans="1:14" ht="15.75" x14ac:dyDescent="0.25">
      <c r="A115" s="2" t="s">
        <v>305</v>
      </c>
      <c r="B115" s="10">
        <v>113</v>
      </c>
      <c r="C115" s="8"/>
      <c r="D115" s="2" t="str">
        <f t="shared" si="3"/>
        <v>2I</v>
      </c>
      <c r="E115" s="136">
        <v>0</v>
      </c>
      <c r="F115" s="136">
        <v>1</v>
      </c>
      <c r="G115" s="136">
        <v>1</v>
      </c>
      <c r="H115" s="136">
        <v>1</v>
      </c>
      <c r="I115" s="136">
        <v>0</v>
      </c>
      <c r="J115" s="136">
        <v>0</v>
      </c>
      <c r="K115" s="136">
        <v>0</v>
      </c>
      <c r="L115" s="136">
        <v>1</v>
      </c>
      <c r="M115" s="4" t="s">
        <v>117</v>
      </c>
      <c r="N115" s="2" t="str">
        <f t="shared" si="2"/>
        <v>2I</v>
      </c>
    </row>
    <row r="116" spans="1:14" ht="15.75" x14ac:dyDescent="0.25">
      <c r="A116" s="2" t="s">
        <v>306</v>
      </c>
      <c r="B116" s="10">
        <v>114</v>
      </c>
      <c r="C116" s="8"/>
      <c r="D116" s="2" t="str">
        <f t="shared" si="3"/>
        <v>2J</v>
      </c>
      <c r="E116" s="136">
        <v>0</v>
      </c>
      <c r="F116" s="136">
        <v>1</v>
      </c>
      <c r="G116" s="136">
        <v>1</v>
      </c>
      <c r="H116" s="136">
        <v>1</v>
      </c>
      <c r="I116" s="136">
        <v>0</v>
      </c>
      <c r="J116" s="136">
        <v>0</v>
      </c>
      <c r="K116" s="136">
        <v>1</v>
      </c>
      <c r="L116" s="136">
        <v>0</v>
      </c>
      <c r="M116" s="4" t="s">
        <v>118</v>
      </c>
      <c r="N116" s="2" t="str">
        <f t="shared" si="2"/>
        <v>2J</v>
      </c>
    </row>
    <row r="117" spans="1:14" ht="15.75" x14ac:dyDescent="0.25">
      <c r="A117" s="2" t="s">
        <v>307</v>
      </c>
      <c r="B117" s="10">
        <v>115</v>
      </c>
      <c r="C117" s="8"/>
      <c r="D117" s="2" t="str">
        <f t="shared" si="3"/>
        <v>2K</v>
      </c>
      <c r="E117" s="136">
        <v>0</v>
      </c>
      <c r="F117" s="136">
        <v>1</v>
      </c>
      <c r="G117" s="136">
        <v>1</v>
      </c>
      <c r="H117" s="136">
        <v>1</v>
      </c>
      <c r="I117" s="136">
        <v>0</v>
      </c>
      <c r="J117" s="136">
        <v>0</v>
      </c>
      <c r="K117" s="136">
        <v>1</v>
      </c>
      <c r="L117" s="136">
        <v>1</v>
      </c>
      <c r="M117" s="4" t="s">
        <v>119</v>
      </c>
      <c r="N117" s="2" t="str">
        <f t="shared" si="2"/>
        <v>2K</v>
      </c>
    </row>
    <row r="118" spans="1:14" ht="15.75" x14ac:dyDescent="0.25">
      <c r="A118" s="2" t="s">
        <v>308</v>
      </c>
      <c r="B118" s="10">
        <v>116</v>
      </c>
      <c r="C118" s="8"/>
      <c r="D118" s="2" t="str">
        <f t="shared" si="3"/>
        <v>2L</v>
      </c>
      <c r="E118" s="136">
        <v>0</v>
      </c>
      <c r="F118" s="136">
        <v>1</v>
      </c>
      <c r="G118" s="136">
        <v>1</v>
      </c>
      <c r="H118" s="136">
        <v>1</v>
      </c>
      <c r="I118" s="136">
        <v>0</v>
      </c>
      <c r="J118" s="136">
        <v>1</v>
      </c>
      <c r="K118" s="136">
        <v>0</v>
      </c>
      <c r="L118" s="136">
        <v>0</v>
      </c>
      <c r="M118" s="4" t="s">
        <v>120</v>
      </c>
      <c r="N118" s="2" t="str">
        <f t="shared" si="2"/>
        <v>2L</v>
      </c>
    </row>
    <row r="119" spans="1:14" ht="15.75" x14ac:dyDescent="0.25">
      <c r="A119" s="2" t="s">
        <v>309</v>
      </c>
      <c r="B119" s="10">
        <v>117</v>
      </c>
      <c r="C119" s="8"/>
      <c r="D119" s="2" t="str">
        <f t="shared" si="3"/>
        <v>2M</v>
      </c>
      <c r="E119" s="136">
        <v>0</v>
      </c>
      <c r="F119" s="136">
        <v>1</v>
      </c>
      <c r="G119" s="136">
        <v>1</v>
      </c>
      <c r="H119" s="136">
        <v>1</v>
      </c>
      <c r="I119" s="136">
        <v>0</v>
      </c>
      <c r="J119" s="136">
        <v>1</v>
      </c>
      <c r="K119" s="136">
        <v>0</v>
      </c>
      <c r="L119" s="136">
        <v>1</v>
      </c>
      <c r="M119" s="4" t="s">
        <v>121</v>
      </c>
      <c r="N119" s="2" t="str">
        <f t="shared" si="2"/>
        <v>2M</v>
      </c>
    </row>
    <row r="120" spans="1:14" ht="15.75" x14ac:dyDescent="0.25">
      <c r="A120" s="2" t="s">
        <v>310</v>
      </c>
      <c r="B120" s="10">
        <v>118</v>
      </c>
      <c r="C120" s="8"/>
      <c r="D120" s="2" t="str">
        <f t="shared" si="3"/>
        <v>2N</v>
      </c>
      <c r="E120" s="136">
        <v>0</v>
      </c>
      <c r="F120" s="136">
        <v>1</v>
      </c>
      <c r="G120" s="136">
        <v>1</v>
      </c>
      <c r="H120" s="136">
        <v>1</v>
      </c>
      <c r="I120" s="136">
        <v>0</v>
      </c>
      <c r="J120" s="136">
        <v>1</v>
      </c>
      <c r="K120" s="136">
        <v>1</v>
      </c>
      <c r="L120" s="136">
        <v>0</v>
      </c>
      <c r="M120" s="4" t="s">
        <v>122</v>
      </c>
      <c r="N120" s="2" t="str">
        <f t="shared" si="2"/>
        <v>2N</v>
      </c>
    </row>
    <row r="121" spans="1:14" ht="15.75" x14ac:dyDescent="0.25">
      <c r="A121" s="2" t="s">
        <v>311</v>
      </c>
      <c r="B121" s="10">
        <v>119</v>
      </c>
      <c r="C121" s="8"/>
      <c r="D121" s="2" t="str">
        <f t="shared" si="3"/>
        <v>2O</v>
      </c>
      <c r="E121" s="136">
        <v>0</v>
      </c>
      <c r="F121" s="136">
        <v>1</v>
      </c>
      <c r="G121" s="136">
        <v>1</v>
      </c>
      <c r="H121" s="136">
        <v>1</v>
      </c>
      <c r="I121" s="136">
        <v>0</v>
      </c>
      <c r="J121" s="136">
        <v>1</v>
      </c>
      <c r="K121" s="136">
        <v>1</v>
      </c>
      <c r="L121" s="136">
        <v>1</v>
      </c>
      <c r="M121" s="4" t="s">
        <v>123</v>
      </c>
      <c r="N121" s="2" t="str">
        <f t="shared" si="2"/>
        <v>2O</v>
      </c>
    </row>
    <row r="122" spans="1:14" ht="15.75" x14ac:dyDescent="0.25">
      <c r="A122" s="2" t="s">
        <v>312</v>
      </c>
      <c r="B122" s="10">
        <v>120</v>
      </c>
      <c r="C122" s="8"/>
      <c r="D122" s="2" t="str">
        <f t="shared" si="3"/>
        <v>2P</v>
      </c>
      <c r="E122" s="136">
        <v>0</v>
      </c>
      <c r="F122" s="136">
        <v>1</v>
      </c>
      <c r="G122" s="136">
        <v>1</v>
      </c>
      <c r="H122" s="136">
        <v>1</v>
      </c>
      <c r="I122" s="136">
        <v>1</v>
      </c>
      <c r="J122" s="136">
        <v>0</v>
      </c>
      <c r="K122" s="136">
        <v>0</v>
      </c>
      <c r="L122" s="136">
        <v>0</v>
      </c>
      <c r="M122" s="4" t="s">
        <v>124</v>
      </c>
      <c r="N122" s="2" t="str">
        <f t="shared" si="2"/>
        <v>2P</v>
      </c>
    </row>
    <row r="123" spans="1:14" ht="15.75" x14ac:dyDescent="0.25">
      <c r="A123" s="2" t="s">
        <v>313</v>
      </c>
      <c r="B123" s="10">
        <v>121</v>
      </c>
      <c r="C123" s="8"/>
      <c r="D123" s="2" t="str">
        <f t="shared" si="3"/>
        <v>2Q</v>
      </c>
      <c r="E123" s="136">
        <v>0</v>
      </c>
      <c r="F123" s="136">
        <v>1</v>
      </c>
      <c r="G123" s="136">
        <v>1</v>
      </c>
      <c r="H123" s="136">
        <v>1</v>
      </c>
      <c r="I123" s="136">
        <v>1</v>
      </c>
      <c r="J123" s="136">
        <v>0</v>
      </c>
      <c r="K123" s="136">
        <v>0</v>
      </c>
      <c r="L123" s="136">
        <v>1</v>
      </c>
      <c r="M123" s="4" t="s">
        <v>125</v>
      </c>
      <c r="N123" s="2" t="str">
        <f t="shared" si="2"/>
        <v>2Q</v>
      </c>
    </row>
    <row r="124" spans="1:14" ht="15.75" x14ac:dyDescent="0.25">
      <c r="A124" s="2" t="s">
        <v>314</v>
      </c>
      <c r="B124" s="10">
        <v>122</v>
      </c>
      <c r="C124" s="8"/>
      <c r="D124" s="2" t="str">
        <f t="shared" si="3"/>
        <v>2R</v>
      </c>
      <c r="E124" s="136">
        <v>0</v>
      </c>
      <c r="F124" s="136">
        <v>1</v>
      </c>
      <c r="G124" s="136">
        <v>1</v>
      </c>
      <c r="H124" s="136">
        <v>1</v>
      </c>
      <c r="I124" s="136">
        <v>1</v>
      </c>
      <c r="J124" s="136">
        <v>0</v>
      </c>
      <c r="K124" s="136">
        <v>1</v>
      </c>
      <c r="L124" s="136">
        <v>0</v>
      </c>
      <c r="M124" s="4" t="s">
        <v>126</v>
      </c>
      <c r="N124" s="2" t="str">
        <f t="shared" si="2"/>
        <v>2R</v>
      </c>
    </row>
    <row r="125" spans="1:14" ht="15.75" x14ac:dyDescent="0.25">
      <c r="A125" s="2" t="s">
        <v>315</v>
      </c>
      <c r="B125" s="10">
        <v>123</v>
      </c>
      <c r="C125" s="8"/>
      <c r="D125" s="2" t="str">
        <f t="shared" si="3"/>
        <v>2S</v>
      </c>
      <c r="E125" s="136">
        <v>0</v>
      </c>
      <c r="F125" s="136">
        <v>1</v>
      </c>
      <c r="G125" s="136">
        <v>1</v>
      </c>
      <c r="H125" s="136">
        <v>1</v>
      </c>
      <c r="I125" s="136">
        <v>1</v>
      </c>
      <c r="J125" s="136">
        <v>0</v>
      </c>
      <c r="K125" s="136">
        <v>1</v>
      </c>
      <c r="L125" s="136">
        <v>1</v>
      </c>
      <c r="M125" s="4" t="s">
        <v>127</v>
      </c>
      <c r="N125" s="2" t="str">
        <f t="shared" si="2"/>
        <v>2S</v>
      </c>
    </row>
    <row r="126" spans="1:14" ht="15.75" x14ac:dyDescent="0.25">
      <c r="A126" s="2" t="s">
        <v>316</v>
      </c>
      <c r="B126" s="10">
        <v>124</v>
      </c>
      <c r="C126" s="8"/>
      <c r="D126" s="2" t="str">
        <f t="shared" si="3"/>
        <v>2T</v>
      </c>
      <c r="E126" s="136">
        <v>0</v>
      </c>
      <c r="F126" s="136">
        <v>1</v>
      </c>
      <c r="G126" s="136">
        <v>1</v>
      </c>
      <c r="H126" s="136">
        <v>1</v>
      </c>
      <c r="I126" s="136">
        <v>1</v>
      </c>
      <c r="J126" s="136">
        <v>1</v>
      </c>
      <c r="K126" s="136">
        <v>0</v>
      </c>
      <c r="L126" s="136">
        <v>0</v>
      </c>
      <c r="M126" s="4" t="s">
        <v>128</v>
      </c>
      <c r="N126" s="2" t="str">
        <f t="shared" si="2"/>
        <v>2T</v>
      </c>
    </row>
    <row r="127" spans="1:14" ht="15.75" x14ac:dyDescent="0.25">
      <c r="A127" s="2" t="s">
        <v>317</v>
      </c>
      <c r="B127" s="10">
        <v>125</v>
      </c>
      <c r="C127" s="8"/>
      <c r="D127" s="2" t="str">
        <f t="shared" si="3"/>
        <v>2U</v>
      </c>
      <c r="E127" s="136">
        <v>0</v>
      </c>
      <c r="F127" s="136">
        <v>1</v>
      </c>
      <c r="G127" s="136">
        <v>1</v>
      </c>
      <c r="H127" s="136">
        <v>1</v>
      </c>
      <c r="I127" s="136">
        <v>1</v>
      </c>
      <c r="J127" s="136">
        <v>1</v>
      </c>
      <c r="K127" s="136">
        <v>0</v>
      </c>
      <c r="L127" s="136">
        <v>1</v>
      </c>
      <c r="M127" s="4" t="s">
        <v>129</v>
      </c>
      <c r="N127" s="2" t="str">
        <f t="shared" si="2"/>
        <v>2U</v>
      </c>
    </row>
    <row r="128" spans="1:14" ht="15.75" x14ac:dyDescent="0.25">
      <c r="A128" s="2" t="s">
        <v>318</v>
      </c>
      <c r="B128" s="10">
        <v>126</v>
      </c>
      <c r="C128" s="8"/>
      <c r="D128" s="2" t="str">
        <f t="shared" si="3"/>
        <v>2V</v>
      </c>
      <c r="E128" s="136">
        <v>0</v>
      </c>
      <c r="F128" s="136">
        <v>1</v>
      </c>
      <c r="G128" s="136">
        <v>1</v>
      </c>
      <c r="H128" s="136">
        <v>1</v>
      </c>
      <c r="I128" s="136">
        <v>1</v>
      </c>
      <c r="J128" s="136">
        <v>1</v>
      </c>
      <c r="K128" s="136">
        <v>1</v>
      </c>
      <c r="L128" s="136">
        <v>0</v>
      </c>
      <c r="M128" s="4" t="s">
        <v>130</v>
      </c>
      <c r="N128" s="2" t="str">
        <f t="shared" si="2"/>
        <v>2V</v>
      </c>
    </row>
    <row r="129" spans="1:14" ht="15.75" x14ac:dyDescent="0.25">
      <c r="A129" s="2" t="s">
        <v>319</v>
      </c>
      <c r="B129" s="10">
        <v>127</v>
      </c>
      <c r="C129" s="8"/>
      <c r="D129" s="2" t="str">
        <f t="shared" si="3"/>
        <v>2W</v>
      </c>
      <c r="E129" s="136">
        <v>0</v>
      </c>
      <c r="F129" s="136">
        <v>1</v>
      </c>
      <c r="G129" s="136">
        <v>1</v>
      </c>
      <c r="H129" s="136">
        <v>1</v>
      </c>
      <c r="I129" s="136">
        <v>1</v>
      </c>
      <c r="J129" s="136">
        <v>1</v>
      </c>
      <c r="K129" s="136">
        <v>1</v>
      </c>
      <c r="L129" s="136">
        <v>1</v>
      </c>
      <c r="M129" s="4" t="s">
        <v>131</v>
      </c>
      <c r="N129" s="2" t="str">
        <f t="shared" si="2"/>
        <v>2W</v>
      </c>
    </row>
    <row r="130" spans="1:14" ht="15.75" x14ac:dyDescent="0.25">
      <c r="A130" s="2" t="s">
        <v>320</v>
      </c>
      <c r="B130" s="4"/>
      <c r="C130" s="8"/>
      <c r="D130" s="2" t="str">
        <f t="shared" si="3"/>
        <v>2X</v>
      </c>
      <c r="E130" s="136">
        <v>0</v>
      </c>
      <c r="F130" s="136">
        <v>0</v>
      </c>
      <c r="G130" s="136">
        <v>0</v>
      </c>
      <c r="H130" s="136">
        <v>0</v>
      </c>
      <c r="I130" s="136">
        <v>0</v>
      </c>
      <c r="J130" s="136">
        <v>0</v>
      </c>
      <c r="K130" s="136">
        <v>0</v>
      </c>
      <c r="L130" s="136">
        <v>0</v>
      </c>
      <c r="M130" s="4" t="s">
        <v>4</v>
      </c>
      <c r="N130" s="2" t="str">
        <f t="shared" si="2"/>
        <v>2X</v>
      </c>
    </row>
    <row r="131" spans="1:14" ht="15.75" x14ac:dyDescent="0.25">
      <c r="A131" s="2" t="s">
        <v>321</v>
      </c>
      <c r="B131" s="10">
        <v>128</v>
      </c>
      <c r="C131" s="8"/>
      <c r="D131" s="2" t="str">
        <f t="shared" si="3"/>
        <v>2Y</v>
      </c>
      <c r="E131" s="136">
        <v>1</v>
      </c>
      <c r="F131" s="136">
        <v>0</v>
      </c>
      <c r="G131" s="136">
        <v>0</v>
      </c>
      <c r="H131" s="136">
        <v>0</v>
      </c>
      <c r="I131" s="136">
        <v>0</v>
      </c>
      <c r="J131" s="136">
        <v>0</v>
      </c>
      <c r="K131" s="136">
        <v>0</v>
      </c>
      <c r="L131" s="136">
        <v>0</v>
      </c>
      <c r="M131" s="4" t="s">
        <v>132</v>
      </c>
      <c r="N131" s="2" t="str">
        <f t="shared" si="2"/>
        <v>2Y</v>
      </c>
    </row>
    <row r="132" spans="1:14" ht="15.75" x14ac:dyDescent="0.25">
      <c r="A132" s="2" t="s">
        <v>322</v>
      </c>
      <c r="B132" s="10">
        <v>129</v>
      </c>
      <c r="C132" s="8"/>
      <c r="D132" s="2" t="str">
        <f t="shared" si="3"/>
        <v>2Z</v>
      </c>
      <c r="E132" s="136">
        <v>1</v>
      </c>
      <c r="F132" s="136">
        <v>0</v>
      </c>
      <c r="G132" s="136">
        <v>0</v>
      </c>
      <c r="H132" s="136">
        <v>0</v>
      </c>
      <c r="I132" s="136">
        <v>0</v>
      </c>
      <c r="J132" s="136">
        <v>0</v>
      </c>
      <c r="K132" s="136">
        <v>0</v>
      </c>
      <c r="L132" s="136">
        <v>1</v>
      </c>
      <c r="M132" s="4" t="s">
        <v>133</v>
      </c>
      <c r="N132" s="2" t="str">
        <f t="shared" ref="N132:N195" si="4">A132</f>
        <v>2Z</v>
      </c>
    </row>
    <row r="133" spans="1:14" ht="15.75" x14ac:dyDescent="0.25">
      <c r="A133" s="18" t="s">
        <v>453</v>
      </c>
      <c r="B133" s="10">
        <v>130</v>
      </c>
      <c r="C133" s="8"/>
      <c r="D133" s="2" t="str">
        <f t="shared" ref="D133:D196" si="5">A133</f>
        <v>2a</v>
      </c>
      <c r="E133" s="136">
        <v>1</v>
      </c>
      <c r="F133" s="136">
        <v>0</v>
      </c>
      <c r="G133" s="136">
        <v>0</v>
      </c>
      <c r="H133" s="136">
        <v>0</v>
      </c>
      <c r="I133" s="136">
        <v>0</v>
      </c>
      <c r="J133" s="136">
        <v>0</v>
      </c>
      <c r="K133" s="136">
        <v>1</v>
      </c>
      <c r="L133" s="136">
        <v>0</v>
      </c>
      <c r="M133" s="4" t="s">
        <v>134</v>
      </c>
      <c r="N133" s="2" t="str">
        <f t="shared" si="4"/>
        <v>2a</v>
      </c>
    </row>
    <row r="134" spans="1:14" ht="15.75" x14ac:dyDescent="0.25">
      <c r="A134" s="18" t="s">
        <v>454</v>
      </c>
      <c r="B134" s="10">
        <v>131</v>
      </c>
      <c r="C134" s="8"/>
      <c r="D134" s="2" t="str">
        <f t="shared" si="5"/>
        <v>2b</v>
      </c>
      <c r="E134" s="136">
        <v>1</v>
      </c>
      <c r="F134" s="136">
        <v>0</v>
      </c>
      <c r="G134" s="136">
        <v>0</v>
      </c>
      <c r="H134" s="136">
        <v>0</v>
      </c>
      <c r="I134" s="136">
        <v>0</v>
      </c>
      <c r="J134" s="136">
        <v>0</v>
      </c>
      <c r="K134" s="136">
        <v>1</v>
      </c>
      <c r="L134" s="136">
        <v>1</v>
      </c>
      <c r="M134" s="4" t="s">
        <v>135</v>
      </c>
      <c r="N134" s="2" t="str">
        <f t="shared" si="4"/>
        <v>2b</v>
      </c>
    </row>
    <row r="135" spans="1:14" ht="15.75" x14ac:dyDescent="0.25">
      <c r="A135" s="18" t="s">
        <v>455</v>
      </c>
      <c r="B135" s="10">
        <v>132</v>
      </c>
      <c r="C135" s="8"/>
      <c r="D135" s="2" t="str">
        <f t="shared" si="5"/>
        <v>2c</v>
      </c>
      <c r="E135" s="136">
        <v>1</v>
      </c>
      <c r="F135" s="136">
        <v>0</v>
      </c>
      <c r="G135" s="136">
        <v>0</v>
      </c>
      <c r="H135" s="136">
        <v>0</v>
      </c>
      <c r="I135" s="136">
        <v>0</v>
      </c>
      <c r="J135" s="136">
        <v>1</v>
      </c>
      <c r="K135" s="136">
        <v>0</v>
      </c>
      <c r="L135" s="136">
        <v>0</v>
      </c>
      <c r="M135" s="4" t="s">
        <v>136</v>
      </c>
      <c r="N135" s="2" t="str">
        <f t="shared" si="4"/>
        <v>2c</v>
      </c>
    </row>
    <row r="136" spans="1:14" ht="15.75" x14ac:dyDescent="0.25">
      <c r="A136" s="18" t="s">
        <v>456</v>
      </c>
      <c r="B136" s="10">
        <v>133</v>
      </c>
      <c r="C136" s="8"/>
      <c r="D136" s="2" t="str">
        <f t="shared" si="5"/>
        <v>2d</v>
      </c>
      <c r="E136" s="136">
        <v>1</v>
      </c>
      <c r="F136" s="136">
        <v>0</v>
      </c>
      <c r="G136" s="136">
        <v>0</v>
      </c>
      <c r="H136" s="136">
        <v>0</v>
      </c>
      <c r="I136" s="136">
        <v>0</v>
      </c>
      <c r="J136" s="136">
        <v>1</v>
      </c>
      <c r="K136" s="136">
        <v>0</v>
      </c>
      <c r="L136" s="136">
        <v>1</v>
      </c>
      <c r="M136" s="4" t="s">
        <v>137</v>
      </c>
      <c r="N136" s="2" t="str">
        <f t="shared" si="4"/>
        <v>2d</v>
      </c>
    </row>
    <row r="137" spans="1:14" ht="15.75" x14ac:dyDescent="0.25">
      <c r="A137" s="18" t="s">
        <v>457</v>
      </c>
      <c r="B137" s="10">
        <v>134</v>
      </c>
      <c r="C137" s="8"/>
      <c r="D137" s="2" t="str">
        <f t="shared" si="5"/>
        <v>2e</v>
      </c>
      <c r="E137" s="136">
        <v>1</v>
      </c>
      <c r="F137" s="136">
        <v>0</v>
      </c>
      <c r="G137" s="136">
        <v>0</v>
      </c>
      <c r="H137" s="136">
        <v>0</v>
      </c>
      <c r="I137" s="136">
        <v>0</v>
      </c>
      <c r="J137" s="136">
        <v>1</v>
      </c>
      <c r="K137" s="136">
        <v>1</v>
      </c>
      <c r="L137" s="136">
        <v>0</v>
      </c>
      <c r="M137" s="4" t="s">
        <v>138</v>
      </c>
      <c r="N137" s="2" t="str">
        <f t="shared" si="4"/>
        <v>2e</v>
      </c>
    </row>
    <row r="138" spans="1:14" ht="15.75" x14ac:dyDescent="0.25">
      <c r="A138" s="18" t="s">
        <v>458</v>
      </c>
      <c r="B138" s="10">
        <v>135</v>
      </c>
      <c r="C138" s="8"/>
      <c r="D138" s="2" t="str">
        <f t="shared" si="5"/>
        <v>2f</v>
      </c>
      <c r="E138" s="136">
        <v>1</v>
      </c>
      <c r="F138" s="136">
        <v>0</v>
      </c>
      <c r="G138" s="136">
        <v>0</v>
      </c>
      <c r="H138" s="136">
        <v>0</v>
      </c>
      <c r="I138" s="136">
        <v>0</v>
      </c>
      <c r="J138" s="136">
        <v>1</v>
      </c>
      <c r="K138" s="136">
        <v>1</v>
      </c>
      <c r="L138" s="136">
        <v>1</v>
      </c>
      <c r="M138" s="4" t="s">
        <v>139</v>
      </c>
      <c r="N138" s="2" t="str">
        <f t="shared" si="4"/>
        <v>2f</v>
      </c>
    </row>
    <row r="139" spans="1:14" ht="15.75" x14ac:dyDescent="0.25">
      <c r="A139" s="18" t="s">
        <v>459</v>
      </c>
      <c r="B139" s="10">
        <v>136</v>
      </c>
      <c r="C139" s="8"/>
      <c r="D139" s="2" t="str">
        <f t="shared" si="5"/>
        <v>2g</v>
      </c>
      <c r="E139" s="136">
        <v>1</v>
      </c>
      <c r="F139" s="136">
        <v>0</v>
      </c>
      <c r="G139" s="136">
        <v>0</v>
      </c>
      <c r="H139" s="136">
        <v>0</v>
      </c>
      <c r="I139" s="136">
        <v>1</v>
      </c>
      <c r="J139" s="136">
        <v>0</v>
      </c>
      <c r="K139" s="136">
        <v>0</v>
      </c>
      <c r="L139" s="136">
        <v>0</v>
      </c>
      <c r="M139" s="4" t="s">
        <v>140</v>
      </c>
      <c r="N139" s="2" t="str">
        <f t="shared" si="4"/>
        <v>2g</v>
      </c>
    </row>
    <row r="140" spans="1:14" ht="15.75" x14ac:dyDescent="0.25">
      <c r="A140" s="18" t="s">
        <v>460</v>
      </c>
      <c r="B140" s="10">
        <v>137</v>
      </c>
      <c r="C140" s="8"/>
      <c r="D140" s="2" t="str">
        <f t="shared" si="5"/>
        <v>2h</v>
      </c>
      <c r="E140" s="136">
        <v>1</v>
      </c>
      <c r="F140" s="136">
        <v>0</v>
      </c>
      <c r="G140" s="136">
        <v>0</v>
      </c>
      <c r="H140" s="136">
        <v>0</v>
      </c>
      <c r="I140" s="136">
        <v>1</v>
      </c>
      <c r="J140" s="136">
        <v>0</v>
      </c>
      <c r="K140" s="136">
        <v>0</v>
      </c>
      <c r="L140" s="136">
        <v>1</v>
      </c>
      <c r="M140" s="4" t="s">
        <v>141</v>
      </c>
      <c r="N140" s="2" t="str">
        <f t="shared" si="4"/>
        <v>2h</v>
      </c>
    </row>
    <row r="141" spans="1:14" ht="15.75" x14ac:dyDescent="0.25">
      <c r="A141" s="18" t="s">
        <v>461</v>
      </c>
      <c r="B141" s="10">
        <v>138</v>
      </c>
      <c r="C141" s="8"/>
      <c r="D141" s="2" t="str">
        <f t="shared" si="5"/>
        <v>2i</v>
      </c>
      <c r="E141" s="136">
        <v>1</v>
      </c>
      <c r="F141" s="136">
        <v>0</v>
      </c>
      <c r="G141" s="136">
        <v>0</v>
      </c>
      <c r="H141" s="136">
        <v>0</v>
      </c>
      <c r="I141" s="136">
        <v>1</v>
      </c>
      <c r="J141" s="136">
        <v>0</v>
      </c>
      <c r="K141" s="136">
        <v>1</v>
      </c>
      <c r="L141" s="136">
        <v>0</v>
      </c>
      <c r="M141" s="4" t="s">
        <v>142</v>
      </c>
      <c r="N141" s="2" t="str">
        <f t="shared" si="4"/>
        <v>2i</v>
      </c>
    </row>
    <row r="142" spans="1:14" ht="15.75" x14ac:dyDescent="0.25">
      <c r="A142" s="18" t="s">
        <v>462</v>
      </c>
      <c r="B142" s="10">
        <v>139</v>
      </c>
      <c r="C142" s="8"/>
      <c r="D142" s="2" t="str">
        <f t="shared" si="5"/>
        <v>2j</v>
      </c>
      <c r="E142" s="136">
        <v>1</v>
      </c>
      <c r="F142" s="136">
        <v>0</v>
      </c>
      <c r="G142" s="136">
        <v>0</v>
      </c>
      <c r="H142" s="136">
        <v>0</v>
      </c>
      <c r="I142" s="136">
        <v>1</v>
      </c>
      <c r="J142" s="136">
        <v>0</v>
      </c>
      <c r="K142" s="136">
        <v>1</v>
      </c>
      <c r="L142" s="136">
        <v>1</v>
      </c>
      <c r="M142" s="4" t="s">
        <v>143</v>
      </c>
      <c r="N142" s="2" t="str">
        <f t="shared" si="4"/>
        <v>2j</v>
      </c>
    </row>
    <row r="143" spans="1:14" ht="15.75" x14ac:dyDescent="0.25">
      <c r="A143" s="18" t="s">
        <v>463</v>
      </c>
      <c r="B143" s="10">
        <v>140</v>
      </c>
      <c r="C143" s="8"/>
      <c r="D143" s="2" t="str">
        <f t="shared" si="5"/>
        <v>2k</v>
      </c>
      <c r="E143" s="136">
        <v>1</v>
      </c>
      <c r="F143" s="136">
        <v>0</v>
      </c>
      <c r="G143" s="136">
        <v>0</v>
      </c>
      <c r="H143" s="136">
        <v>0</v>
      </c>
      <c r="I143" s="136">
        <v>1</v>
      </c>
      <c r="J143" s="136">
        <v>1</v>
      </c>
      <c r="K143" s="136">
        <v>0</v>
      </c>
      <c r="L143" s="136">
        <v>0</v>
      </c>
      <c r="M143" s="4" t="s">
        <v>144</v>
      </c>
      <c r="N143" s="2" t="str">
        <f t="shared" si="4"/>
        <v>2k</v>
      </c>
    </row>
    <row r="144" spans="1:14" ht="15.75" x14ac:dyDescent="0.25">
      <c r="A144" s="18" t="s">
        <v>464</v>
      </c>
      <c r="B144" s="10">
        <v>141</v>
      </c>
      <c r="C144" s="8"/>
      <c r="D144" s="2" t="str">
        <f t="shared" si="5"/>
        <v>2l</v>
      </c>
      <c r="E144" s="136">
        <v>1</v>
      </c>
      <c r="F144" s="136">
        <v>0</v>
      </c>
      <c r="G144" s="136">
        <v>0</v>
      </c>
      <c r="H144" s="136">
        <v>0</v>
      </c>
      <c r="I144" s="136">
        <v>1</v>
      </c>
      <c r="J144" s="136">
        <v>1</v>
      </c>
      <c r="K144" s="136">
        <v>0</v>
      </c>
      <c r="L144" s="136">
        <v>1</v>
      </c>
      <c r="M144" s="4" t="s">
        <v>145</v>
      </c>
      <c r="N144" s="2" t="str">
        <f t="shared" si="4"/>
        <v>2l</v>
      </c>
    </row>
    <row r="145" spans="1:14" ht="15.75" x14ac:dyDescent="0.25">
      <c r="A145" s="18" t="s">
        <v>465</v>
      </c>
      <c r="B145" s="10">
        <v>142</v>
      </c>
      <c r="C145" s="8"/>
      <c r="D145" s="2" t="str">
        <f t="shared" si="5"/>
        <v>2m</v>
      </c>
      <c r="E145" s="136">
        <v>1</v>
      </c>
      <c r="F145" s="136">
        <v>0</v>
      </c>
      <c r="G145" s="136">
        <v>0</v>
      </c>
      <c r="H145" s="136">
        <v>0</v>
      </c>
      <c r="I145" s="136">
        <v>1</v>
      </c>
      <c r="J145" s="136">
        <v>1</v>
      </c>
      <c r="K145" s="136">
        <v>1</v>
      </c>
      <c r="L145" s="136">
        <v>0</v>
      </c>
      <c r="M145" s="4" t="s">
        <v>146</v>
      </c>
      <c r="N145" s="2" t="str">
        <f t="shared" si="4"/>
        <v>2m</v>
      </c>
    </row>
    <row r="146" spans="1:14" ht="15.75" x14ac:dyDescent="0.25">
      <c r="A146" s="18" t="s">
        <v>466</v>
      </c>
      <c r="B146" s="10">
        <v>143</v>
      </c>
      <c r="C146" s="8"/>
      <c r="D146" s="2" t="str">
        <f t="shared" si="5"/>
        <v>2n</v>
      </c>
      <c r="E146" s="136">
        <v>1</v>
      </c>
      <c r="F146" s="136">
        <v>0</v>
      </c>
      <c r="G146" s="136">
        <v>0</v>
      </c>
      <c r="H146" s="136">
        <v>0</v>
      </c>
      <c r="I146" s="136">
        <v>1</v>
      </c>
      <c r="J146" s="136">
        <v>1</v>
      </c>
      <c r="K146" s="136">
        <v>1</v>
      </c>
      <c r="L146" s="136">
        <v>1</v>
      </c>
      <c r="M146" s="4" t="s">
        <v>147</v>
      </c>
      <c r="N146" s="2" t="str">
        <f t="shared" si="4"/>
        <v>2n</v>
      </c>
    </row>
    <row r="147" spans="1:14" ht="15.75" x14ac:dyDescent="0.25">
      <c r="A147" s="18" t="s">
        <v>467</v>
      </c>
      <c r="B147" s="10">
        <v>144</v>
      </c>
      <c r="C147" s="8"/>
      <c r="D147" s="2" t="str">
        <f t="shared" si="5"/>
        <v>2o</v>
      </c>
      <c r="E147" s="136">
        <v>1</v>
      </c>
      <c r="F147" s="136">
        <v>0</v>
      </c>
      <c r="G147" s="136">
        <v>0</v>
      </c>
      <c r="H147" s="136">
        <v>1</v>
      </c>
      <c r="I147" s="136">
        <v>0</v>
      </c>
      <c r="J147" s="136">
        <v>0</v>
      </c>
      <c r="K147" s="136">
        <v>0</v>
      </c>
      <c r="L147" s="136">
        <v>0</v>
      </c>
      <c r="M147" s="4" t="s">
        <v>148</v>
      </c>
      <c r="N147" s="2" t="str">
        <f t="shared" si="4"/>
        <v>2o</v>
      </c>
    </row>
    <row r="148" spans="1:14" ht="15.75" x14ac:dyDescent="0.25">
      <c r="A148" s="18" t="s">
        <v>468</v>
      </c>
      <c r="B148" s="10">
        <v>145</v>
      </c>
      <c r="C148" s="8"/>
      <c r="D148" s="2" t="str">
        <f t="shared" si="5"/>
        <v>2p</v>
      </c>
      <c r="E148" s="136">
        <v>1</v>
      </c>
      <c r="F148" s="136">
        <v>0</v>
      </c>
      <c r="G148" s="136">
        <v>0</v>
      </c>
      <c r="H148" s="136">
        <v>1</v>
      </c>
      <c r="I148" s="136">
        <v>0</v>
      </c>
      <c r="J148" s="136">
        <v>0</v>
      </c>
      <c r="K148" s="136">
        <v>0</v>
      </c>
      <c r="L148" s="136">
        <v>1</v>
      </c>
      <c r="M148" s="4" t="s">
        <v>149</v>
      </c>
      <c r="N148" s="2" t="str">
        <f t="shared" si="4"/>
        <v>2p</v>
      </c>
    </row>
    <row r="149" spans="1:14" ht="15.75" x14ac:dyDescent="0.25">
      <c r="A149" s="18" t="s">
        <v>469</v>
      </c>
      <c r="B149" s="10">
        <v>146</v>
      </c>
      <c r="C149" s="8"/>
      <c r="D149" s="2" t="str">
        <f t="shared" si="5"/>
        <v>2q</v>
      </c>
      <c r="E149" s="136">
        <v>1</v>
      </c>
      <c r="F149" s="136">
        <v>0</v>
      </c>
      <c r="G149" s="136">
        <v>0</v>
      </c>
      <c r="H149" s="136">
        <v>1</v>
      </c>
      <c r="I149" s="136">
        <v>0</v>
      </c>
      <c r="J149" s="136">
        <v>0</v>
      </c>
      <c r="K149" s="136">
        <v>1</v>
      </c>
      <c r="L149" s="136">
        <v>0</v>
      </c>
      <c r="M149" s="4" t="s">
        <v>150</v>
      </c>
      <c r="N149" s="2" t="str">
        <f t="shared" si="4"/>
        <v>2q</v>
      </c>
    </row>
    <row r="150" spans="1:14" ht="15.75" x14ac:dyDescent="0.25">
      <c r="A150" s="18" t="s">
        <v>470</v>
      </c>
      <c r="B150" s="10">
        <v>147</v>
      </c>
      <c r="C150" s="8"/>
      <c r="D150" s="2" t="str">
        <f t="shared" si="5"/>
        <v>2r</v>
      </c>
      <c r="E150" s="136">
        <v>1</v>
      </c>
      <c r="F150" s="136">
        <v>0</v>
      </c>
      <c r="G150" s="136">
        <v>0</v>
      </c>
      <c r="H150" s="136">
        <v>1</v>
      </c>
      <c r="I150" s="136">
        <v>0</v>
      </c>
      <c r="J150" s="136">
        <v>0</v>
      </c>
      <c r="K150" s="136">
        <v>1</v>
      </c>
      <c r="L150" s="136">
        <v>1</v>
      </c>
      <c r="M150" s="4" t="s">
        <v>151</v>
      </c>
      <c r="N150" s="2" t="str">
        <f t="shared" si="4"/>
        <v>2r</v>
      </c>
    </row>
    <row r="151" spans="1:14" ht="15.75" x14ac:dyDescent="0.25">
      <c r="A151" s="18" t="s">
        <v>471</v>
      </c>
      <c r="B151" s="10">
        <v>148</v>
      </c>
      <c r="C151" s="8"/>
      <c r="D151" s="2" t="str">
        <f t="shared" si="5"/>
        <v>2s</v>
      </c>
      <c r="E151" s="136">
        <v>1</v>
      </c>
      <c r="F151" s="136">
        <v>0</v>
      </c>
      <c r="G151" s="136">
        <v>0</v>
      </c>
      <c r="H151" s="136">
        <v>1</v>
      </c>
      <c r="I151" s="136">
        <v>0</v>
      </c>
      <c r="J151" s="136">
        <v>1</v>
      </c>
      <c r="K151" s="136">
        <v>0</v>
      </c>
      <c r="L151" s="136">
        <v>0</v>
      </c>
      <c r="M151" s="4" t="s">
        <v>152</v>
      </c>
      <c r="N151" s="2" t="str">
        <f t="shared" si="4"/>
        <v>2s</v>
      </c>
    </row>
    <row r="152" spans="1:14" ht="15.75" x14ac:dyDescent="0.25">
      <c r="A152" s="18" t="s">
        <v>472</v>
      </c>
      <c r="B152" s="10">
        <v>149</v>
      </c>
      <c r="C152" s="8"/>
      <c r="D152" s="2" t="str">
        <f t="shared" si="5"/>
        <v>2t</v>
      </c>
      <c r="E152" s="136">
        <v>1</v>
      </c>
      <c r="F152" s="136">
        <v>0</v>
      </c>
      <c r="G152" s="136">
        <v>0</v>
      </c>
      <c r="H152" s="136">
        <v>1</v>
      </c>
      <c r="I152" s="136">
        <v>0</v>
      </c>
      <c r="J152" s="136">
        <v>1</v>
      </c>
      <c r="K152" s="136">
        <v>0</v>
      </c>
      <c r="L152" s="136">
        <v>1</v>
      </c>
      <c r="M152" s="4" t="s">
        <v>153</v>
      </c>
      <c r="N152" s="2" t="str">
        <f t="shared" si="4"/>
        <v>2t</v>
      </c>
    </row>
    <row r="153" spans="1:14" ht="15.75" x14ac:dyDescent="0.25">
      <c r="A153" s="18" t="s">
        <v>473</v>
      </c>
      <c r="B153" s="10">
        <v>150</v>
      </c>
      <c r="C153" s="8"/>
      <c r="D153" s="2" t="str">
        <f t="shared" si="5"/>
        <v>2u</v>
      </c>
      <c r="E153" s="136">
        <v>1</v>
      </c>
      <c r="F153" s="136">
        <v>0</v>
      </c>
      <c r="G153" s="136">
        <v>0</v>
      </c>
      <c r="H153" s="136">
        <v>1</v>
      </c>
      <c r="I153" s="136">
        <v>0</v>
      </c>
      <c r="J153" s="136">
        <v>1</v>
      </c>
      <c r="K153" s="136">
        <v>1</v>
      </c>
      <c r="L153" s="136">
        <v>0</v>
      </c>
      <c r="M153" s="4" t="s">
        <v>154</v>
      </c>
      <c r="N153" s="2" t="str">
        <f t="shared" si="4"/>
        <v>2u</v>
      </c>
    </row>
    <row r="154" spans="1:14" ht="15.75" x14ac:dyDescent="0.25">
      <c r="A154" s="18" t="s">
        <v>474</v>
      </c>
      <c r="B154" s="10">
        <v>151</v>
      </c>
      <c r="C154" s="8"/>
      <c r="D154" s="2" t="str">
        <f t="shared" si="5"/>
        <v>2v</v>
      </c>
      <c r="E154" s="136">
        <v>1</v>
      </c>
      <c r="F154" s="136">
        <v>0</v>
      </c>
      <c r="G154" s="136">
        <v>0</v>
      </c>
      <c r="H154" s="136">
        <v>1</v>
      </c>
      <c r="I154" s="136">
        <v>0</v>
      </c>
      <c r="J154" s="136">
        <v>1</v>
      </c>
      <c r="K154" s="136">
        <v>1</v>
      </c>
      <c r="L154" s="136">
        <v>1</v>
      </c>
      <c r="M154" s="4" t="s">
        <v>155</v>
      </c>
      <c r="N154" s="2" t="str">
        <f t="shared" si="4"/>
        <v>2v</v>
      </c>
    </row>
    <row r="155" spans="1:14" ht="15.75" x14ac:dyDescent="0.25">
      <c r="A155" s="18" t="s">
        <v>475</v>
      </c>
      <c r="B155" s="10">
        <v>152</v>
      </c>
      <c r="C155" s="8"/>
      <c r="D155" s="2" t="str">
        <f t="shared" si="5"/>
        <v>2w</v>
      </c>
      <c r="E155" s="136">
        <v>1</v>
      </c>
      <c r="F155" s="136">
        <v>0</v>
      </c>
      <c r="G155" s="136">
        <v>0</v>
      </c>
      <c r="H155" s="136">
        <v>1</v>
      </c>
      <c r="I155" s="136">
        <v>1</v>
      </c>
      <c r="J155" s="136">
        <v>0</v>
      </c>
      <c r="K155" s="136">
        <v>0</v>
      </c>
      <c r="L155" s="136">
        <v>0</v>
      </c>
      <c r="M155" s="4" t="s">
        <v>156</v>
      </c>
      <c r="N155" s="2" t="str">
        <f t="shared" si="4"/>
        <v>2w</v>
      </c>
    </row>
    <row r="156" spans="1:14" ht="15.75" x14ac:dyDescent="0.25">
      <c r="A156" s="18" t="s">
        <v>476</v>
      </c>
      <c r="B156" s="10">
        <v>153</v>
      </c>
      <c r="C156" s="8"/>
      <c r="D156" s="2" t="str">
        <f t="shared" si="5"/>
        <v>2x</v>
      </c>
      <c r="E156" s="136">
        <v>1</v>
      </c>
      <c r="F156" s="136">
        <v>0</v>
      </c>
      <c r="G156" s="136">
        <v>0</v>
      </c>
      <c r="H156" s="136">
        <v>1</v>
      </c>
      <c r="I156" s="136">
        <v>1</v>
      </c>
      <c r="J156" s="136">
        <v>0</v>
      </c>
      <c r="K156" s="136">
        <v>0</v>
      </c>
      <c r="L156" s="136">
        <v>1</v>
      </c>
      <c r="M156" s="4" t="s">
        <v>157</v>
      </c>
      <c r="N156" s="2" t="str">
        <f t="shared" si="4"/>
        <v>2x</v>
      </c>
    </row>
    <row r="157" spans="1:14" ht="15.75" x14ac:dyDescent="0.25">
      <c r="A157" s="18" t="s">
        <v>477</v>
      </c>
      <c r="B157" s="10">
        <v>154</v>
      </c>
      <c r="C157" s="8"/>
      <c r="D157" s="2" t="str">
        <f t="shared" si="5"/>
        <v>2y</v>
      </c>
      <c r="E157" s="136">
        <v>1</v>
      </c>
      <c r="F157" s="136">
        <v>0</v>
      </c>
      <c r="G157" s="136">
        <v>0</v>
      </c>
      <c r="H157" s="136">
        <v>1</v>
      </c>
      <c r="I157" s="136">
        <v>1</v>
      </c>
      <c r="J157" s="136">
        <v>0</v>
      </c>
      <c r="K157" s="136">
        <v>1</v>
      </c>
      <c r="L157" s="136">
        <v>0</v>
      </c>
      <c r="M157" s="4" t="s">
        <v>158</v>
      </c>
      <c r="N157" s="2" t="str">
        <f t="shared" si="4"/>
        <v>2y</v>
      </c>
    </row>
    <row r="158" spans="1:14" ht="15.75" x14ac:dyDescent="0.25">
      <c r="A158" s="18" t="s">
        <v>478</v>
      </c>
      <c r="B158" s="10">
        <v>155</v>
      </c>
      <c r="C158" s="8"/>
      <c r="D158" s="2" t="str">
        <f t="shared" si="5"/>
        <v>2z</v>
      </c>
      <c r="E158" s="136">
        <v>1</v>
      </c>
      <c r="F158" s="136">
        <v>0</v>
      </c>
      <c r="G158" s="136">
        <v>0</v>
      </c>
      <c r="H158" s="136">
        <v>1</v>
      </c>
      <c r="I158" s="136">
        <v>1</v>
      </c>
      <c r="J158" s="136">
        <v>0</v>
      </c>
      <c r="K158" s="136">
        <v>1</v>
      </c>
      <c r="L158" s="136">
        <v>1</v>
      </c>
      <c r="M158" s="4" t="s">
        <v>159</v>
      </c>
      <c r="N158" s="2" t="str">
        <f t="shared" si="4"/>
        <v>2z</v>
      </c>
    </row>
    <row r="159" spans="1:14" ht="15.75" x14ac:dyDescent="0.25">
      <c r="A159" s="2" t="s">
        <v>323</v>
      </c>
      <c r="B159" s="10">
        <v>156</v>
      </c>
      <c r="C159" s="8"/>
      <c r="D159" s="2" t="str">
        <f t="shared" si="5"/>
        <v>3A</v>
      </c>
      <c r="E159" s="136">
        <v>1</v>
      </c>
      <c r="F159" s="136">
        <v>0</v>
      </c>
      <c r="G159" s="136">
        <v>0</v>
      </c>
      <c r="H159" s="136">
        <v>1</v>
      </c>
      <c r="I159" s="136">
        <v>1</v>
      </c>
      <c r="J159" s="136">
        <v>1</v>
      </c>
      <c r="K159" s="136">
        <v>0</v>
      </c>
      <c r="L159" s="136">
        <v>0</v>
      </c>
      <c r="M159" s="4" t="s">
        <v>160</v>
      </c>
      <c r="N159" s="2" t="str">
        <f t="shared" si="4"/>
        <v>3A</v>
      </c>
    </row>
    <row r="160" spans="1:14" ht="15.75" x14ac:dyDescent="0.25">
      <c r="A160" s="2" t="s">
        <v>324</v>
      </c>
      <c r="B160" s="10">
        <v>157</v>
      </c>
      <c r="C160" s="8"/>
      <c r="D160" s="2" t="str">
        <f t="shared" si="5"/>
        <v>3B</v>
      </c>
      <c r="E160" s="136">
        <v>1</v>
      </c>
      <c r="F160" s="136">
        <v>0</v>
      </c>
      <c r="G160" s="136">
        <v>0</v>
      </c>
      <c r="H160" s="136">
        <v>1</v>
      </c>
      <c r="I160" s="136">
        <v>1</v>
      </c>
      <c r="J160" s="136">
        <v>1</v>
      </c>
      <c r="K160" s="136">
        <v>0</v>
      </c>
      <c r="L160" s="136">
        <v>1</v>
      </c>
      <c r="M160" s="4" t="s">
        <v>161</v>
      </c>
      <c r="N160" s="2" t="str">
        <f t="shared" si="4"/>
        <v>3B</v>
      </c>
    </row>
    <row r="161" spans="1:14" ht="15.75" x14ac:dyDescent="0.25">
      <c r="A161" s="2" t="s">
        <v>325</v>
      </c>
      <c r="B161" s="10">
        <v>158</v>
      </c>
      <c r="C161" s="8"/>
      <c r="D161" s="2" t="str">
        <f t="shared" si="5"/>
        <v>3C</v>
      </c>
      <c r="E161" s="136">
        <v>1</v>
      </c>
      <c r="F161" s="136">
        <v>0</v>
      </c>
      <c r="G161" s="136">
        <v>0</v>
      </c>
      <c r="H161" s="136">
        <v>1</v>
      </c>
      <c r="I161" s="136">
        <v>1</v>
      </c>
      <c r="J161" s="136">
        <v>1</v>
      </c>
      <c r="K161" s="136">
        <v>1</v>
      </c>
      <c r="L161" s="136">
        <v>0</v>
      </c>
      <c r="M161" s="4" t="s">
        <v>162</v>
      </c>
      <c r="N161" s="2" t="str">
        <f t="shared" si="4"/>
        <v>3C</v>
      </c>
    </row>
    <row r="162" spans="1:14" ht="15.75" x14ac:dyDescent="0.25">
      <c r="A162" s="2" t="s">
        <v>326</v>
      </c>
      <c r="B162" s="10">
        <v>159</v>
      </c>
      <c r="C162" s="8"/>
      <c r="D162" s="2" t="str">
        <f t="shared" si="5"/>
        <v>3D</v>
      </c>
      <c r="E162" s="136">
        <v>1</v>
      </c>
      <c r="F162" s="136">
        <v>0</v>
      </c>
      <c r="G162" s="136">
        <v>0</v>
      </c>
      <c r="H162" s="136">
        <v>1</v>
      </c>
      <c r="I162" s="136">
        <v>1</v>
      </c>
      <c r="J162" s="136">
        <v>1</v>
      </c>
      <c r="K162" s="136">
        <v>1</v>
      </c>
      <c r="L162" s="136">
        <v>1</v>
      </c>
      <c r="M162" s="4" t="s">
        <v>163</v>
      </c>
      <c r="N162" s="2" t="str">
        <f t="shared" si="4"/>
        <v>3D</v>
      </c>
    </row>
    <row r="163" spans="1:14" ht="15.75" x14ac:dyDescent="0.25">
      <c r="A163" s="2" t="s">
        <v>327</v>
      </c>
      <c r="B163" s="10">
        <v>160</v>
      </c>
      <c r="C163" s="8"/>
      <c r="D163" s="2" t="str">
        <f t="shared" si="5"/>
        <v>3E</v>
      </c>
      <c r="E163" s="136">
        <v>1</v>
      </c>
      <c r="F163" s="136">
        <v>0</v>
      </c>
      <c r="G163" s="136">
        <v>1</v>
      </c>
      <c r="H163" s="136">
        <v>0</v>
      </c>
      <c r="I163" s="136">
        <v>0</v>
      </c>
      <c r="J163" s="136">
        <v>0</v>
      </c>
      <c r="K163" s="136">
        <v>0</v>
      </c>
      <c r="L163" s="136">
        <v>0</v>
      </c>
      <c r="M163" s="4" t="s">
        <v>164</v>
      </c>
      <c r="N163" s="2" t="str">
        <f t="shared" si="4"/>
        <v>3E</v>
      </c>
    </row>
    <row r="164" spans="1:14" ht="15.75" x14ac:dyDescent="0.25">
      <c r="A164" s="2" t="s">
        <v>328</v>
      </c>
      <c r="B164" s="10">
        <v>161</v>
      </c>
      <c r="C164" s="8"/>
      <c r="D164" s="2" t="str">
        <f t="shared" si="5"/>
        <v>3F</v>
      </c>
      <c r="E164" s="136">
        <v>1</v>
      </c>
      <c r="F164" s="136">
        <v>0</v>
      </c>
      <c r="G164" s="136">
        <v>1</v>
      </c>
      <c r="H164" s="136">
        <v>0</v>
      </c>
      <c r="I164" s="136">
        <v>0</v>
      </c>
      <c r="J164" s="136">
        <v>0</v>
      </c>
      <c r="K164" s="136">
        <v>0</v>
      </c>
      <c r="L164" s="136">
        <v>1</v>
      </c>
      <c r="M164" s="4" t="s">
        <v>165</v>
      </c>
      <c r="N164" s="2" t="str">
        <f t="shared" si="4"/>
        <v>3F</v>
      </c>
    </row>
    <row r="165" spans="1:14" ht="15.75" x14ac:dyDescent="0.25">
      <c r="A165" s="2" t="s">
        <v>329</v>
      </c>
      <c r="B165" s="10">
        <v>162</v>
      </c>
      <c r="C165" s="8"/>
      <c r="D165" s="2" t="str">
        <f t="shared" si="5"/>
        <v>3G</v>
      </c>
      <c r="E165" s="136">
        <v>1</v>
      </c>
      <c r="F165" s="136">
        <v>0</v>
      </c>
      <c r="G165" s="136">
        <v>1</v>
      </c>
      <c r="H165" s="136">
        <v>0</v>
      </c>
      <c r="I165" s="136">
        <v>0</v>
      </c>
      <c r="J165" s="136">
        <v>0</v>
      </c>
      <c r="K165" s="136">
        <v>1</v>
      </c>
      <c r="L165" s="136">
        <v>0</v>
      </c>
      <c r="M165" s="4" t="s">
        <v>166</v>
      </c>
      <c r="N165" s="2" t="str">
        <f t="shared" si="4"/>
        <v>3G</v>
      </c>
    </row>
    <row r="166" spans="1:14" ht="15.75" x14ac:dyDescent="0.25">
      <c r="A166" s="2" t="s">
        <v>330</v>
      </c>
      <c r="B166" s="10">
        <v>163</v>
      </c>
      <c r="C166" s="8"/>
      <c r="D166" s="2" t="str">
        <f t="shared" si="5"/>
        <v>3H</v>
      </c>
      <c r="E166" s="136">
        <v>1</v>
      </c>
      <c r="F166" s="136">
        <v>0</v>
      </c>
      <c r="G166" s="136">
        <v>1</v>
      </c>
      <c r="H166" s="136">
        <v>0</v>
      </c>
      <c r="I166" s="136">
        <v>0</v>
      </c>
      <c r="J166" s="136">
        <v>0</v>
      </c>
      <c r="K166" s="136">
        <v>1</v>
      </c>
      <c r="L166" s="136">
        <v>1</v>
      </c>
      <c r="M166" s="4" t="s">
        <v>167</v>
      </c>
      <c r="N166" s="2" t="str">
        <f t="shared" si="4"/>
        <v>3H</v>
      </c>
    </row>
    <row r="167" spans="1:14" ht="15.75" x14ac:dyDescent="0.25">
      <c r="A167" s="2" t="s">
        <v>331</v>
      </c>
      <c r="B167" s="10">
        <v>164</v>
      </c>
      <c r="C167" s="8"/>
      <c r="D167" s="2" t="str">
        <f t="shared" si="5"/>
        <v>3I</v>
      </c>
      <c r="E167" s="136">
        <v>1</v>
      </c>
      <c r="F167" s="136">
        <v>0</v>
      </c>
      <c r="G167" s="136">
        <v>1</v>
      </c>
      <c r="H167" s="136">
        <v>0</v>
      </c>
      <c r="I167" s="136">
        <v>0</v>
      </c>
      <c r="J167" s="136">
        <v>1</v>
      </c>
      <c r="K167" s="136">
        <v>0</v>
      </c>
      <c r="L167" s="136">
        <v>0</v>
      </c>
      <c r="M167" s="4" t="s">
        <v>168</v>
      </c>
      <c r="N167" s="2" t="str">
        <f t="shared" si="4"/>
        <v>3I</v>
      </c>
    </row>
    <row r="168" spans="1:14" ht="15.75" x14ac:dyDescent="0.25">
      <c r="A168" s="2" t="s">
        <v>332</v>
      </c>
      <c r="B168" s="10">
        <v>165</v>
      </c>
      <c r="C168" s="8"/>
      <c r="D168" s="2" t="str">
        <f t="shared" si="5"/>
        <v>3J</v>
      </c>
      <c r="E168" s="136">
        <v>1</v>
      </c>
      <c r="F168" s="136">
        <v>0</v>
      </c>
      <c r="G168" s="136">
        <v>1</v>
      </c>
      <c r="H168" s="136">
        <v>0</v>
      </c>
      <c r="I168" s="136">
        <v>0</v>
      </c>
      <c r="J168" s="136">
        <v>1</v>
      </c>
      <c r="K168" s="136">
        <v>0</v>
      </c>
      <c r="L168" s="136">
        <v>1</v>
      </c>
      <c r="M168" s="4" t="s">
        <v>169</v>
      </c>
      <c r="N168" s="2" t="str">
        <f t="shared" si="4"/>
        <v>3J</v>
      </c>
    </row>
    <row r="169" spans="1:14" ht="15.75" x14ac:dyDescent="0.25">
      <c r="A169" s="2" t="s">
        <v>333</v>
      </c>
      <c r="B169" s="10">
        <v>166</v>
      </c>
      <c r="C169" s="8"/>
      <c r="D169" s="2" t="str">
        <f t="shared" si="5"/>
        <v>3K</v>
      </c>
      <c r="E169" s="136">
        <v>1</v>
      </c>
      <c r="F169" s="136">
        <v>0</v>
      </c>
      <c r="G169" s="136">
        <v>1</v>
      </c>
      <c r="H169" s="136">
        <v>0</v>
      </c>
      <c r="I169" s="136">
        <v>0</v>
      </c>
      <c r="J169" s="136">
        <v>1</v>
      </c>
      <c r="K169" s="136">
        <v>1</v>
      </c>
      <c r="L169" s="136">
        <v>0</v>
      </c>
      <c r="M169" s="4" t="s">
        <v>170</v>
      </c>
      <c r="N169" s="2" t="str">
        <f t="shared" si="4"/>
        <v>3K</v>
      </c>
    </row>
    <row r="170" spans="1:14" ht="15.75" x14ac:dyDescent="0.25">
      <c r="A170" s="2" t="s">
        <v>334</v>
      </c>
      <c r="B170" s="10">
        <v>167</v>
      </c>
      <c r="C170" s="8"/>
      <c r="D170" s="2" t="str">
        <f t="shared" si="5"/>
        <v>3L</v>
      </c>
      <c r="E170" s="136">
        <v>1</v>
      </c>
      <c r="F170" s="136">
        <v>0</v>
      </c>
      <c r="G170" s="136">
        <v>1</v>
      </c>
      <c r="H170" s="136">
        <v>0</v>
      </c>
      <c r="I170" s="136">
        <v>0</v>
      </c>
      <c r="J170" s="136">
        <v>1</v>
      </c>
      <c r="K170" s="136">
        <v>1</v>
      </c>
      <c r="L170" s="136">
        <v>1</v>
      </c>
      <c r="M170" s="4" t="s">
        <v>171</v>
      </c>
      <c r="N170" s="2" t="str">
        <f t="shared" si="4"/>
        <v>3L</v>
      </c>
    </row>
    <row r="171" spans="1:14" ht="15.75" x14ac:dyDescent="0.25">
      <c r="A171" s="2" t="s">
        <v>335</v>
      </c>
      <c r="B171" s="10">
        <v>168</v>
      </c>
      <c r="C171" s="8"/>
      <c r="D171" s="2" t="str">
        <f t="shared" si="5"/>
        <v>3M</v>
      </c>
      <c r="E171" s="136">
        <v>1</v>
      </c>
      <c r="F171" s="136">
        <v>0</v>
      </c>
      <c r="G171" s="136">
        <v>1</v>
      </c>
      <c r="H171" s="136">
        <v>0</v>
      </c>
      <c r="I171" s="136">
        <v>1</v>
      </c>
      <c r="J171" s="136">
        <v>0</v>
      </c>
      <c r="K171" s="136">
        <v>0</v>
      </c>
      <c r="L171" s="136">
        <v>0</v>
      </c>
      <c r="M171" s="4" t="s">
        <v>172</v>
      </c>
      <c r="N171" s="2" t="str">
        <f t="shared" si="4"/>
        <v>3M</v>
      </c>
    </row>
    <row r="172" spans="1:14" ht="15.75" x14ac:dyDescent="0.25">
      <c r="A172" s="2" t="s">
        <v>336</v>
      </c>
      <c r="B172" s="10">
        <v>169</v>
      </c>
      <c r="C172" s="8"/>
      <c r="D172" s="2" t="str">
        <f t="shared" si="5"/>
        <v>3N</v>
      </c>
      <c r="E172" s="136">
        <v>1</v>
      </c>
      <c r="F172" s="136">
        <v>0</v>
      </c>
      <c r="G172" s="136">
        <v>1</v>
      </c>
      <c r="H172" s="136">
        <v>0</v>
      </c>
      <c r="I172" s="136">
        <v>1</v>
      </c>
      <c r="J172" s="136">
        <v>0</v>
      </c>
      <c r="K172" s="136">
        <v>0</v>
      </c>
      <c r="L172" s="136">
        <v>1</v>
      </c>
      <c r="M172" s="4" t="s">
        <v>173</v>
      </c>
      <c r="N172" s="2" t="str">
        <f t="shared" si="4"/>
        <v>3N</v>
      </c>
    </row>
    <row r="173" spans="1:14" ht="15.75" x14ac:dyDescent="0.25">
      <c r="A173" s="2" t="s">
        <v>337</v>
      </c>
      <c r="B173" s="10">
        <v>170</v>
      </c>
      <c r="C173" s="8"/>
      <c r="D173" s="2" t="str">
        <f t="shared" si="5"/>
        <v>3O</v>
      </c>
      <c r="E173" s="136">
        <v>1</v>
      </c>
      <c r="F173" s="136">
        <v>0</v>
      </c>
      <c r="G173" s="136">
        <v>1</v>
      </c>
      <c r="H173" s="136">
        <v>0</v>
      </c>
      <c r="I173" s="136">
        <v>1</v>
      </c>
      <c r="J173" s="136">
        <v>0</v>
      </c>
      <c r="K173" s="136">
        <v>1</v>
      </c>
      <c r="L173" s="136">
        <v>0</v>
      </c>
      <c r="M173" s="4" t="s">
        <v>174</v>
      </c>
      <c r="N173" s="2" t="str">
        <f t="shared" si="4"/>
        <v>3O</v>
      </c>
    </row>
    <row r="174" spans="1:14" ht="15.75" x14ac:dyDescent="0.25">
      <c r="A174" s="2" t="s">
        <v>338</v>
      </c>
      <c r="B174" s="10">
        <v>171</v>
      </c>
      <c r="C174" s="8"/>
      <c r="D174" s="2" t="str">
        <f t="shared" si="5"/>
        <v>3P</v>
      </c>
      <c r="E174" s="136">
        <v>1</v>
      </c>
      <c r="F174" s="136">
        <v>0</v>
      </c>
      <c r="G174" s="136">
        <v>1</v>
      </c>
      <c r="H174" s="136">
        <v>0</v>
      </c>
      <c r="I174" s="136">
        <v>1</v>
      </c>
      <c r="J174" s="136">
        <v>0</v>
      </c>
      <c r="K174" s="136">
        <v>1</v>
      </c>
      <c r="L174" s="136">
        <v>1</v>
      </c>
      <c r="M174" s="4" t="s">
        <v>175</v>
      </c>
      <c r="N174" s="2" t="str">
        <f t="shared" si="4"/>
        <v>3P</v>
      </c>
    </row>
    <row r="175" spans="1:14" ht="15.75" x14ac:dyDescent="0.25">
      <c r="A175" s="2" t="s">
        <v>339</v>
      </c>
      <c r="B175" s="10">
        <v>172</v>
      </c>
      <c r="C175" s="8"/>
      <c r="D175" s="2" t="str">
        <f t="shared" si="5"/>
        <v>3Q</v>
      </c>
      <c r="E175" s="136">
        <v>1</v>
      </c>
      <c r="F175" s="136">
        <v>0</v>
      </c>
      <c r="G175" s="136">
        <v>1</v>
      </c>
      <c r="H175" s="136">
        <v>0</v>
      </c>
      <c r="I175" s="136">
        <v>1</v>
      </c>
      <c r="J175" s="136">
        <v>1</v>
      </c>
      <c r="K175" s="136">
        <v>0</v>
      </c>
      <c r="L175" s="136">
        <v>0</v>
      </c>
      <c r="M175" s="4" t="s">
        <v>176</v>
      </c>
      <c r="N175" s="2" t="str">
        <f t="shared" si="4"/>
        <v>3Q</v>
      </c>
    </row>
    <row r="176" spans="1:14" ht="15.75" x14ac:dyDescent="0.25">
      <c r="A176" s="2" t="s">
        <v>340</v>
      </c>
      <c r="B176" s="10">
        <v>173</v>
      </c>
      <c r="C176" s="8"/>
      <c r="D176" s="2" t="str">
        <f t="shared" si="5"/>
        <v>3R</v>
      </c>
      <c r="E176" s="136">
        <v>1</v>
      </c>
      <c r="F176" s="136">
        <v>0</v>
      </c>
      <c r="G176" s="136">
        <v>1</v>
      </c>
      <c r="H176" s="136">
        <v>0</v>
      </c>
      <c r="I176" s="136">
        <v>1</v>
      </c>
      <c r="J176" s="136">
        <v>1</v>
      </c>
      <c r="K176" s="136">
        <v>0</v>
      </c>
      <c r="L176" s="136">
        <v>1</v>
      </c>
      <c r="M176" s="4" t="s">
        <v>177</v>
      </c>
      <c r="N176" s="2" t="str">
        <f t="shared" si="4"/>
        <v>3R</v>
      </c>
    </row>
    <row r="177" spans="1:14" ht="15.75" x14ac:dyDescent="0.25">
      <c r="A177" s="2" t="s">
        <v>341</v>
      </c>
      <c r="B177" s="10">
        <v>174</v>
      </c>
      <c r="C177" s="8"/>
      <c r="D177" s="2" t="str">
        <f t="shared" si="5"/>
        <v>3S</v>
      </c>
      <c r="E177" s="136">
        <v>1</v>
      </c>
      <c r="F177" s="136">
        <v>0</v>
      </c>
      <c r="G177" s="136">
        <v>1</v>
      </c>
      <c r="H177" s="136">
        <v>0</v>
      </c>
      <c r="I177" s="136">
        <v>1</v>
      </c>
      <c r="J177" s="136">
        <v>1</v>
      </c>
      <c r="K177" s="136">
        <v>1</v>
      </c>
      <c r="L177" s="136">
        <v>0</v>
      </c>
      <c r="M177" s="4" t="s">
        <v>178</v>
      </c>
      <c r="N177" s="2" t="str">
        <f t="shared" si="4"/>
        <v>3S</v>
      </c>
    </row>
    <row r="178" spans="1:14" ht="15.75" x14ac:dyDescent="0.25">
      <c r="A178" s="2" t="s">
        <v>342</v>
      </c>
      <c r="B178" s="10">
        <v>175</v>
      </c>
      <c r="C178" s="8"/>
      <c r="D178" s="2" t="str">
        <f t="shared" si="5"/>
        <v>3T</v>
      </c>
      <c r="E178" s="136">
        <v>1</v>
      </c>
      <c r="F178" s="136">
        <v>0</v>
      </c>
      <c r="G178" s="136">
        <v>1</v>
      </c>
      <c r="H178" s="136">
        <v>0</v>
      </c>
      <c r="I178" s="136">
        <v>1</v>
      </c>
      <c r="J178" s="136">
        <v>1</v>
      </c>
      <c r="K178" s="136">
        <v>1</v>
      </c>
      <c r="L178" s="136">
        <v>1</v>
      </c>
      <c r="M178" s="4" t="s">
        <v>179</v>
      </c>
      <c r="N178" s="2" t="str">
        <f t="shared" si="4"/>
        <v>3T</v>
      </c>
    </row>
    <row r="179" spans="1:14" ht="15.75" x14ac:dyDescent="0.25">
      <c r="A179" s="2" t="s">
        <v>343</v>
      </c>
      <c r="B179" s="10">
        <v>176</v>
      </c>
      <c r="C179" s="8"/>
      <c r="D179" s="2" t="str">
        <f t="shared" si="5"/>
        <v>3U</v>
      </c>
      <c r="E179" s="136">
        <v>1</v>
      </c>
      <c r="F179" s="136">
        <v>0</v>
      </c>
      <c r="G179" s="136">
        <v>1</v>
      </c>
      <c r="H179" s="136">
        <v>1</v>
      </c>
      <c r="I179" s="136">
        <v>0</v>
      </c>
      <c r="J179" s="136">
        <v>0</v>
      </c>
      <c r="K179" s="136">
        <v>0</v>
      </c>
      <c r="L179" s="136">
        <v>0</v>
      </c>
      <c r="M179" s="4" t="s">
        <v>180</v>
      </c>
      <c r="N179" s="2" t="str">
        <f t="shared" si="4"/>
        <v>3U</v>
      </c>
    </row>
    <row r="180" spans="1:14" ht="15.75" x14ac:dyDescent="0.25">
      <c r="A180" s="2" t="s">
        <v>344</v>
      </c>
      <c r="B180" s="10">
        <v>177</v>
      </c>
      <c r="C180" s="8"/>
      <c r="D180" s="2" t="str">
        <f t="shared" si="5"/>
        <v>3V</v>
      </c>
      <c r="E180" s="136">
        <v>1</v>
      </c>
      <c r="F180" s="136">
        <v>0</v>
      </c>
      <c r="G180" s="136">
        <v>1</v>
      </c>
      <c r="H180" s="136">
        <v>1</v>
      </c>
      <c r="I180" s="136">
        <v>0</v>
      </c>
      <c r="J180" s="136">
        <v>0</v>
      </c>
      <c r="K180" s="136">
        <v>0</v>
      </c>
      <c r="L180" s="136">
        <v>1</v>
      </c>
      <c r="M180" s="4" t="s">
        <v>181</v>
      </c>
      <c r="N180" s="2" t="str">
        <f t="shared" si="4"/>
        <v>3V</v>
      </c>
    </row>
    <row r="181" spans="1:14" ht="15.75" x14ac:dyDescent="0.25">
      <c r="A181" s="2" t="s">
        <v>345</v>
      </c>
      <c r="B181" s="10">
        <v>178</v>
      </c>
      <c r="C181" s="8"/>
      <c r="D181" s="2" t="str">
        <f t="shared" si="5"/>
        <v>3W</v>
      </c>
      <c r="E181" s="136">
        <v>1</v>
      </c>
      <c r="F181" s="136">
        <v>0</v>
      </c>
      <c r="G181" s="136">
        <v>1</v>
      </c>
      <c r="H181" s="136">
        <v>1</v>
      </c>
      <c r="I181" s="136">
        <v>0</v>
      </c>
      <c r="J181" s="136">
        <v>0</v>
      </c>
      <c r="K181" s="136">
        <v>1</v>
      </c>
      <c r="L181" s="136">
        <v>0</v>
      </c>
      <c r="M181" s="4" t="s">
        <v>182</v>
      </c>
      <c r="N181" s="2" t="str">
        <f t="shared" si="4"/>
        <v>3W</v>
      </c>
    </row>
    <row r="182" spans="1:14" ht="15.75" x14ac:dyDescent="0.25">
      <c r="A182" s="2" t="s">
        <v>346</v>
      </c>
      <c r="B182" s="10">
        <v>179</v>
      </c>
      <c r="C182" s="8"/>
      <c r="D182" s="2" t="str">
        <f t="shared" si="5"/>
        <v>3X</v>
      </c>
      <c r="E182" s="136">
        <v>1</v>
      </c>
      <c r="F182" s="136">
        <v>0</v>
      </c>
      <c r="G182" s="136">
        <v>1</v>
      </c>
      <c r="H182" s="136">
        <v>1</v>
      </c>
      <c r="I182" s="136">
        <v>0</v>
      </c>
      <c r="J182" s="136">
        <v>0</v>
      </c>
      <c r="K182" s="136">
        <v>1</v>
      </c>
      <c r="L182" s="136">
        <v>1</v>
      </c>
      <c r="M182" s="4" t="s">
        <v>183</v>
      </c>
      <c r="N182" s="2" t="str">
        <f t="shared" si="4"/>
        <v>3X</v>
      </c>
    </row>
    <row r="183" spans="1:14" ht="15.75" x14ac:dyDescent="0.25">
      <c r="A183" s="2" t="s">
        <v>347</v>
      </c>
      <c r="B183" s="10">
        <v>180</v>
      </c>
      <c r="C183" s="8"/>
      <c r="D183" s="2" t="str">
        <f t="shared" si="5"/>
        <v>3Y</v>
      </c>
      <c r="E183" s="136">
        <v>1</v>
      </c>
      <c r="F183" s="136">
        <v>0</v>
      </c>
      <c r="G183" s="136">
        <v>1</v>
      </c>
      <c r="H183" s="136">
        <v>1</v>
      </c>
      <c r="I183" s="136">
        <v>0</v>
      </c>
      <c r="J183" s="136">
        <v>1</v>
      </c>
      <c r="K183" s="136">
        <v>0</v>
      </c>
      <c r="L183" s="136">
        <v>0</v>
      </c>
      <c r="M183" s="4" t="s">
        <v>184</v>
      </c>
      <c r="N183" s="2" t="str">
        <f t="shared" si="4"/>
        <v>3Y</v>
      </c>
    </row>
    <row r="184" spans="1:14" ht="15.75" x14ac:dyDescent="0.25">
      <c r="A184" s="2" t="s">
        <v>348</v>
      </c>
      <c r="B184" s="10">
        <v>181</v>
      </c>
      <c r="C184" s="8"/>
      <c r="D184" s="2" t="str">
        <f t="shared" si="5"/>
        <v>3Z</v>
      </c>
      <c r="E184" s="136">
        <v>1</v>
      </c>
      <c r="F184" s="136">
        <v>0</v>
      </c>
      <c r="G184" s="136">
        <v>1</v>
      </c>
      <c r="H184" s="136">
        <v>1</v>
      </c>
      <c r="I184" s="136">
        <v>0</v>
      </c>
      <c r="J184" s="136">
        <v>1</v>
      </c>
      <c r="K184" s="136">
        <v>0</v>
      </c>
      <c r="L184" s="136">
        <v>1</v>
      </c>
      <c r="M184" s="4" t="s">
        <v>185</v>
      </c>
      <c r="N184" s="2" t="str">
        <f t="shared" si="4"/>
        <v>3Z</v>
      </c>
    </row>
    <row r="185" spans="1:14" ht="15.75" x14ac:dyDescent="0.25">
      <c r="A185" s="18" t="s">
        <v>479</v>
      </c>
      <c r="B185" s="10">
        <v>182</v>
      </c>
      <c r="C185" s="8"/>
      <c r="D185" s="2" t="str">
        <f t="shared" si="5"/>
        <v>3a</v>
      </c>
      <c r="E185" s="136">
        <v>1</v>
      </c>
      <c r="F185" s="136">
        <v>0</v>
      </c>
      <c r="G185" s="136">
        <v>1</v>
      </c>
      <c r="H185" s="136">
        <v>1</v>
      </c>
      <c r="I185" s="136">
        <v>0</v>
      </c>
      <c r="J185" s="136">
        <v>1</v>
      </c>
      <c r="K185" s="136">
        <v>1</v>
      </c>
      <c r="L185" s="136">
        <v>0</v>
      </c>
      <c r="M185" s="4" t="s">
        <v>186</v>
      </c>
      <c r="N185" s="2" t="str">
        <f t="shared" si="4"/>
        <v>3a</v>
      </c>
    </row>
    <row r="186" spans="1:14" ht="15.75" x14ac:dyDescent="0.25">
      <c r="A186" s="18" t="s">
        <v>480</v>
      </c>
      <c r="B186" s="10">
        <v>183</v>
      </c>
      <c r="C186" s="8"/>
      <c r="D186" s="2" t="str">
        <f t="shared" si="5"/>
        <v>3b</v>
      </c>
      <c r="E186" s="136">
        <v>1</v>
      </c>
      <c r="F186" s="136">
        <v>0</v>
      </c>
      <c r="G186" s="136">
        <v>1</v>
      </c>
      <c r="H186" s="136">
        <v>1</v>
      </c>
      <c r="I186" s="136">
        <v>0</v>
      </c>
      <c r="J186" s="136">
        <v>1</v>
      </c>
      <c r="K186" s="136">
        <v>1</v>
      </c>
      <c r="L186" s="136">
        <v>1</v>
      </c>
      <c r="M186" s="4" t="s">
        <v>187</v>
      </c>
      <c r="N186" s="2" t="str">
        <f t="shared" si="4"/>
        <v>3b</v>
      </c>
    </row>
    <row r="187" spans="1:14" ht="15.75" x14ac:dyDescent="0.25">
      <c r="A187" s="18" t="s">
        <v>481</v>
      </c>
      <c r="B187" s="10">
        <v>184</v>
      </c>
      <c r="C187" s="8"/>
      <c r="D187" s="2" t="str">
        <f t="shared" si="5"/>
        <v>3c</v>
      </c>
      <c r="E187" s="136">
        <v>1</v>
      </c>
      <c r="F187" s="136">
        <v>0</v>
      </c>
      <c r="G187" s="136">
        <v>1</v>
      </c>
      <c r="H187" s="136">
        <v>1</v>
      </c>
      <c r="I187" s="136">
        <v>1</v>
      </c>
      <c r="J187" s="136">
        <v>0</v>
      </c>
      <c r="K187" s="136">
        <v>0</v>
      </c>
      <c r="L187" s="136">
        <v>0</v>
      </c>
      <c r="M187" s="4" t="s">
        <v>188</v>
      </c>
      <c r="N187" s="2" t="str">
        <f t="shared" si="4"/>
        <v>3c</v>
      </c>
    </row>
    <row r="188" spans="1:14" ht="15.75" x14ac:dyDescent="0.25">
      <c r="A188" s="18" t="s">
        <v>482</v>
      </c>
      <c r="B188" s="10">
        <v>185</v>
      </c>
      <c r="C188" s="8"/>
      <c r="D188" s="2" t="str">
        <f t="shared" si="5"/>
        <v>3d</v>
      </c>
      <c r="E188" s="136">
        <v>1</v>
      </c>
      <c r="F188" s="136">
        <v>0</v>
      </c>
      <c r="G188" s="136">
        <v>1</v>
      </c>
      <c r="H188" s="136">
        <v>1</v>
      </c>
      <c r="I188" s="136">
        <v>1</v>
      </c>
      <c r="J188" s="136">
        <v>0</v>
      </c>
      <c r="K188" s="136">
        <v>0</v>
      </c>
      <c r="L188" s="136">
        <v>1</v>
      </c>
      <c r="M188" s="4" t="s">
        <v>189</v>
      </c>
      <c r="N188" s="2" t="str">
        <f t="shared" si="4"/>
        <v>3d</v>
      </c>
    </row>
    <row r="189" spans="1:14" ht="15.75" x14ac:dyDescent="0.25">
      <c r="A189" s="18" t="s">
        <v>483</v>
      </c>
      <c r="B189" s="10">
        <v>186</v>
      </c>
      <c r="C189" s="8"/>
      <c r="D189" s="2" t="str">
        <f t="shared" si="5"/>
        <v>3e</v>
      </c>
      <c r="E189" s="136">
        <v>1</v>
      </c>
      <c r="F189" s="136">
        <v>0</v>
      </c>
      <c r="G189" s="136">
        <v>1</v>
      </c>
      <c r="H189" s="136">
        <v>1</v>
      </c>
      <c r="I189" s="136">
        <v>1</v>
      </c>
      <c r="J189" s="136">
        <v>0</v>
      </c>
      <c r="K189" s="136">
        <v>1</v>
      </c>
      <c r="L189" s="136">
        <v>0</v>
      </c>
      <c r="M189" s="4" t="s">
        <v>190</v>
      </c>
      <c r="N189" s="2" t="str">
        <f t="shared" si="4"/>
        <v>3e</v>
      </c>
    </row>
    <row r="190" spans="1:14" ht="15.75" x14ac:dyDescent="0.25">
      <c r="A190" s="18" t="s">
        <v>484</v>
      </c>
      <c r="B190" s="10">
        <v>187</v>
      </c>
      <c r="C190" s="8"/>
      <c r="D190" s="2" t="str">
        <f t="shared" si="5"/>
        <v>3f</v>
      </c>
      <c r="E190" s="136">
        <v>1</v>
      </c>
      <c r="F190" s="136">
        <v>0</v>
      </c>
      <c r="G190" s="136">
        <v>1</v>
      </c>
      <c r="H190" s="136">
        <v>1</v>
      </c>
      <c r="I190" s="136">
        <v>1</v>
      </c>
      <c r="J190" s="136">
        <v>0</v>
      </c>
      <c r="K190" s="136">
        <v>1</v>
      </c>
      <c r="L190" s="136">
        <v>1</v>
      </c>
      <c r="M190" s="4" t="s">
        <v>191</v>
      </c>
      <c r="N190" s="2" t="str">
        <f t="shared" si="4"/>
        <v>3f</v>
      </c>
    </row>
    <row r="191" spans="1:14" ht="15.75" x14ac:dyDescent="0.25">
      <c r="A191" s="18" t="s">
        <v>485</v>
      </c>
      <c r="B191" s="10">
        <v>188</v>
      </c>
      <c r="C191" s="8"/>
      <c r="D191" s="2" t="str">
        <f t="shared" si="5"/>
        <v>3g</v>
      </c>
      <c r="E191" s="136">
        <v>1</v>
      </c>
      <c r="F191" s="136">
        <v>0</v>
      </c>
      <c r="G191" s="136">
        <v>1</v>
      </c>
      <c r="H191" s="136">
        <v>1</v>
      </c>
      <c r="I191" s="136">
        <v>1</v>
      </c>
      <c r="J191" s="136">
        <v>1</v>
      </c>
      <c r="K191" s="136">
        <v>0</v>
      </c>
      <c r="L191" s="136">
        <v>0</v>
      </c>
      <c r="M191" s="4" t="s">
        <v>192</v>
      </c>
      <c r="N191" s="2" t="str">
        <f t="shared" si="4"/>
        <v>3g</v>
      </c>
    </row>
    <row r="192" spans="1:14" ht="15.75" x14ac:dyDescent="0.25">
      <c r="A192" s="18" t="s">
        <v>486</v>
      </c>
      <c r="B192" s="10">
        <v>189</v>
      </c>
      <c r="C192" s="8"/>
      <c r="D192" s="2" t="str">
        <f t="shared" si="5"/>
        <v>3h</v>
      </c>
      <c r="E192" s="136">
        <v>1</v>
      </c>
      <c r="F192" s="136">
        <v>0</v>
      </c>
      <c r="G192" s="136">
        <v>1</v>
      </c>
      <c r="H192" s="136">
        <v>1</v>
      </c>
      <c r="I192" s="136">
        <v>1</v>
      </c>
      <c r="J192" s="136">
        <v>1</v>
      </c>
      <c r="K192" s="136">
        <v>0</v>
      </c>
      <c r="L192" s="136">
        <v>1</v>
      </c>
      <c r="M192" s="4" t="s">
        <v>193</v>
      </c>
      <c r="N192" s="2" t="str">
        <f t="shared" si="4"/>
        <v>3h</v>
      </c>
    </row>
    <row r="193" spans="1:14" ht="15.75" x14ac:dyDescent="0.25">
      <c r="A193" s="18" t="s">
        <v>487</v>
      </c>
      <c r="B193" s="10">
        <v>190</v>
      </c>
      <c r="C193" s="8"/>
      <c r="D193" s="2" t="str">
        <f t="shared" si="5"/>
        <v>3i</v>
      </c>
      <c r="E193" s="136">
        <v>1</v>
      </c>
      <c r="F193" s="136">
        <v>0</v>
      </c>
      <c r="G193" s="136">
        <v>1</v>
      </c>
      <c r="H193" s="136">
        <v>1</v>
      </c>
      <c r="I193" s="136">
        <v>1</v>
      </c>
      <c r="J193" s="136">
        <v>1</v>
      </c>
      <c r="K193" s="136">
        <v>1</v>
      </c>
      <c r="L193" s="136">
        <v>0</v>
      </c>
      <c r="M193" s="4" t="s">
        <v>194</v>
      </c>
      <c r="N193" s="2" t="str">
        <f t="shared" si="4"/>
        <v>3i</v>
      </c>
    </row>
    <row r="194" spans="1:14" ht="15.75" x14ac:dyDescent="0.25">
      <c r="A194" s="18" t="s">
        <v>488</v>
      </c>
      <c r="B194" s="10">
        <v>191</v>
      </c>
      <c r="C194" s="8"/>
      <c r="D194" s="2" t="str">
        <f t="shared" si="5"/>
        <v>3j</v>
      </c>
      <c r="E194" s="136">
        <v>1</v>
      </c>
      <c r="F194" s="136">
        <v>0</v>
      </c>
      <c r="G194" s="136">
        <v>1</v>
      </c>
      <c r="H194" s="136">
        <v>1</v>
      </c>
      <c r="I194" s="136">
        <v>1</v>
      </c>
      <c r="J194" s="136">
        <v>1</v>
      </c>
      <c r="K194" s="136">
        <v>1</v>
      </c>
      <c r="L194" s="136">
        <v>1</v>
      </c>
      <c r="M194" s="4" t="s">
        <v>195</v>
      </c>
      <c r="N194" s="2" t="str">
        <f t="shared" si="4"/>
        <v>3j</v>
      </c>
    </row>
    <row r="195" spans="1:14" ht="15.75" x14ac:dyDescent="0.25">
      <c r="A195" s="18" t="s">
        <v>489</v>
      </c>
      <c r="B195" s="10">
        <v>192</v>
      </c>
      <c r="C195" s="8"/>
      <c r="D195" s="2" t="str">
        <f t="shared" si="5"/>
        <v>3k</v>
      </c>
      <c r="E195" s="136">
        <v>1</v>
      </c>
      <c r="F195" s="136">
        <v>1</v>
      </c>
      <c r="G195" s="136">
        <v>0</v>
      </c>
      <c r="H195" s="136">
        <v>0</v>
      </c>
      <c r="I195" s="136">
        <v>0</v>
      </c>
      <c r="J195" s="136">
        <v>0</v>
      </c>
      <c r="K195" s="136">
        <v>0</v>
      </c>
      <c r="L195" s="136">
        <v>0</v>
      </c>
      <c r="M195" s="4" t="s">
        <v>196</v>
      </c>
      <c r="N195" s="2" t="str">
        <f t="shared" si="4"/>
        <v>3k</v>
      </c>
    </row>
    <row r="196" spans="1:14" ht="15.75" x14ac:dyDescent="0.25">
      <c r="A196" s="18" t="s">
        <v>490</v>
      </c>
      <c r="B196" s="10">
        <v>193</v>
      </c>
      <c r="C196" s="8"/>
      <c r="D196" s="2" t="str">
        <f t="shared" si="5"/>
        <v>3l</v>
      </c>
      <c r="E196" s="136">
        <v>1</v>
      </c>
      <c r="F196" s="136">
        <v>1</v>
      </c>
      <c r="G196" s="136">
        <v>0</v>
      </c>
      <c r="H196" s="136">
        <v>0</v>
      </c>
      <c r="I196" s="136">
        <v>0</v>
      </c>
      <c r="J196" s="136">
        <v>0</v>
      </c>
      <c r="K196" s="136">
        <v>0</v>
      </c>
      <c r="L196" s="136">
        <v>1</v>
      </c>
      <c r="M196" s="4" t="s">
        <v>197</v>
      </c>
      <c r="N196" s="2" t="str">
        <f t="shared" ref="N196:N258" si="6">A196</f>
        <v>3l</v>
      </c>
    </row>
    <row r="197" spans="1:14" ht="15.75" x14ac:dyDescent="0.25">
      <c r="A197" s="18" t="s">
        <v>491</v>
      </c>
      <c r="B197" s="10">
        <v>194</v>
      </c>
      <c r="C197" s="8"/>
      <c r="D197" s="2" t="str">
        <f t="shared" ref="D197:D258" si="7">A197</f>
        <v>3m</v>
      </c>
      <c r="E197" s="136">
        <v>1</v>
      </c>
      <c r="F197" s="136">
        <v>1</v>
      </c>
      <c r="G197" s="136">
        <v>0</v>
      </c>
      <c r="H197" s="136">
        <v>0</v>
      </c>
      <c r="I197" s="136">
        <v>0</v>
      </c>
      <c r="J197" s="136">
        <v>0</v>
      </c>
      <c r="K197" s="136">
        <v>1</v>
      </c>
      <c r="L197" s="136">
        <v>0</v>
      </c>
      <c r="M197" s="4" t="s">
        <v>198</v>
      </c>
      <c r="N197" s="2" t="str">
        <f t="shared" si="6"/>
        <v>3m</v>
      </c>
    </row>
    <row r="198" spans="1:14" ht="15.75" x14ac:dyDescent="0.25">
      <c r="A198" s="18" t="s">
        <v>492</v>
      </c>
      <c r="B198" s="10">
        <v>195</v>
      </c>
      <c r="C198" s="8"/>
      <c r="D198" s="2" t="str">
        <f t="shared" si="7"/>
        <v>3n</v>
      </c>
      <c r="E198" s="136">
        <v>1</v>
      </c>
      <c r="F198" s="136">
        <v>1</v>
      </c>
      <c r="G198" s="136">
        <v>0</v>
      </c>
      <c r="H198" s="136">
        <v>0</v>
      </c>
      <c r="I198" s="136">
        <v>0</v>
      </c>
      <c r="J198" s="136">
        <v>0</v>
      </c>
      <c r="K198" s="136">
        <v>1</v>
      </c>
      <c r="L198" s="136">
        <v>1</v>
      </c>
      <c r="M198" s="4" t="s">
        <v>199</v>
      </c>
      <c r="N198" s="2" t="str">
        <f t="shared" si="6"/>
        <v>3n</v>
      </c>
    </row>
    <row r="199" spans="1:14" ht="15.75" x14ac:dyDescent="0.25">
      <c r="A199" s="18" t="s">
        <v>493</v>
      </c>
      <c r="B199" s="10">
        <v>196</v>
      </c>
      <c r="C199" s="8"/>
      <c r="D199" s="2" t="str">
        <f t="shared" si="7"/>
        <v>3o</v>
      </c>
      <c r="E199" s="136">
        <v>1</v>
      </c>
      <c r="F199" s="136">
        <v>1</v>
      </c>
      <c r="G199" s="136">
        <v>0</v>
      </c>
      <c r="H199" s="136">
        <v>0</v>
      </c>
      <c r="I199" s="136">
        <v>0</v>
      </c>
      <c r="J199" s="136">
        <v>1</v>
      </c>
      <c r="K199" s="136">
        <v>0</v>
      </c>
      <c r="L199" s="136">
        <v>0</v>
      </c>
      <c r="M199" s="4" t="s">
        <v>200</v>
      </c>
      <c r="N199" s="2" t="str">
        <f t="shared" si="6"/>
        <v>3o</v>
      </c>
    </row>
    <row r="200" spans="1:14" ht="15.75" x14ac:dyDescent="0.25">
      <c r="A200" s="18" t="s">
        <v>494</v>
      </c>
      <c r="B200" s="10">
        <v>197</v>
      </c>
      <c r="C200" s="8"/>
      <c r="D200" s="2" t="str">
        <f t="shared" si="7"/>
        <v>3p</v>
      </c>
      <c r="E200" s="136">
        <v>1</v>
      </c>
      <c r="F200" s="136">
        <v>1</v>
      </c>
      <c r="G200" s="136">
        <v>0</v>
      </c>
      <c r="H200" s="136">
        <v>0</v>
      </c>
      <c r="I200" s="136">
        <v>0</v>
      </c>
      <c r="J200" s="136">
        <v>1</v>
      </c>
      <c r="K200" s="136">
        <v>0</v>
      </c>
      <c r="L200" s="136">
        <v>1</v>
      </c>
      <c r="M200" s="4" t="s">
        <v>201</v>
      </c>
      <c r="N200" s="2" t="str">
        <f t="shared" si="6"/>
        <v>3p</v>
      </c>
    </row>
    <row r="201" spans="1:14" ht="15.75" x14ac:dyDescent="0.25">
      <c r="A201" s="18" t="s">
        <v>495</v>
      </c>
      <c r="B201" s="10">
        <v>198</v>
      </c>
      <c r="C201" s="8"/>
      <c r="D201" s="2" t="str">
        <f t="shared" si="7"/>
        <v>3q</v>
      </c>
      <c r="E201" s="136">
        <v>1</v>
      </c>
      <c r="F201" s="136">
        <v>1</v>
      </c>
      <c r="G201" s="136">
        <v>0</v>
      </c>
      <c r="H201" s="136">
        <v>0</v>
      </c>
      <c r="I201" s="136">
        <v>0</v>
      </c>
      <c r="J201" s="136">
        <v>1</v>
      </c>
      <c r="K201" s="136">
        <v>1</v>
      </c>
      <c r="L201" s="136">
        <v>0</v>
      </c>
      <c r="M201" s="4" t="s">
        <v>202</v>
      </c>
      <c r="N201" s="2" t="str">
        <f t="shared" si="6"/>
        <v>3q</v>
      </c>
    </row>
    <row r="202" spans="1:14" ht="15.75" x14ac:dyDescent="0.25">
      <c r="A202" s="18" t="s">
        <v>496</v>
      </c>
      <c r="B202" s="10">
        <v>199</v>
      </c>
      <c r="C202" s="8"/>
      <c r="D202" s="2" t="str">
        <f t="shared" si="7"/>
        <v>3r</v>
      </c>
      <c r="E202" s="136">
        <v>1</v>
      </c>
      <c r="F202" s="136">
        <v>1</v>
      </c>
      <c r="G202" s="136">
        <v>0</v>
      </c>
      <c r="H202" s="136">
        <v>0</v>
      </c>
      <c r="I202" s="136">
        <v>0</v>
      </c>
      <c r="J202" s="136">
        <v>1</v>
      </c>
      <c r="K202" s="136">
        <v>1</v>
      </c>
      <c r="L202" s="136">
        <v>1</v>
      </c>
      <c r="M202" s="4" t="s">
        <v>203</v>
      </c>
      <c r="N202" s="2" t="str">
        <f t="shared" si="6"/>
        <v>3r</v>
      </c>
    </row>
    <row r="203" spans="1:14" ht="15.75" x14ac:dyDescent="0.25">
      <c r="A203" s="18" t="s">
        <v>497</v>
      </c>
      <c r="B203" s="10">
        <v>200</v>
      </c>
      <c r="C203" s="8"/>
      <c r="D203" s="2" t="str">
        <f t="shared" si="7"/>
        <v>3s</v>
      </c>
      <c r="E203" s="136">
        <v>1</v>
      </c>
      <c r="F203" s="136">
        <v>1</v>
      </c>
      <c r="G203" s="136">
        <v>0</v>
      </c>
      <c r="H203" s="136">
        <v>0</v>
      </c>
      <c r="I203" s="136">
        <v>1</v>
      </c>
      <c r="J203" s="136">
        <v>0</v>
      </c>
      <c r="K203" s="136">
        <v>0</v>
      </c>
      <c r="L203" s="136">
        <v>0</v>
      </c>
      <c r="M203" s="4" t="s">
        <v>204</v>
      </c>
      <c r="N203" s="2" t="str">
        <f t="shared" si="6"/>
        <v>3s</v>
      </c>
    </row>
    <row r="204" spans="1:14" ht="15.75" x14ac:dyDescent="0.25">
      <c r="A204" s="18" t="s">
        <v>498</v>
      </c>
      <c r="B204" s="10">
        <v>201</v>
      </c>
      <c r="C204" s="8"/>
      <c r="D204" s="2" t="str">
        <f t="shared" si="7"/>
        <v>3t</v>
      </c>
      <c r="E204" s="136">
        <v>1</v>
      </c>
      <c r="F204" s="136">
        <v>1</v>
      </c>
      <c r="G204" s="136">
        <v>0</v>
      </c>
      <c r="H204" s="136">
        <v>0</v>
      </c>
      <c r="I204" s="136">
        <v>1</v>
      </c>
      <c r="J204" s="136">
        <v>0</v>
      </c>
      <c r="K204" s="136">
        <v>0</v>
      </c>
      <c r="L204" s="136">
        <v>1</v>
      </c>
      <c r="M204" s="4" t="s">
        <v>205</v>
      </c>
      <c r="N204" s="2" t="str">
        <f t="shared" si="6"/>
        <v>3t</v>
      </c>
    </row>
    <row r="205" spans="1:14" ht="15.75" x14ac:dyDescent="0.25">
      <c r="A205" s="18" t="s">
        <v>499</v>
      </c>
      <c r="B205" s="10">
        <v>202</v>
      </c>
      <c r="C205" s="8"/>
      <c r="D205" s="2" t="str">
        <f t="shared" si="7"/>
        <v>3u</v>
      </c>
      <c r="E205" s="136">
        <v>1</v>
      </c>
      <c r="F205" s="136">
        <v>1</v>
      </c>
      <c r="G205" s="136">
        <v>0</v>
      </c>
      <c r="H205" s="136">
        <v>0</v>
      </c>
      <c r="I205" s="136">
        <v>1</v>
      </c>
      <c r="J205" s="136">
        <v>0</v>
      </c>
      <c r="K205" s="136">
        <v>1</v>
      </c>
      <c r="L205" s="136">
        <v>0</v>
      </c>
      <c r="M205" s="4" t="s">
        <v>206</v>
      </c>
      <c r="N205" s="2" t="str">
        <f t="shared" si="6"/>
        <v>3u</v>
      </c>
    </row>
    <row r="206" spans="1:14" ht="15.75" x14ac:dyDescent="0.25">
      <c r="A206" s="18" t="s">
        <v>500</v>
      </c>
      <c r="B206" s="10">
        <v>203</v>
      </c>
      <c r="C206" s="8"/>
      <c r="D206" s="2" t="str">
        <f t="shared" si="7"/>
        <v>3v</v>
      </c>
      <c r="E206" s="136">
        <v>1</v>
      </c>
      <c r="F206" s="136">
        <v>1</v>
      </c>
      <c r="G206" s="136">
        <v>0</v>
      </c>
      <c r="H206" s="136">
        <v>0</v>
      </c>
      <c r="I206" s="136">
        <v>1</v>
      </c>
      <c r="J206" s="136">
        <v>0</v>
      </c>
      <c r="K206" s="136">
        <v>1</v>
      </c>
      <c r="L206" s="136">
        <v>1</v>
      </c>
      <c r="M206" s="4" t="s">
        <v>207</v>
      </c>
      <c r="N206" s="2" t="str">
        <f t="shared" si="6"/>
        <v>3v</v>
      </c>
    </row>
    <row r="207" spans="1:14" ht="15.75" x14ac:dyDescent="0.25">
      <c r="A207" s="18" t="s">
        <v>501</v>
      </c>
      <c r="B207" s="10">
        <v>204</v>
      </c>
      <c r="C207" s="8"/>
      <c r="D207" s="2" t="str">
        <f t="shared" si="7"/>
        <v>3w</v>
      </c>
      <c r="E207" s="136">
        <v>1</v>
      </c>
      <c r="F207" s="136">
        <v>1</v>
      </c>
      <c r="G207" s="136">
        <v>0</v>
      </c>
      <c r="H207" s="136">
        <v>0</v>
      </c>
      <c r="I207" s="136">
        <v>1</v>
      </c>
      <c r="J207" s="136">
        <v>1</v>
      </c>
      <c r="K207" s="136">
        <v>0</v>
      </c>
      <c r="L207" s="136">
        <v>0</v>
      </c>
      <c r="M207" s="4" t="s">
        <v>208</v>
      </c>
      <c r="N207" s="2" t="str">
        <f t="shared" si="6"/>
        <v>3w</v>
      </c>
    </row>
    <row r="208" spans="1:14" ht="15.75" x14ac:dyDescent="0.25">
      <c r="A208" s="18" t="s">
        <v>502</v>
      </c>
      <c r="B208" s="10">
        <v>205</v>
      </c>
      <c r="C208" s="8"/>
      <c r="D208" s="2" t="str">
        <f t="shared" si="7"/>
        <v>3x</v>
      </c>
      <c r="E208" s="136">
        <v>1</v>
      </c>
      <c r="F208" s="136">
        <v>1</v>
      </c>
      <c r="G208" s="136">
        <v>0</v>
      </c>
      <c r="H208" s="136">
        <v>0</v>
      </c>
      <c r="I208" s="136">
        <v>1</v>
      </c>
      <c r="J208" s="136">
        <v>1</v>
      </c>
      <c r="K208" s="136">
        <v>0</v>
      </c>
      <c r="L208" s="136">
        <v>1</v>
      </c>
      <c r="M208" s="4" t="s">
        <v>209</v>
      </c>
      <c r="N208" s="2" t="str">
        <f t="shared" si="6"/>
        <v>3x</v>
      </c>
    </row>
    <row r="209" spans="1:14" ht="15.75" x14ac:dyDescent="0.25">
      <c r="A209" s="18" t="s">
        <v>503</v>
      </c>
      <c r="B209" s="10">
        <v>206</v>
      </c>
      <c r="C209" s="8"/>
      <c r="D209" s="2" t="str">
        <f t="shared" si="7"/>
        <v>3y</v>
      </c>
      <c r="E209" s="136">
        <v>1</v>
      </c>
      <c r="F209" s="136">
        <v>1</v>
      </c>
      <c r="G209" s="136">
        <v>0</v>
      </c>
      <c r="H209" s="136">
        <v>0</v>
      </c>
      <c r="I209" s="136">
        <v>1</v>
      </c>
      <c r="J209" s="136">
        <v>1</v>
      </c>
      <c r="K209" s="136">
        <v>1</v>
      </c>
      <c r="L209" s="136">
        <v>0</v>
      </c>
      <c r="M209" s="4" t="s">
        <v>210</v>
      </c>
      <c r="N209" s="2" t="str">
        <f t="shared" si="6"/>
        <v>3y</v>
      </c>
    </row>
    <row r="210" spans="1:14" ht="15.75" x14ac:dyDescent="0.25">
      <c r="A210" s="18" t="s">
        <v>504</v>
      </c>
      <c r="B210" s="10">
        <v>207</v>
      </c>
      <c r="C210" s="8"/>
      <c r="D210" s="2" t="str">
        <f t="shared" si="7"/>
        <v>3z</v>
      </c>
      <c r="E210" s="136">
        <v>1</v>
      </c>
      <c r="F210" s="136">
        <v>1</v>
      </c>
      <c r="G210" s="136">
        <v>0</v>
      </c>
      <c r="H210" s="136">
        <v>0</v>
      </c>
      <c r="I210" s="136">
        <v>1</v>
      </c>
      <c r="J210" s="136">
        <v>1</v>
      </c>
      <c r="K210" s="136">
        <v>1</v>
      </c>
      <c r="L210" s="136">
        <v>1</v>
      </c>
      <c r="M210" s="4" t="s">
        <v>211</v>
      </c>
      <c r="N210" s="2" t="str">
        <f t="shared" si="6"/>
        <v>3z</v>
      </c>
    </row>
    <row r="211" spans="1:14" ht="15.75" x14ac:dyDescent="0.25">
      <c r="A211" s="2" t="s">
        <v>349</v>
      </c>
      <c r="B211" s="10">
        <v>208</v>
      </c>
      <c r="C211" s="8"/>
      <c r="D211" s="2" t="str">
        <f t="shared" si="7"/>
        <v>4A</v>
      </c>
      <c r="E211" s="136">
        <v>1</v>
      </c>
      <c r="F211" s="136">
        <v>1</v>
      </c>
      <c r="G211" s="136">
        <v>0</v>
      </c>
      <c r="H211" s="136">
        <v>1</v>
      </c>
      <c r="I211" s="136">
        <v>0</v>
      </c>
      <c r="J211" s="136">
        <v>0</v>
      </c>
      <c r="K211" s="136">
        <v>0</v>
      </c>
      <c r="L211" s="136">
        <v>0</v>
      </c>
      <c r="M211" s="4" t="s">
        <v>212</v>
      </c>
      <c r="N211" s="2" t="str">
        <f t="shared" si="6"/>
        <v>4A</v>
      </c>
    </row>
    <row r="212" spans="1:14" ht="15.75" x14ac:dyDescent="0.25">
      <c r="A212" s="2" t="s">
        <v>350</v>
      </c>
      <c r="B212" s="10">
        <v>209</v>
      </c>
      <c r="C212" s="8"/>
      <c r="D212" s="2" t="str">
        <f t="shared" si="7"/>
        <v>4B</v>
      </c>
      <c r="E212" s="136">
        <v>1</v>
      </c>
      <c r="F212" s="136">
        <v>1</v>
      </c>
      <c r="G212" s="136">
        <v>0</v>
      </c>
      <c r="H212" s="136">
        <v>1</v>
      </c>
      <c r="I212" s="136">
        <v>0</v>
      </c>
      <c r="J212" s="136">
        <v>0</v>
      </c>
      <c r="K212" s="136">
        <v>0</v>
      </c>
      <c r="L212" s="136">
        <v>1</v>
      </c>
      <c r="M212" s="4" t="s">
        <v>213</v>
      </c>
      <c r="N212" s="2" t="str">
        <f t="shared" si="6"/>
        <v>4B</v>
      </c>
    </row>
    <row r="213" spans="1:14" ht="15.75" x14ac:dyDescent="0.25">
      <c r="A213" s="2" t="s">
        <v>351</v>
      </c>
      <c r="B213" s="10">
        <v>210</v>
      </c>
      <c r="C213" s="8"/>
      <c r="D213" s="2" t="str">
        <f t="shared" si="7"/>
        <v>4C</v>
      </c>
      <c r="E213" s="136">
        <v>1</v>
      </c>
      <c r="F213" s="136">
        <v>1</v>
      </c>
      <c r="G213" s="136">
        <v>0</v>
      </c>
      <c r="H213" s="136">
        <v>1</v>
      </c>
      <c r="I213" s="136">
        <v>0</v>
      </c>
      <c r="J213" s="136">
        <v>0</v>
      </c>
      <c r="K213" s="136">
        <v>1</v>
      </c>
      <c r="L213" s="136">
        <v>0</v>
      </c>
      <c r="M213" s="4" t="s">
        <v>214</v>
      </c>
      <c r="N213" s="2" t="str">
        <f t="shared" si="6"/>
        <v>4C</v>
      </c>
    </row>
    <row r="214" spans="1:14" ht="15.75" x14ac:dyDescent="0.25">
      <c r="A214" s="2" t="s">
        <v>352</v>
      </c>
      <c r="B214" s="10">
        <v>211</v>
      </c>
      <c r="C214" s="8"/>
      <c r="D214" s="2" t="str">
        <f t="shared" si="7"/>
        <v>4D</v>
      </c>
      <c r="E214" s="136">
        <v>1</v>
      </c>
      <c r="F214" s="136">
        <v>1</v>
      </c>
      <c r="G214" s="136">
        <v>0</v>
      </c>
      <c r="H214" s="136">
        <v>1</v>
      </c>
      <c r="I214" s="136">
        <v>0</v>
      </c>
      <c r="J214" s="136">
        <v>0</v>
      </c>
      <c r="K214" s="136">
        <v>1</v>
      </c>
      <c r="L214" s="136">
        <v>1</v>
      </c>
      <c r="M214" s="4" t="s">
        <v>215</v>
      </c>
      <c r="N214" s="2" t="str">
        <f t="shared" si="6"/>
        <v>4D</v>
      </c>
    </row>
    <row r="215" spans="1:14" ht="15.75" x14ac:dyDescent="0.25">
      <c r="A215" s="2" t="s">
        <v>353</v>
      </c>
      <c r="B215" s="10">
        <v>212</v>
      </c>
      <c r="C215" s="8"/>
      <c r="D215" s="2" t="str">
        <f t="shared" si="7"/>
        <v>4E</v>
      </c>
      <c r="E215" s="136">
        <v>1</v>
      </c>
      <c r="F215" s="136">
        <v>1</v>
      </c>
      <c r="G215" s="136">
        <v>0</v>
      </c>
      <c r="H215" s="136">
        <v>1</v>
      </c>
      <c r="I215" s="136">
        <v>0</v>
      </c>
      <c r="J215" s="136">
        <v>1</v>
      </c>
      <c r="K215" s="136">
        <v>0</v>
      </c>
      <c r="L215" s="136">
        <v>0</v>
      </c>
      <c r="M215" s="4" t="s">
        <v>216</v>
      </c>
      <c r="N215" s="2" t="str">
        <f t="shared" si="6"/>
        <v>4E</v>
      </c>
    </row>
    <row r="216" spans="1:14" ht="15.75" x14ac:dyDescent="0.25">
      <c r="A216" s="2" t="s">
        <v>354</v>
      </c>
      <c r="B216" s="10">
        <v>213</v>
      </c>
      <c r="C216" s="8"/>
      <c r="D216" s="2" t="str">
        <f t="shared" si="7"/>
        <v>4F</v>
      </c>
      <c r="E216" s="136">
        <v>1</v>
      </c>
      <c r="F216" s="136">
        <v>1</v>
      </c>
      <c r="G216" s="136">
        <v>0</v>
      </c>
      <c r="H216" s="136">
        <v>1</v>
      </c>
      <c r="I216" s="136">
        <v>0</v>
      </c>
      <c r="J216" s="136">
        <v>1</v>
      </c>
      <c r="K216" s="136">
        <v>0</v>
      </c>
      <c r="L216" s="136">
        <v>1</v>
      </c>
      <c r="M216" s="4" t="s">
        <v>217</v>
      </c>
      <c r="N216" s="2" t="str">
        <f t="shared" si="6"/>
        <v>4F</v>
      </c>
    </row>
    <row r="217" spans="1:14" ht="15.75" x14ac:dyDescent="0.25">
      <c r="A217" s="2" t="s">
        <v>355</v>
      </c>
      <c r="B217" s="10">
        <v>214</v>
      </c>
      <c r="C217" s="8"/>
      <c r="D217" s="2" t="str">
        <f t="shared" si="7"/>
        <v>4G</v>
      </c>
      <c r="E217" s="136">
        <v>1</v>
      </c>
      <c r="F217" s="136">
        <v>1</v>
      </c>
      <c r="G217" s="136">
        <v>0</v>
      </c>
      <c r="H217" s="136">
        <v>1</v>
      </c>
      <c r="I217" s="136">
        <v>0</v>
      </c>
      <c r="J217" s="136">
        <v>1</v>
      </c>
      <c r="K217" s="136">
        <v>1</v>
      </c>
      <c r="L217" s="136">
        <v>0</v>
      </c>
      <c r="M217" s="4" t="s">
        <v>218</v>
      </c>
      <c r="N217" s="2" t="str">
        <f t="shared" si="6"/>
        <v>4G</v>
      </c>
    </row>
    <row r="218" spans="1:14" ht="15.75" x14ac:dyDescent="0.25">
      <c r="A218" s="2" t="s">
        <v>356</v>
      </c>
      <c r="B218" s="10">
        <v>215</v>
      </c>
      <c r="C218" s="8"/>
      <c r="D218" s="2" t="str">
        <f t="shared" si="7"/>
        <v>4H</v>
      </c>
      <c r="E218" s="136">
        <v>1</v>
      </c>
      <c r="F218" s="136">
        <v>1</v>
      </c>
      <c r="G218" s="136">
        <v>0</v>
      </c>
      <c r="H218" s="136">
        <v>1</v>
      </c>
      <c r="I218" s="136">
        <v>0</v>
      </c>
      <c r="J218" s="136">
        <v>1</v>
      </c>
      <c r="K218" s="136">
        <v>1</v>
      </c>
      <c r="L218" s="136">
        <v>1</v>
      </c>
      <c r="M218" s="4" t="s">
        <v>219</v>
      </c>
      <c r="N218" s="2" t="str">
        <f t="shared" si="6"/>
        <v>4H</v>
      </c>
    </row>
    <row r="219" spans="1:14" ht="15.75" x14ac:dyDescent="0.25">
      <c r="A219" s="2" t="s">
        <v>357</v>
      </c>
      <c r="B219" s="10">
        <v>216</v>
      </c>
      <c r="C219" s="8"/>
      <c r="D219" s="2" t="str">
        <f t="shared" si="7"/>
        <v>4I</v>
      </c>
      <c r="E219" s="136">
        <v>1</v>
      </c>
      <c r="F219" s="136">
        <v>1</v>
      </c>
      <c r="G219" s="136">
        <v>0</v>
      </c>
      <c r="H219" s="136">
        <v>1</v>
      </c>
      <c r="I219" s="136">
        <v>1</v>
      </c>
      <c r="J219" s="136">
        <v>0</v>
      </c>
      <c r="K219" s="136">
        <v>0</v>
      </c>
      <c r="L219" s="136">
        <v>0</v>
      </c>
      <c r="M219" s="4" t="s">
        <v>220</v>
      </c>
      <c r="N219" s="2" t="str">
        <f t="shared" si="6"/>
        <v>4I</v>
      </c>
    </row>
    <row r="220" spans="1:14" ht="15.75" x14ac:dyDescent="0.25">
      <c r="A220" s="2" t="s">
        <v>358</v>
      </c>
      <c r="B220" s="10">
        <v>217</v>
      </c>
      <c r="C220" s="8"/>
      <c r="D220" s="2" t="str">
        <f t="shared" si="7"/>
        <v>4J</v>
      </c>
      <c r="E220" s="136">
        <v>1</v>
      </c>
      <c r="F220" s="136">
        <v>1</v>
      </c>
      <c r="G220" s="136">
        <v>0</v>
      </c>
      <c r="H220" s="136">
        <v>1</v>
      </c>
      <c r="I220" s="136">
        <v>1</v>
      </c>
      <c r="J220" s="136">
        <v>0</v>
      </c>
      <c r="K220" s="136">
        <v>0</v>
      </c>
      <c r="L220" s="136">
        <v>1</v>
      </c>
      <c r="M220" s="4" t="s">
        <v>221</v>
      </c>
      <c r="N220" s="2" t="str">
        <f t="shared" si="6"/>
        <v>4J</v>
      </c>
    </row>
    <row r="221" spans="1:14" ht="15.75" x14ac:dyDescent="0.25">
      <c r="A221" s="2" t="s">
        <v>359</v>
      </c>
      <c r="B221" s="10">
        <v>218</v>
      </c>
      <c r="C221" s="8"/>
      <c r="D221" s="2" t="str">
        <f t="shared" si="7"/>
        <v>4K</v>
      </c>
      <c r="E221" s="136">
        <v>1</v>
      </c>
      <c r="F221" s="136">
        <v>1</v>
      </c>
      <c r="G221" s="136">
        <v>0</v>
      </c>
      <c r="H221" s="136">
        <v>1</v>
      </c>
      <c r="I221" s="136">
        <v>1</v>
      </c>
      <c r="J221" s="136">
        <v>0</v>
      </c>
      <c r="K221" s="136">
        <v>1</v>
      </c>
      <c r="L221" s="136">
        <v>0</v>
      </c>
      <c r="M221" s="4" t="s">
        <v>222</v>
      </c>
      <c r="N221" s="2" t="str">
        <f t="shared" si="6"/>
        <v>4K</v>
      </c>
    </row>
    <row r="222" spans="1:14" ht="15.75" x14ac:dyDescent="0.25">
      <c r="A222" s="2" t="s">
        <v>360</v>
      </c>
      <c r="B222" s="10">
        <v>219</v>
      </c>
      <c r="C222" s="8"/>
      <c r="D222" s="2" t="str">
        <f t="shared" si="7"/>
        <v>4L</v>
      </c>
      <c r="E222" s="136">
        <v>1</v>
      </c>
      <c r="F222" s="136">
        <v>1</v>
      </c>
      <c r="G222" s="136">
        <v>0</v>
      </c>
      <c r="H222" s="136">
        <v>1</v>
      </c>
      <c r="I222" s="136">
        <v>1</v>
      </c>
      <c r="J222" s="136">
        <v>0</v>
      </c>
      <c r="K222" s="136">
        <v>1</v>
      </c>
      <c r="L222" s="136">
        <v>1</v>
      </c>
      <c r="M222" s="4" t="s">
        <v>223</v>
      </c>
      <c r="N222" s="2" t="str">
        <f t="shared" si="6"/>
        <v>4L</v>
      </c>
    </row>
    <row r="223" spans="1:14" ht="15.75" x14ac:dyDescent="0.25">
      <c r="A223" s="2" t="s">
        <v>361</v>
      </c>
      <c r="B223" s="10">
        <v>220</v>
      </c>
      <c r="C223" s="8"/>
      <c r="D223" s="2" t="str">
        <f t="shared" si="7"/>
        <v>4M</v>
      </c>
      <c r="E223" s="136">
        <v>1</v>
      </c>
      <c r="F223" s="136">
        <v>1</v>
      </c>
      <c r="G223" s="136">
        <v>0</v>
      </c>
      <c r="H223" s="136">
        <v>1</v>
      </c>
      <c r="I223" s="136">
        <v>1</v>
      </c>
      <c r="J223" s="136">
        <v>1</v>
      </c>
      <c r="K223" s="136">
        <v>0</v>
      </c>
      <c r="L223" s="136">
        <v>0</v>
      </c>
      <c r="M223" s="4" t="s">
        <v>224</v>
      </c>
      <c r="N223" s="2" t="str">
        <f t="shared" si="6"/>
        <v>4M</v>
      </c>
    </row>
    <row r="224" spans="1:14" ht="15.75" x14ac:dyDescent="0.25">
      <c r="A224" s="2" t="s">
        <v>362</v>
      </c>
      <c r="B224" s="10">
        <v>221</v>
      </c>
      <c r="C224" s="8"/>
      <c r="D224" s="2" t="str">
        <f t="shared" si="7"/>
        <v>4N</v>
      </c>
      <c r="E224" s="136">
        <v>1</v>
      </c>
      <c r="F224" s="136">
        <v>1</v>
      </c>
      <c r="G224" s="136">
        <v>0</v>
      </c>
      <c r="H224" s="136">
        <v>1</v>
      </c>
      <c r="I224" s="136">
        <v>1</v>
      </c>
      <c r="J224" s="136">
        <v>1</v>
      </c>
      <c r="K224" s="136">
        <v>0</v>
      </c>
      <c r="L224" s="136">
        <v>1</v>
      </c>
      <c r="M224" s="4" t="s">
        <v>225</v>
      </c>
      <c r="N224" s="2" t="str">
        <f t="shared" si="6"/>
        <v>4N</v>
      </c>
    </row>
    <row r="225" spans="1:14" ht="15.75" x14ac:dyDescent="0.25">
      <c r="A225" s="2" t="s">
        <v>363</v>
      </c>
      <c r="B225" s="10">
        <v>222</v>
      </c>
      <c r="C225" s="8"/>
      <c r="D225" s="2" t="str">
        <f t="shared" si="7"/>
        <v>4O</v>
      </c>
      <c r="E225" s="136">
        <v>1</v>
      </c>
      <c r="F225" s="136">
        <v>1</v>
      </c>
      <c r="G225" s="136">
        <v>0</v>
      </c>
      <c r="H225" s="136">
        <v>1</v>
      </c>
      <c r="I225" s="136">
        <v>1</v>
      </c>
      <c r="J225" s="136">
        <v>1</v>
      </c>
      <c r="K225" s="136">
        <v>1</v>
      </c>
      <c r="L225" s="136">
        <v>0</v>
      </c>
      <c r="M225" s="4" t="s">
        <v>226</v>
      </c>
      <c r="N225" s="2" t="str">
        <f t="shared" si="6"/>
        <v>4O</v>
      </c>
    </row>
    <row r="226" spans="1:14" ht="15.75" x14ac:dyDescent="0.25">
      <c r="A226" s="2" t="s">
        <v>364</v>
      </c>
      <c r="B226" s="10">
        <v>223</v>
      </c>
      <c r="C226" s="8"/>
      <c r="D226" s="2" t="str">
        <f t="shared" si="7"/>
        <v>4P</v>
      </c>
      <c r="E226" s="136">
        <v>1</v>
      </c>
      <c r="F226" s="136">
        <v>1</v>
      </c>
      <c r="G226" s="136">
        <v>0</v>
      </c>
      <c r="H226" s="136">
        <v>1</v>
      </c>
      <c r="I226" s="136">
        <v>1</v>
      </c>
      <c r="J226" s="136">
        <v>1</v>
      </c>
      <c r="K226" s="136">
        <v>1</v>
      </c>
      <c r="L226" s="136">
        <v>1</v>
      </c>
      <c r="M226" s="4" t="s">
        <v>227</v>
      </c>
      <c r="N226" s="2" t="str">
        <f t="shared" si="6"/>
        <v>4P</v>
      </c>
    </row>
    <row r="227" spans="1:14" ht="15.75" x14ac:dyDescent="0.25">
      <c r="A227" s="2" t="s">
        <v>365</v>
      </c>
      <c r="B227" s="10">
        <v>224</v>
      </c>
      <c r="C227" s="8"/>
      <c r="D227" s="2" t="str">
        <f t="shared" si="7"/>
        <v>4Q</v>
      </c>
      <c r="E227" s="136">
        <v>1</v>
      </c>
      <c r="F227" s="136">
        <v>1</v>
      </c>
      <c r="G227" s="136">
        <v>1</v>
      </c>
      <c r="H227" s="136">
        <v>0</v>
      </c>
      <c r="I227" s="136">
        <v>0</v>
      </c>
      <c r="J227" s="136">
        <v>0</v>
      </c>
      <c r="K227" s="136">
        <v>0</v>
      </c>
      <c r="L227" s="136">
        <v>0</v>
      </c>
      <c r="M227" s="4" t="s">
        <v>228</v>
      </c>
      <c r="N227" s="2" t="str">
        <f t="shared" si="6"/>
        <v>4Q</v>
      </c>
    </row>
    <row r="228" spans="1:14" ht="15.75" x14ac:dyDescent="0.25">
      <c r="A228" s="2" t="s">
        <v>366</v>
      </c>
      <c r="B228" s="10">
        <v>225</v>
      </c>
      <c r="C228" s="8"/>
      <c r="D228" s="2" t="str">
        <f t="shared" si="7"/>
        <v>4R</v>
      </c>
      <c r="E228" s="136">
        <v>1</v>
      </c>
      <c r="F228" s="136">
        <v>1</v>
      </c>
      <c r="G228" s="136">
        <v>1</v>
      </c>
      <c r="H228" s="136">
        <v>0</v>
      </c>
      <c r="I228" s="136">
        <v>0</v>
      </c>
      <c r="J228" s="136">
        <v>0</v>
      </c>
      <c r="K228" s="136">
        <v>0</v>
      </c>
      <c r="L228" s="136">
        <v>1</v>
      </c>
      <c r="M228" s="4" t="s">
        <v>229</v>
      </c>
      <c r="N228" s="2" t="str">
        <f t="shared" si="6"/>
        <v>4R</v>
      </c>
    </row>
    <row r="229" spans="1:14" ht="15.75" x14ac:dyDescent="0.25">
      <c r="A229" s="2" t="s">
        <v>367</v>
      </c>
      <c r="B229" s="10">
        <v>226</v>
      </c>
      <c r="C229" s="8"/>
      <c r="D229" s="2" t="str">
        <f t="shared" si="7"/>
        <v>4S</v>
      </c>
      <c r="E229" s="136">
        <v>1</v>
      </c>
      <c r="F229" s="136">
        <v>1</v>
      </c>
      <c r="G229" s="136">
        <v>1</v>
      </c>
      <c r="H229" s="136">
        <v>0</v>
      </c>
      <c r="I229" s="136">
        <v>0</v>
      </c>
      <c r="J229" s="136">
        <v>0</v>
      </c>
      <c r="K229" s="136">
        <v>1</v>
      </c>
      <c r="L229" s="136">
        <v>0</v>
      </c>
      <c r="M229" s="4" t="s">
        <v>230</v>
      </c>
      <c r="N229" s="2" t="str">
        <f t="shared" si="6"/>
        <v>4S</v>
      </c>
    </row>
    <row r="230" spans="1:14" ht="15.75" x14ac:dyDescent="0.25">
      <c r="A230" s="2" t="s">
        <v>368</v>
      </c>
      <c r="B230" s="10">
        <v>227</v>
      </c>
      <c r="C230" s="8"/>
      <c r="D230" s="2" t="str">
        <f t="shared" si="7"/>
        <v>4T</v>
      </c>
      <c r="E230" s="136">
        <v>1</v>
      </c>
      <c r="F230" s="136">
        <v>1</v>
      </c>
      <c r="G230" s="136">
        <v>1</v>
      </c>
      <c r="H230" s="136">
        <v>0</v>
      </c>
      <c r="I230" s="136">
        <v>0</v>
      </c>
      <c r="J230" s="136">
        <v>0</v>
      </c>
      <c r="K230" s="136">
        <v>1</v>
      </c>
      <c r="L230" s="136">
        <v>1</v>
      </c>
      <c r="M230" s="4" t="s">
        <v>231</v>
      </c>
      <c r="N230" s="2" t="str">
        <f t="shared" si="6"/>
        <v>4T</v>
      </c>
    </row>
    <row r="231" spans="1:14" ht="15.75" x14ac:dyDescent="0.25">
      <c r="A231" s="2" t="s">
        <v>369</v>
      </c>
      <c r="B231" s="10">
        <v>228</v>
      </c>
      <c r="C231" s="8"/>
      <c r="D231" s="2" t="str">
        <f t="shared" si="7"/>
        <v>4U</v>
      </c>
      <c r="E231" s="136">
        <v>1</v>
      </c>
      <c r="F231" s="136">
        <v>1</v>
      </c>
      <c r="G231" s="136">
        <v>1</v>
      </c>
      <c r="H231" s="136">
        <v>0</v>
      </c>
      <c r="I231" s="136">
        <v>0</v>
      </c>
      <c r="J231" s="136">
        <v>1</v>
      </c>
      <c r="K231" s="136">
        <v>0</v>
      </c>
      <c r="L231" s="136">
        <v>0</v>
      </c>
      <c r="M231" s="4" t="s">
        <v>232</v>
      </c>
      <c r="N231" s="2" t="str">
        <f t="shared" si="6"/>
        <v>4U</v>
      </c>
    </row>
    <row r="232" spans="1:14" ht="15.75" x14ac:dyDescent="0.25">
      <c r="A232" s="2" t="s">
        <v>370</v>
      </c>
      <c r="B232" s="10">
        <v>229</v>
      </c>
      <c r="C232" s="8"/>
      <c r="D232" s="2" t="str">
        <f t="shared" si="7"/>
        <v>4V</v>
      </c>
      <c r="E232" s="136">
        <v>1</v>
      </c>
      <c r="F232" s="136">
        <v>1</v>
      </c>
      <c r="G232" s="136">
        <v>1</v>
      </c>
      <c r="H232" s="136">
        <v>0</v>
      </c>
      <c r="I232" s="136">
        <v>0</v>
      </c>
      <c r="J232" s="136">
        <v>1</v>
      </c>
      <c r="K232" s="136">
        <v>0</v>
      </c>
      <c r="L232" s="136">
        <v>1</v>
      </c>
      <c r="M232" s="4" t="s">
        <v>233</v>
      </c>
      <c r="N232" s="2" t="str">
        <f t="shared" si="6"/>
        <v>4V</v>
      </c>
    </row>
    <row r="233" spans="1:14" ht="15.75" x14ac:dyDescent="0.25">
      <c r="A233" s="2" t="s">
        <v>371</v>
      </c>
      <c r="B233" s="10">
        <v>230</v>
      </c>
      <c r="C233" s="8"/>
      <c r="D233" s="2" t="str">
        <f t="shared" si="7"/>
        <v>4W</v>
      </c>
      <c r="E233" s="136">
        <v>1</v>
      </c>
      <c r="F233" s="136">
        <v>1</v>
      </c>
      <c r="G233" s="136">
        <v>1</v>
      </c>
      <c r="H233" s="136">
        <v>0</v>
      </c>
      <c r="I233" s="136">
        <v>0</v>
      </c>
      <c r="J233" s="136">
        <v>1</v>
      </c>
      <c r="K233" s="136">
        <v>1</v>
      </c>
      <c r="L233" s="136">
        <v>0</v>
      </c>
      <c r="M233" s="4" t="s">
        <v>234</v>
      </c>
      <c r="N233" s="2" t="str">
        <f t="shared" si="6"/>
        <v>4W</v>
      </c>
    </row>
    <row r="234" spans="1:14" ht="15.75" x14ac:dyDescent="0.25">
      <c r="A234" s="2" t="s">
        <v>372</v>
      </c>
      <c r="B234" s="10">
        <v>231</v>
      </c>
      <c r="C234" s="8"/>
      <c r="D234" s="2" t="str">
        <f t="shared" si="7"/>
        <v>4X</v>
      </c>
      <c r="E234" s="136">
        <v>1</v>
      </c>
      <c r="F234" s="136">
        <v>1</v>
      </c>
      <c r="G234" s="136">
        <v>1</v>
      </c>
      <c r="H234" s="136">
        <v>0</v>
      </c>
      <c r="I234" s="136">
        <v>0</v>
      </c>
      <c r="J234" s="136">
        <v>1</v>
      </c>
      <c r="K234" s="136">
        <v>1</v>
      </c>
      <c r="L234" s="136">
        <v>1</v>
      </c>
      <c r="M234" s="4" t="s">
        <v>235</v>
      </c>
      <c r="N234" s="2" t="str">
        <f t="shared" si="6"/>
        <v>4X</v>
      </c>
    </row>
    <row r="235" spans="1:14" ht="15.75" x14ac:dyDescent="0.25">
      <c r="A235" s="2" t="s">
        <v>373</v>
      </c>
      <c r="B235" s="10">
        <v>232</v>
      </c>
      <c r="C235" s="8"/>
      <c r="D235" s="2" t="str">
        <f t="shared" si="7"/>
        <v>4Y</v>
      </c>
      <c r="E235" s="136">
        <v>1</v>
      </c>
      <c r="F235" s="136">
        <v>1</v>
      </c>
      <c r="G235" s="136">
        <v>1</v>
      </c>
      <c r="H235" s="136">
        <v>0</v>
      </c>
      <c r="I235" s="136">
        <v>1</v>
      </c>
      <c r="J235" s="136">
        <v>0</v>
      </c>
      <c r="K235" s="136">
        <v>0</v>
      </c>
      <c r="L235" s="136">
        <v>0</v>
      </c>
      <c r="M235" s="4" t="s">
        <v>236</v>
      </c>
      <c r="N235" s="2" t="str">
        <f t="shared" si="6"/>
        <v>4Y</v>
      </c>
    </row>
    <row r="236" spans="1:14" ht="15.75" x14ac:dyDescent="0.25">
      <c r="A236" s="2" t="s">
        <v>374</v>
      </c>
      <c r="B236" s="10">
        <v>233</v>
      </c>
      <c r="C236" s="8"/>
      <c r="D236" s="2" t="str">
        <f t="shared" si="7"/>
        <v>4Z</v>
      </c>
      <c r="E236" s="136">
        <v>1</v>
      </c>
      <c r="F236" s="136">
        <v>1</v>
      </c>
      <c r="G236" s="136">
        <v>1</v>
      </c>
      <c r="H236" s="136">
        <v>0</v>
      </c>
      <c r="I236" s="136">
        <v>1</v>
      </c>
      <c r="J236" s="136">
        <v>0</v>
      </c>
      <c r="K236" s="136">
        <v>0</v>
      </c>
      <c r="L236" s="136">
        <v>1</v>
      </c>
      <c r="M236" s="4" t="s">
        <v>237</v>
      </c>
      <c r="N236" s="2" t="str">
        <f t="shared" si="6"/>
        <v>4Z</v>
      </c>
    </row>
    <row r="237" spans="1:14" ht="15.75" x14ac:dyDescent="0.25">
      <c r="A237" s="2" t="s">
        <v>389</v>
      </c>
      <c r="B237" s="10">
        <v>234</v>
      </c>
      <c r="C237" s="8"/>
      <c r="D237" s="2" t="str">
        <f t="shared" si="7"/>
        <v>@</v>
      </c>
      <c r="E237" s="136">
        <v>1</v>
      </c>
      <c r="F237" s="136">
        <v>1</v>
      </c>
      <c r="G237" s="136">
        <v>1</v>
      </c>
      <c r="H237" s="136">
        <v>0</v>
      </c>
      <c r="I237" s="136">
        <v>1</v>
      </c>
      <c r="J237" s="136">
        <v>0</v>
      </c>
      <c r="K237" s="136">
        <v>1</v>
      </c>
      <c r="L237" s="136">
        <v>0</v>
      </c>
      <c r="M237" s="4" t="s">
        <v>238</v>
      </c>
      <c r="N237" s="2" t="str">
        <f t="shared" si="6"/>
        <v>@</v>
      </c>
    </row>
    <row r="238" spans="1:14" ht="15.75" x14ac:dyDescent="0.25">
      <c r="A238" s="2" t="s">
        <v>390</v>
      </c>
      <c r="B238" s="10">
        <v>235</v>
      </c>
      <c r="C238" s="8"/>
      <c r="D238" s="2" t="str">
        <f t="shared" si="7"/>
        <v>$</v>
      </c>
      <c r="E238" s="136">
        <v>1</v>
      </c>
      <c r="F238" s="136">
        <v>1</v>
      </c>
      <c r="G238" s="136">
        <v>1</v>
      </c>
      <c r="H238" s="136">
        <v>0</v>
      </c>
      <c r="I238" s="136">
        <v>1</v>
      </c>
      <c r="J238" s="136">
        <v>0</v>
      </c>
      <c r="K238" s="136">
        <v>1</v>
      </c>
      <c r="L238" s="136">
        <v>1</v>
      </c>
      <c r="M238" s="4" t="s">
        <v>239</v>
      </c>
      <c r="N238" s="2" t="str">
        <f t="shared" si="6"/>
        <v>$</v>
      </c>
    </row>
    <row r="239" spans="1:14" ht="15.75" x14ac:dyDescent="0.25">
      <c r="A239" s="2" t="s">
        <v>395</v>
      </c>
      <c r="B239" s="10">
        <v>236</v>
      </c>
      <c r="C239" s="8"/>
      <c r="D239" s="2" t="str">
        <f t="shared" si="7"/>
        <v>%</v>
      </c>
      <c r="E239" s="136">
        <v>1</v>
      </c>
      <c r="F239" s="136">
        <v>1</v>
      </c>
      <c r="G239" s="136">
        <v>1</v>
      </c>
      <c r="H239" s="136">
        <v>0</v>
      </c>
      <c r="I239" s="136">
        <v>1</v>
      </c>
      <c r="J239" s="136">
        <v>1</v>
      </c>
      <c r="K239" s="136">
        <v>0</v>
      </c>
      <c r="L239" s="136">
        <v>0</v>
      </c>
      <c r="M239" s="4" t="s">
        <v>240</v>
      </c>
      <c r="N239" s="2" t="str">
        <f t="shared" si="6"/>
        <v>%</v>
      </c>
    </row>
    <row r="240" spans="1:14" ht="15.75" x14ac:dyDescent="0.25">
      <c r="A240" s="2" t="s">
        <v>396</v>
      </c>
      <c r="B240" s="10">
        <v>237</v>
      </c>
      <c r="C240" s="8"/>
      <c r="D240" s="2" t="str">
        <f t="shared" si="7"/>
        <v>^</v>
      </c>
      <c r="E240" s="136">
        <v>1</v>
      </c>
      <c r="F240" s="136">
        <v>1</v>
      </c>
      <c r="G240" s="136">
        <v>1</v>
      </c>
      <c r="H240" s="136">
        <v>0</v>
      </c>
      <c r="I240" s="136">
        <v>1</v>
      </c>
      <c r="J240" s="136">
        <v>1</v>
      </c>
      <c r="K240" s="136">
        <v>0</v>
      </c>
      <c r="L240" s="136">
        <v>1</v>
      </c>
      <c r="M240" s="4" t="s">
        <v>241</v>
      </c>
      <c r="N240" s="2" t="str">
        <f t="shared" si="6"/>
        <v>^</v>
      </c>
    </row>
    <row r="241" spans="1:14" ht="15.75" x14ac:dyDescent="0.25">
      <c r="A241" s="2" t="s">
        <v>394</v>
      </c>
      <c r="B241" s="10">
        <v>238</v>
      </c>
      <c r="C241" s="8"/>
      <c r="D241" s="2" t="str">
        <f t="shared" si="7"/>
        <v>&amp;</v>
      </c>
      <c r="E241" s="136">
        <v>1</v>
      </c>
      <c r="F241" s="136">
        <v>1</v>
      </c>
      <c r="G241" s="136">
        <v>1</v>
      </c>
      <c r="H241" s="136">
        <v>0</v>
      </c>
      <c r="I241" s="136">
        <v>1</v>
      </c>
      <c r="J241" s="136">
        <v>1</v>
      </c>
      <c r="K241" s="136">
        <v>1</v>
      </c>
      <c r="L241" s="136">
        <v>0</v>
      </c>
      <c r="M241" s="4" t="s">
        <v>242</v>
      </c>
      <c r="N241" s="2" t="str">
        <f t="shared" si="6"/>
        <v>&amp;</v>
      </c>
    </row>
    <row r="242" spans="1:14" ht="15.75" x14ac:dyDescent="0.25">
      <c r="A242" s="2" t="s">
        <v>393</v>
      </c>
      <c r="B242" s="10">
        <v>239</v>
      </c>
      <c r="C242" s="8"/>
      <c r="D242" s="2" t="str">
        <f t="shared" si="7"/>
        <v>*</v>
      </c>
      <c r="E242" s="136">
        <v>1</v>
      </c>
      <c r="F242" s="136">
        <v>1</v>
      </c>
      <c r="G242" s="136">
        <v>1</v>
      </c>
      <c r="H242" s="136">
        <v>0</v>
      </c>
      <c r="I242" s="136">
        <v>1</v>
      </c>
      <c r="J242" s="136">
        <v>1</v>
      </c>
      <c r="K242" s="136">
        <v>1</v>
      </c>
      <c r="L242" s="136">
        <v>1</v>
      </c>
      <c r="M242" s="4" t="s">
        <v>243</v>
      </c>
      <c r="N242" s="2" t="str">
        <f t="shared" si="6"/>
        <v>*</v>
      </c>
    </row>
    <row r="243" spans="1:14" ht="15.75" x14ac:dyDescent="0.25">
      <c r="A243" s="2" t="s">
        <v>398</v>
      </c>
      <c r="B243" s="10">
        <v>240</v>
      </c>
      <c r="C243" s="8"/>
      <c r="D243" s="2" t="str">
        <f t="shared" si="7"/>
        <v>?</v>
      </c>
      <c r="E243" s="136">
        <v>1</v>
      </c>
      <c r="F243" s="136">
        <v>1</v>
      </c>
      <c r="G243" s="136">
        <v>1</v>
      </c>
      <c r="H243" s="136">
        <v>1</v>
      </c>
      <c r="I243" s="136">
        <v>0</v>
      </c>
      <c r="J243" s="136">
        <v>0</v>
      </c>
      <c r="K243" s="136">
        <v>0</v>
      </c>
      <c r="L243" s="136">
        <v>0</v>
      </c>
      <c r="M243" s="4" t="s">
        <v>244</v>
      </c>
      <c r="N243" s="2" t="str">
        <f t="shared" si="6"/>
        <v>?</v>
      </c>
    </row>
    <row r="244" spans="1:14" ht="15.75" x14ac:dyDescent="0.25">
      <c r="A244" s="2" t="s">
        <v>391</v>
      </c>
      <c r="B244" s="10">
        <v>241</v>
      </c>
      <c r="C244" s="8"/>
      <c r="D244" s="2" t="str">
        <f t="shared" si="7"/>
        <v>(</v>
      </c>
      <c r="E244" s="136">
        <v>1</v>
      </c>
      <c r="F244" s="136">
        <v>1</v>
      </c>
      <c r="G244" s="136">
        <v>1</v>
      </c>
      <c r="H244" s="136">
        <v>1</v>
      </c>
      <c r="I244" s="136">
        <v>0</v>
      </c>
      <c r="J244" s="136">
        <v>0</v>
      </c>
      <c r="K244" s="136">
        <v>0</v>
      </c>
      <c r="L244" s="136">
        <v>1</v>
      </c>
      <c r="M244" s="4" t="s">
        <v>245</v>
      </c>
      <c r="N244" s="2" t="str">
        <f t="shared" si="6"/>
        <v>(</v>
      </c>
    </row>
    <row r="245" spans="1:14" ht="15.75" x14ac:dyDescent="0.25">
      <c r="A245" s="2" t="s">
        <v>392</v>
      </c>
      <c r="B245" s="10">
        <v>242</v>
      </c>
      <c r="C245" s="8"/>
      <c r="D245" s="2" t="str">
        <f t="shared" si="7"/>
        <v>)</v>
      </c>
      <c r="E245" s="136">
        <v>1</v>
      </c>
      <c r="F245" s="136">
        <v>1</v>
      </c>
      <c r="G245" s="136">
        <v>1</v>
      </c>
      <c r="H245" s="136">
        <v>1</v>
      </c>
      <c r="I245" s="136">
        <v>0</v>
      </c>
      <c r="J245" s="136">
        <v>0</v>
      </c>
      <c r="K245" s="136">
        <v>1</v>
      </c>
      <c r="L245" s="136">
        <v>0</v>
      </c>
      <c r="M245" s="4" t="s">
        <v>246</v>
      </c>
      <c r="N245" s="2" t="str">
        <f t="shared" si="6"/>
        <v>)</v>
      </c>
    </row>
    <row r="246" spans="1:14" ht="15.75" x14ac:dyDescent="0.25">
      <c r="A246" s="2" t="s">
        <v>399</v>
      </c>
      <c r="B246" s="10">
        <v>243</v>
      </c>
      <c r="C246" s="8"/>
      <c r="D246" s="2" t="str">
        <f t="shared" si="7"/>
        <v>.</v>
      </c>
      <c r="E246" s="136">
        <v>1</v>
      </c>
      <c r="F246" s="136">
        <v>1</v>
      </c>
      <c r="G246" s="136">
        <v>1</v>
      </c>
      <c r="H246" s="136">
        <v>1</v>
      </c>
      <c r="I246" s="136">
        <v>0</v>
      </c>
      <c r="J246" s="136">
        <v>0</v>
      </c>
      <c r="K246" s="136">
        <v>1</v>
      </c>
      <c r="L246" s="136">
        <v>1</v>
      </c>
      <c r="M246" s="4" t="s">
        <v>247</v>
      </c>
      <c r="N246" s="2" t="str">
        <f t="shared" si="6"/>
        <v>.</v>
      </c>
    </row>
    <row r="247" spans="1:14" ht="15.75" x14ac:dyDescent="0.25">
      <c r="A247" s="2" t="s">
        <v>400</v>
      </c>
      <c r="B247" s="10">
        <v>244</v>
      </c>
      <c r="C247" s="8"/>
      <c r="D247" s="2" t="str">
        <f t="shared" si="7"/>
        <v>,</v>
      </c>
      <c r="E247" s="136">
        <v>1</v>
      </c>
      <c r="F247" s="136">
        <v>1</v>
      </c>
      <c r="G247" s="136">
        <v>1</v>
      </c>
      <c r="H247" s="136">
        <v>1</v>
      </c>
      <c r="I247" s="136">
        <v>0</v>
      </c>
      <c r="J247" s="136">
        <v>1</v>
      </c>
      <c r="K247" s="136">
        <v>0</v>
      </c>
      <c r="L247" s="136">
        <v>0</v>
      </c>
      <c r="M247" s="4" t="s">
        <v>248</v>
      </c>
      <c r="N247" s="2" t="str">
        <f t="shared" si="6"/>
        <v>,</v>
      </c>
    </row>
    <row r="248" spans="1:14" ht="15.75" x14ac:dyDescent="0.25">
      <c r="A248" s="2" t="s">
        <v>397</v>
      </c>
      <c r="B248" s="10">
        <v>245</v>
      </c>
      <c r="C248" s="8"/>
      <c r="D248" s="2" t="str">
        <f t="shared" si="7"/>
        <v>\</v>
      </c>
      <c r="E248" s="136">
        <v>1</v>
      </c>
      <c r="F248" s="136">
        <v>1</v>
      </c>
      <c r="G248" s="136">
        <v>1</v>
      </c>
      <c r="H248" s="136">
        <v>1</v>
      </c>
      <c r="I248" s="136">
        <v>0</v>
      </c>
      <c r="J248" s="136">
        <v>1</v>
      </c>
      <c r="K248" s="136">
        <v>0</v>
      </c>
      <c r="L248" s="136">
        <v>1</v>
      </c>
      <c r="M248" s="4" t="s">
        <v>249</v>
      </c>
      <c r="N248" s="2" t="str">
        <f t="shared" si="6"/>
        <v>\</v>
      </c>
    </row>
    <row r="249" spans="1:14" ht="15.75" x14ac:dyDescent="0.25">
      <c r="A249" s="2">
        <v>0</v>
      </c>
      <c r="B249" s="10">
        <v>246</v>
      </c>
      <c r="C249" s="8"/>
      <c r="D249" s="2">
        <f t="shared" si="7"/>
        <v>0</v>
      </c>
      <c r="E249" s="136">
        <v>1</v>
      </c>
      <c r="F249" s="136">
        <v>1</v>
      </c>
      <c r="G249" s="136">
        <v>1</v>
      </c>
      <c r="H249" s="136">
        <v>1</v>
      </c>
      <c r="I249" s="136">
        <v>0</v>
      </c>
      <c r="J249" s="136">
        <v>1</v>
      </c>
      <c r="K249" s="136">
        <v>1</v>
      </c>
      <c r="L249" s="136">
        <v>0</v>
      </c>
      <c r="M249" s="4" t="s">
        <v>250</v>
      </c>
      <c r="N249" s="2">
        <f t="shared" si="6"/>
        <v>0</v>
      </c>
    </row>
    <row r="250" spans="1:14" ht="15.75" x14ac:dyDescent="0.25">
      <c r="A250" s="2">
        <v>1</v>
      </c>
      <c r="B250" s="10">
        <v>247</v>
      </c>
      <c r="C250" s="8"/>
      <c r="D250" s="2">
        <f t="shared" si="7"/>
        <v>1</v>
      </c>
      <c r="E250" s="136">
        <v>1</v>
      </c>
      <c r="F250" s="136">
        <v>1</v>
      </c>
      <c r="G250" s="136">
        <v>1</v>
      </c>
      <c r="H250" s="136">
        <v>1</v>
      </c>
      <c r="I250" s="136">
        <v>0</v>
      </c>
      <c r="J250" s="136">
        <v>1</v>
      </c>
      <c r="K250" s="136">
        <v>1</v>
      </c>
      <c r="L250" s="136">
        <v>1</v>
      </c>
      <c r="M250" s="4" t="s">
        <v>251</v>
      </c>
      <c r="N250" s="2">
        <f t="shared" si="6"/>
        <v>1</v>
      </c>
    </row>
    <row r="251" spans="1:14" ht="15.75" x14ac:dyDescent="0.25">
      <c r="A251" s="2">
        <v>2</v>
      </c>
      <c r="B251" s="10">
        <v>248</v>
      </c>
      <c r="C251" s="8"/>
      <c r="D251" s="2">
        <f t="shared" si="7"/>
        <v>2</v>
      </c>
      <c r="E251" s="136">
        <v>1</v>
      </c>
      <c r="F251" s="136">
        <v>1</v>
      </c>
      <c r="G251" s="136">
        <v>1</v>
      </c>
      <c r="H251" s="136">
        <v>1</v>
      </c>
      <c r="I251" s="136">
        <v>1</v>
      </c>
      <c r="J251" s="136">
        <v>0</v>
      </c>
      <c r="K251" s="136">
        <v>0</v>
      </c>
      <c r="L251" s="136">
        <v>0</v>
      </c>
      <c r="M251" s="4" t="s">
        <v>252</v>
      </c>
      <c r="N251" s="2">
        <f t="shared" si="6"/>
        <v>2</v>
      </c>
    </row>
    <row r="252" spans="1:14" ht="15.75" x14ac:dyDescent="0.25">
      <c r="A252" s="2">
        <v>3</v>
      </c>
      <c r="B252" s="10">
        <v>249</v>
      </c>
      <c r="C252" s="8"/>
      <c r="D252" s="2">
        <f t="shared" si="7"/>
        <v>3</v>
      </c>
      <c r="E252" s="136">
        <v>1</v>
      </c>
      <c r="F252" s="136">
        <v>1</v>
      </c>
      <c r="G252" s="136">
        <v>1</v>
      </c>
      <c r="H252" s="136">
        <v>1</v>
      </c>
      <c r="I252" s="136">
        <v>1</v>
      </c>
      <c r="J252" s="136">
        <v>0</v>
      </c>
      <c r="K252" s="136">
        <v>0</v>
      </c>
      <c r="L252" s="136">
        <v>1</v>
      </c>
      <c r="M252" s="4" t="s">
        <v>253</v>
      </c>
      <c r="N252" s="2">
        <f t="shared" si="6"/>
        <v>3</v>
      </c>
    </row>
    <row r="253" spans="1:14" ht="15.75" x14ac:dyDescent="0.25">
      <c r="A253" s="12">
        <v>4</v>
      </c>
      <c r="B253" s="10">
        <v>250</v>
      </c>
      <c r="C253" s="8"/>
      <c r="D253" s="2">
        <f t="shared" si="7"/>
        <v>4</v>
      </c>
      <c r="E253" s="136">
        <v>1</v>
      </c>
      <c r="F253" s="136">
        <v>1</v>
      </c>
      <c r="G253" s="136">
        <v>1</v>
      </c>
      <c r="H253" s="136">
        <v>1</v>
      </c>
      <c r="I253" s="136">
        <v>1</v>
      </c>
      <c r="J253" s="136">
        <v>0</v>
      </c>
      <c r="K253" s="136">
        <v>1</v>
      </c>
      <c r="L253" s="136">
        <v>0</v>
      </c>
      <c r="M253" s="4" t="s">
        <v>254</v>
      </c>
      <c r="N253" s="2">
        <f t="shared" si="6"/>
        <v>4</v>
      </c>
    </row>
    <row r="254" spans="1:14" ht="15.75" x14ac:dyDescent="0.25">
      <c r="A254" s="2">
        <v>5</v>
      </c>
      <c r="B254" s="10">
        <v>251</v>
      </c>
      <c r="C254" s="8"/>
      <c r="D254" s="2">
        <f t="shared" si="7"/>
        <v>5</v>
      </c>
      <c r="E254" s="136">
        <v>1</v>
      </c>
      <c r="F254" s="136">
        <v>1</v>
      </c>
      <c r="G254" s="136">
        <v>1</v>
      </c>
      <c r="H254" s="136">
        <v>1</v>
      </c>
      <c r="I254" s="136">
        <v>1</v>
      </c>
      <c r="J254" s="136">
        <v>0</v>
      </c>
      <c r="K254" s="136">
        <v>1</v>
      </c>
      <c r="L254" s="136">
        <v>1</v>
      </c>
      <c r="M254" s="4" t="s">
        <v>255</v>
      </c>
      <c r="N254" s="2">
        <f t="shared" si="6"/>
        <v>5</v>
      </c>
    </row>
    <row r="255" spans="1:14" ht="15.75" x14ac:dyDescent="0.25">
      <c r="A255" s="2">
        <v>6</v>
      </c>
      <c r="B255" s="10">
        <v>252</v>
      </c>
      <c r="C255" s="8"/>
      <c r="D255" s="2">
        <f t="shared" si="7"/>
        <v>6</v>
      </c>
      <c r="E255" s="136">
        <v>1</v>
      </c>
      <c r="F255" s="136">
        <v>1</v>
      </c>
      <c r="G255" s="136">
        <v>1</v>
      </c>
      <c r="H255" s="136">
        <v>1</v>
      </c>
      <c r="I255" s="136">
        <v>1</v>
      </c>
      <c r="J255" s="136">
        <v>1</v>
      </c>
      <c r="K255" s="136">
        <v>0</v>
      </c>
      <c r="L255" s="136">
        <v>0</v>
      </c>
      <c r="M255" s="4" t="s">
        <v>256</v>
      </c>
      <c r="N255" s="2">
        <f t="shared" si="6"/>
        <v>6</v>
      </c>
    </row>
    <row r="256" spans="1:14" ht="15.75" x14ac:dyDescent="0.25">
      <c r="A256" s="2">
        <v>7</v>
      </c>
      <c r="B256" s="10">
        <v>253</v>
      </c>
      <c r="C256" s="8"/>
      <c r="D256" s="2">
        <f t="shared" si="7"/>
        <v>7</v>
      </c>
      <c r="E256" s="136">
        <v>1</v>
      </c>
      <c r="F256" s="136">
        <v>1</v>
      </c>
      <c r="G256" s="136">
        <v>1</v>
      </c>
      <c r="H256" s="136">
        <v>1</v>
      </c>
      <c r="I256" s="136">
        <v>1</v>
      </c>
      <c r="J256" s="136">
        <v>1</v>
      </c>
      <c r="K256" s="136">
        <v>0</v>
      </c>
      <c r="L256" s="136">
        <v>1</v>
      </c>
      <c r="M256" s="4" t="s">
        <v>257</v>
      </c>
      <c r="N256" s="2">
        <f t="shared" si="6"/>
        <v>7</v>
      </c>
    </row>
    <row r="257" spans="1:14" ht="15.75" x14ac:dyDescent="0.25">
      <c r="A257" s="2">
        <v>8</v>
      </c>
      <c r="B257" s="10">
        <v>254</v>
      </c>
      <c r="C257" s="8"/>
      <c r="D257" s="2">
        <f t="shared" si="7"/>
        <v>8</v>
      </c>
      <c r="E257" s="136">
        <v>1</v>
      </c>
      <c r="F257" s="136">
        <v>1</v>
      </c>
      <c r="G257" s="136">
        <v>1</v>
      </c>
      <c r="H257" s="136">
        <v>1</v>
      </c>
      <c r="I257" s="136">
        <v>1</v>
      </c>
      <c r="J257" s="136">
        <v>1</v>
      </c>
      <c r="K257" s="136">
        <v>1</v>
      </c>
      <c r="L257" s="136">
        <v>0</v>
      </c>
      <c r="M257" s="4" t="s">
        <v>258</v>
      </c>
      <c r="N257" s="2">
        <f t="shared" si="6"/>
        <v>8</v>
      </c>
    </row>
    <row r="258" spans="1:14" ht="15.75" x14ac:dyDescent="0.25">
      <c r="A258" s="2">
        <v>9</v>
      </c>
      <c r="B258" s="10">
        <v>255</v>
      </c>
      <c r="C258" s="8"/>
      <c r="D258" s="2">
        <f t="shared" si="7"/>
        <v>9</v>
      </c>
      <c r="E258" s="136">
        <v>1</v>
      </c>
      <c r="F258" s="136">
        <v>1</v>
      </c>
      <c r="G258" s="136" t="s">
        <v>624</v>
      </c>
      <c r="H258" s="136">
        <v>1</v>
      </c>
      <c r="I258" s="136">
        <v>1</v>
      </c>
      <c r="J258" s="136">
        <v>1</v>
      </c>
      <c r="K258" s="136">
        <v>1</v>
      </c>
      <c r="L258" s="136">
        <v>1</v>
      </c>
      <c r="M258" s="4" t="s">
        <v>259</v>
      </c>
      <c r="N258" s="2">
        <f t="shared" si="6"/>
        <v>9</v>
      </c>
    </row>
  </sheetData>
  <mergeCells count="1">
    <mergeCell ref="E1: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DES-Enc</vt:lpstr>
      <vt:lpstr>DES-Dec</vt:lpstr>
      <vt:lpstr>Key Generator</vt:lpstr>
      <vt:lpstr>S-Box</vt:lpstr>
      <vt:lpstr>Letter conv.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Govand</dc:creator>
  <cp:lastModifiedBy>MRT www.Win2Farsi.com</cp:lastModifiedBy>
  <dcterms:created xsi:type="dcterms:W3CDTF">2017-11-22T10:52:09Z</dcterms:created>
  <dcterms:modified xsi:type="dcterms:W3CDTF">2018-11-17T09:41:24Z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cdef7763-d81d-43f4-be77-632d4b7e26e9</vt:lpwstr>
  </property>
</Properties>
</file>